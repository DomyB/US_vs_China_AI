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Statements" sheetId="2" state="visible" r:id="rId2"/>
    <sheet xmlns:r="http://schemas.openxmlformats.org/officeDocument/2006/relationships" name="Coverage" sheetId="3" state="visible" r:id="rId3"/>
    <sheet xmlns:r="http://schemas.openxmlformats.org/officeDocument/2006/relationships" name="Data"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9"/>
    </font>
    <font>
      <name val="Arial"/>
      <charset val="1"/>
      <family val="0"/>
      <b val="1"/>
      <color rgb="FF1F3864"/>
      <sz val="11"/>
    </font>
    <font>
      <name val="Arial"/>
      <charset val="1"/>
      <family val="0"/>
      <sz val="10"/>
    </font>
    <font>
      <name val="Arial"/>
      <charset val="1"/>
      <family val="0"/>
      <b val="1"/>
      <sz val="10"/>
    </font>
    <font>
      <name val="Arial"/>
      <charset val="1"/>
      <family val="0"/>
      <b val="1"/>
      <color rgb="FFFFFFFF"/>
      <sz val="10"/>
    </font>
    <font>
      <name val="Arial"/>
      <charset val="1"/>
      <family val="0"/>
      <color rgb="FF0563C1"/>
      <sz val="10"/>
      <u val="single"/>
    </font>
    <font>
      <name val="Noto Sans CJK SC"/>
      <charset val="1"/>
      <family val="2"/>
      <sz val="10"/>
    </font>
    <font>
      <name val="Noto Sans CJK SC"/>
      <family val="2"/>
      <sz val="10"/>
    </font>
  </fonts>
  <fills count="3">
    <fill>
      <patternFill/>
    </fill>
    <fill>
      <patternFill patternType="gray125"/>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left" vertical="top" wrapText="1"/>
    </xf>
    <xf numFmtId="0" fontId="8" fillId="0" borderId="0" applyAlignment="1" pivotButton="0" quotePrefix="0" xfId="0">
      <alignment horizontal="general" vertical="top"/>
    </xf>
    <xf numFmtId="0" fontId="9" fillId="2" borderId="0" applyAlignment="1" pivotButton="0" quotePrefix="0" xfId="0">
      <alignment horizontal="general" vertical="center" wrapText="1"/>
    </xf>
    <xf numFmtId="0" fontId="7" fillId="0" borderId="0" applyAlignment="1" pivotButton="0" quotePrefix="0" xfId="0">
      <alignment horizontal="general" vertical="top"/>
    </xf>
    <xf numFmtId="0" fontId="7"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6" fillId="0" borderId="0" applyAlignment="1" pivotButton="0" quotePrefix="0" xfId="0">
      <alignment horizontal="general" vertical="bottom"/>
    </xf>
    <xf numFmtId="0" fontId="9" fillId="2" borderId="1" applyAlignment="1" pivotButton="0" quotePrefix="0" xfId="0">
      <alignment horizontal="center" vertical="center" wrapText="1"/>
    </xf>
    <xf numFmtId="0" fontId="7" fillId="0" borderId="1" applyAlignment="1" pivotButton="0" quotePrefix="0" xfId="0">
      <alignment horizontal="general" vertical="top"/>
    </xf>
    <xf numFmtId="0" fontId="0" fillId="0" borderId="1" applyAlignment="1" pivotButton="0" quotePrefix="0" xfId="0">
      <alignment horizontal="center" vertical="bottom"/>
    </xf>
    <xf numFmtId="0" fontId="8" fillId="0" borderId="1" applyAlignment="1" pivotButton="0" quotePrefix="0" xfId="0">
      <alignment horizontal="center" vertical="bottom"/>
    </xf>
    <xf numFmtId="0" fontId="0" fillId="0" borderId="1" applyAlignment="1" pivotButton="0" quotePrefix="0" xfId="0">
      <alignment horizontal="general" vertical="bottom"/>
    </xf>
    <xf numFmtId="0" fontId="8" fillId="0" borderId="1" applyAlignment="1" pivotButton="0" quotePrefix="0" xfId="0">
      <alignment horizontal="general" vertical="bottom"/>
    </xf>
    <xf numFmtId="0" fontId="7" fillId="0" borderId="1" applyAlignment="1" pivotButton="0" quotePrefix="0" xfId="0">
      <alignment horizontal="general" vertical="bottom"/>
    </xf>
    <xf numFmtId="0" fontId="9" fillId="2" borderId="0" applyAlignment="1" pivotButton="0" quotePrefix="0" xfId="0">
      <alignment horizontal="general" vertical="bottom"/>
    </xf>
    <xf numFmtId="0" fontId="7" fillId="0" borderId="0" applyAlignment="1" pivotButton="0" quotePrefix="0" xfId="0">
      <alignment horizontal="general" vertical="bottom"/>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left" vertical="top" wrapText="1"/>
    </xf>
    <xf numFmtId="0" fontId="8" fillId="0" borderId="0" applyAlignment="1" pivotButton="0" quotePrefix="0" xfId="0">
      <alignment horizontal="general" vertical="top"/>
    </xf>
    <xf numFmtId="0" fontId="9" fillId="2" borderId="0" applyAlignment="1" pivotButton="0" quotePrefix="0" xfId="0">
      <alignment horizontal="general" vertical="center" wrapText="1"/>
    </xf>
    <xf numFmtId="0" fontId="7" fillId="0" borderId="0" applyAlignment="1" pivotButton="0" quotePrefix="0" xfId="0">
      <alignment horizontal="general" vertical="top"/>
    </xf>
    <xf numFmtId="0" fontId="7"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9" fillId="2" borderId="1" applyAlignment="1" pivotButton="0" quotePrefix="0" xfId="0">
      <alignment horizontal="center" vertical="center" wrapText="1"/>
    </xf>
    <xf numFmtId="0" fontId="7" fillId="0" borderId="1" applyAlignment="1" pivotButton="0" quotePrefix="0" xfId="0">
      <alignment horizontal="general" vertical="top"/>
    </xf>
    <xf numFmtId="0" fontId="0" fillId="0" borderId="1" applyAlignment="1" pivotButton="0" quotePrefix="0" xfId="0">
      <alignment horizontal="center" vertical="bottom"/>
    </xf>
    <xf numFmtId="0" fontId="8" fillId="0" borderId="1" applyAlignment="1" pivotButton="0" quotePrefix="0" xfId="0">
      <alignment horizontal="center" vertical="bottom"/>
    </xf>
    <xf numFmtId="0" fontId="0" fillId="0" borderId="1" applyAlignment="1" pivotButton="0" quotePrefix="0" xfId="0">
      <alignment horizontal="general" vertical="bottom"/>
    </xf>
    <xf numFmtId="0" fontId="8" fillId="0" borderId="1" applyAlignment="1" pivotButton="0" quotePrefix="0" xfId="0">
      <alignment horizontal="general" vertical="bottom"/>
    </xf>
    <xf numFmtId="0" fontId="7" fillId="0" borderId="1" applyAlignment="1" pivotButton="0" quotePrefix="0" xfId="0">
      <alignment horizontal="general" vertical="bottom"/>
    </xf>
    <xf numFmtId="0" fontId="9" fillId="2" borderId="0" applyAlignment="1" pivotButton="0" quotePrefix="0" xfId="0">
      <alignment horizontal="general" vertical="bottom"/>
    </xf>
    <xf numFmtId="0" fontId="7"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Statements" displayName="Statements" ref="A1:U418" headerRowCount="1" totalsRowCount="0" totalsRowShown="0">
  <autoFilter ref="A1:U396"/>
  <tableColumns count="21">
    <tableColumn id="1" name="ID"/>
    <tableColumn id="2" name="Date"/>
    <tableColumn id="3" name="Country"/>
    <tableColumn id="4" name="In 12-country scope"/>
    <tableColumn id="5" name="Speaker"/>
    <tableColumn id="6" name="Role"/>
    <tableColumn id="7" name="Speaker bloc"/>
    <tableColumn id="8" name="Channel"/>
    <tableColumn id="9" name="Event / context"/>
    <tableColumn id="10" name="Summary"/>
    <tableColumn id="11" name="Minerals"/>
    <tableColumn id="12" name="Themes"/>
    <tableColumn id="13" name="Stance on China"/>
    <tableColumn id="14" name="Stance on US"/>
    <tableColumn id="15" name="Quote (original)"/>
    <tableColumn id="16" name="Quote (English)"/>
    <tableColumn id="17" name="Language"/>
    <tableColumn id="18" name="Source"/>
    <tableColumn id="19" name="Source type"/>
    <tableColumn id="20" name="Verification"/>
    <tableColumn id="21" name="Notes"/>
  </tableColumns>
</table>
</file>

<file path=xl/tables/table2.xml><?xml version="1.0" encoding="utf-8"?>
<table xmlns="http://schemas.openxmlformats.org/spreadsheetml/2006/main" id="2" name="Data" displayName="Data" ref="A1:AC418" headerRowCount="1" totalsRowCount="0" totalsRowShown="0">
  <autoFilter ref="A1:AC396"/>
  <tableColumns count="29">
    <tableColumn id="1" name="id"/>
    <tableColumn id="2" name="date"/>
    <tableColumn id="3" name="year"/>
    <tableColumn id="4" name="country"/>
    <tableColumn id="5" name="speaker_name"/>
    <tableColumn id="6" name="speaker_role"/>
    <tableColumn id="7" name="speaker_type"/>
    <tableColumn id="8" name="speaker_bloc"/>
    <tableColumn id="9" name="speaker_country"/>
    <tableColumn id="10" name="party_or_affiliation"/>
    <tableColumn id="11" name="channel"/>
    <tableColumn id="12" name="event_context"/>
    <tableColumn id="13" name="minerals"/>
    <tableColumn id="14" name="hs6_links"/>
    <tableColumn id="15" name="themes"/>
    <tableColumn id="16" name="counterparts_mentioned"/>
    <tableColumn id="17" name="stance_china"/>
    <tableColumn id="18" name="stance_us"/>
    <tableColumn id="19" name="related_entities"/>
    <tableColumn id="20" name="summary_en"/>
    <tableColumn id="21" name="quote_original"/>
    <tableColumn id="22" name="quote_en"/>
    <tableColumn id="23" name="language"/>
    <tableColumn id="24" name="source_name"/>
    <tableColumn id="25" name="source_url"/>
    <tableColumn id="26" name="source_type"/>
    <tableColumn id="27" name="verification"/>
    <tableColumn id="28" name="notes"/>
    <tableColumn id="29" name="research_batch"/>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www.pressreader.com/malaysia/the-borneo-post-sabah/20190329/282248076914526" TargetMode="External" Id="rId1"/><Relationship Type="http://schemas.openxmlformats.org/officeDocument/2006/relationships/hyperlink" Target="https://congressoemfoco.com.br/economia/governo-planeja-liberar-mineracao-em-terras-indigenas-diz-ministro" TargetMode="External" Id="rId2"/><Relationship Type="http://schemas.openxmlformats.org/officeDocument/2006/relationships/hyperlink" Target="https://larepublica.pe/sociedad/2019/07/16/gobernador-de-arequipa-da-72-horas-a-vizcarra-para-cancelar-licencia-de-tia-maria" TargetMode="External" Id="rId3"/><Relationship Type="http://schemas.openxmlformats.org/officeDocument/2006/relationships/hyperlink" Target="https://elbuho.pe/archivo/2019/07/16/martin-vizcarra-sobre-tia-maria-no-se-puede-anular-licencia-tenemos-que-conversar/index.html" TargetMode="External" Id="rId4"/><Relationship Type="http://schemas.openxmlformats.org/officeDocument/2006/relationships/hyperlink" Target="https://www.camara.cl/cms/2019/09/06/vicepresidente-de-corfo-informo-sobre-situacion-y-negociacion-del-litio/" TargetMode="External" Id="rId5"/><Relationship Type="http://schemas.openxmlformats.org/officeDocument/2006/relationships/hyperlink" Target="https://www.camara.cl/cms/2019/09/06/vicepresidente-de-corfo-informo-sobre-situacion-y-negociacion-del-litio/" TargetMode="External" Id="rId6"/><Relationship Type="http://schemas.openxmlformats.org/officeDocument/2006/relationships/hyperlink" Target="https://www.mining.com/?p=1004331" TargetMode="External" Id="rId7"/><Relationship Type="http://schemas.openxmlformats.org/officeDocument/2006/relationships/hyperlink" Target="https://proactivo.com.pe/juan-carlos-liu-gobierno-respetara-decision-del-consejo-de-mineria-sobre-tia-maria/" TargetMode="External" Id="rId8"/><Relationship Type="http://schemas.openxmlformats.org/officeDocument/2006/relationships/hyperlink" Target="https://www.tiempoar.com.ar/ta_article/la-guerra-del-litio-entre-la-privatizacion-y-la-quiebra/" TargetMode="External" Id="rId9"/><Relationship Type="http://schemas.openxmlformats.org/officeDocument/2006/relationships/hyperlink" Target="https://larepublica.pe/mundo/2020/07/25/elon-musk-y-evo-morales-enfrentados-en-twitter-daremos-un-golpe-a-quien-queramos" TargetMode="External" Id="rId10"/><Relationship Type="http://schemas.openxmlformats.org/officeDocument/2006/relationships/hyperlink" Target="https://www.poder360.com.br/governo/em-lancamento-de-programa-de-mineracao-do-governo-bolsonaro-exalta-niobio/" TargetMode="External" Id="rId11"/><Relationship Type="http://schemas.openxmlformats.org/officeDocument/2006/relationships/hyperlink" Target="https://www.publico.es/internacional/evo-morales-ve-litio-causa-golpe-bolivia.html" TargetMode="External" Id="rId12"/><Relationship Type="http://schemas.openxmlformats.org/officeDocument/2006/relationships/hyperlink" Target="https://proactivo.com.pe/presidente-sagasti-reitera-la-necesidad-de-continuar-con-las-inversiones-mineras/" TargetMode="External" Id="rId13"/><Relationship Type="http://schemas.openxmlformats.org/officeDocument/2006/relationships/hyperlink" Target="https://www.miningweekly.com/print-version/peru-candidate-seeks-bigger-cut-from-mining-not-state-control-2021-04-16" TargetMode="External" Id="rId14"/><Relationship Type="http://schemas.openxmlformats.org/officeDocument/2006/relationships/hyperlink" Target="https://www.ambito.com/ambito-nacional/litio/norte-rechaza-proyecto-nacionalizar-el-n5202043" TargetMode="External" Id="rId15"/><Relationship Type="http://schemas.openxmlformats.org/officeDocument/2006/relationships/hyperlink" Target="https://www.ambito.com/ambito-nacional/litio/norte-rechaza-proyecto-nacionalizar-el-n5202043" TargetMode="External" Id="rId16"/><Relationship Type="http://schemas.openxmlformats.org/officeDocument/2006/relationships/hyperlink" Target="https://larepublica.pe/economia/2021/09/23/hay-resistencia-en-el-sector-minero-por-reforma-tributaria-ministerio-de-economia" TargetMode="External" Id="rId17"/><Relationship Type="http://schemas.openxmlformats.org/officeDocument/2006/relationships/hyperlink" Target="https://www.miningweekly.com/article/peru-minister-partly-blames-mmg-for-las-bambas-unrest-sees-solution-in-train-line-2021-10-01" TargetMode="External" Id="rId18"/><Relationship Type="http://schemas.openxmlformats.org/officeDocument/2006/relationships/hyperlink" Target="https://www.bloomberglinea.com/2021/11/22/castillo-no-ha-existido-ni-existiran-decisiones-unilaterales-ni-arbitrarias-en-peru/" TargetMode="External" Id="rId19"/><Relationship Type="http://schemas.openxmlformats.org/officeDocument/2006/relationships/hyperlink" Target="https://mase.lmneuquen.com/politica/se-conformo-la-region-minera-del-litio-n862429" TargetMode="External" Id="rId20"/><Relationship Type="http://schemas.openxmlformats.org/officeDocument/2006/relationships/hyperlink" Target="https://www.bloomberglinea.com/2021/11/22/castillo-no-ha-existido-ni-existiran-decisiones-unilaterales-ni-arbitrarias-en-peru/" TargetMode="External" Id="rId21"/><Relationship Type="http://schemas.openxmlformats.org/officeDocument/2006/relationships/hyperlink" Target="https://proactivo.com.pe/las-bambas-gobierno-evalua-desalojar-manifestantes-y-en-ultima-instancia-decretar-estado-de-emergencia-en-chumbivilcas/" TargetMode="External" Id="rId22"/><Relationship Type="http://schemas.openxmlformats.org/officeDocument/2006/relationships/hyperlink" Target="https://proactivo.com.pe/las-bambas-gobernador-regional-de-apurimac-califica-como-pusilanime-actitud-del-ejecutivo/" TargetMode="External" Id="rId23"/><Relationship Type="http://schemas.openxmlformats.org/officeDocument/2006/relationships/hyperlink" Target="https://www.cnnchile.com/sin-categoria/ministro-jobet-licitacion-litio-no-pone-riesgo-agenda-proximo-gobierno/" TargetMode="External" Id="rId24"/><Relationship Type="http://schemas.openxmlformats.org/officeDocument/2006/relationships/hyperlink" Target="https://www.t13.cl/noticia/nacional/gobernador-antofagasta-oficia-contraloria-proceso-licitacion-del-litio-06-01-2022" TargetMode="External" Id="rId25"/><Relationship Type="http://schemas.openxmlformats.org/officeDocument/2006/relationships/hyperlink" Target="https://www.eldinamo.cl/politica/2022/01/07/pinera-defiende-licitacion-del-litio-y-asegura-que-es-transparente/" TargetMode="External" Id="rId26"/><Relationship Type="http://schemas.openxmlformats.org/officeDocument/2006/relationships/hyperlink" Target="https://www.cnnchile.com/pais/ministro-cerda-licitacion-litio-seguir-siendo-chilenos-cobrando-impuestos_20220110/" TargetMode="External" Id="rId27"/><Relationship Type="http://schemas.openxmlformats.org/officeDocument/2006/relationships/hyperlink" Target="https://www.elmostrador.cl/noticias/pais/2022/01/12/boric-califica-licitacion-del-litio-como-una-mala-noticia-que-recuerda-a-las-leyes-de-amarre-y-oposicion-buscara-anular-proceso-por-via-judicial-administrativa-y-legislativa/" TargetMode="External" Id="rId28"/><Relationship Type="http://schemas.openxmlformats.org/officeDocument/2006/relationships/hyperlink" Target="https://www.elmostrador.cl/noticias/pais/2022/01/12/boric-califica-licitacion-del-litio-como-una-mala-noticia-que-recuerda-a-las-leyes-de-amarre-y-oposicion-buscara-anular-proceso-por-via-judicial-administrativa-y-legislativa/" TargetMode="External" Id="rId29"/><Relationship Type="http://schemas.openxmlformats.org/officeDocument/2006/relationships/hyperlink" Target="https://www.emol.com/noticias/Economia/2022/02/02/1045744/amlo-prohibe-extranjeros-explotar-litio.html" TargetMode="External" Id="rId30"/><Relationship Type="http://schemas.openxmlformats.org/officeDocument/2006/relationships/hyperlink" Target="https://www.mfa.gov.cn/esp/gjhdq/ldmz/3453/3455/202202/t20220206_10639512.html" TargetMode="External" Id="rId31"/><Relationship Type="http://schemas.openxmlformats.org/officeDocument/2006/relationships/hyperlink" Target="https://www.foreign.senate.gov/download/transcript03312201" TargetMode="External" Id="rId32"/><Relationship Type="http://schemas.openxmlformats.org/officeDocument/2006/relationships/hyperlink" Target="https://www.foreign.senate.gov/download/transcript03312201" TargetMode="External" Id="rId33"/><Relationship Type="http://schemas.openxmlformats.org/officeDocument/2006/relationships/hyperlink" Target="https://www.elfinanciero.com.mx/nacional/2022/04/18/amlo-llama-a-legisladores-a-aprobar-este-lunes-la-nacionalizacion-del-litio/" TargetMode="External" Id="rId34"/><Relationship Type="http://schemas.openxmlformats.org/officeDocument/2006/relationships/hyperlink" Target="https://politica.expansion.mx/congreso/2022/04/18/la-camara-de-diputados-aprueba-en-lo-general-reforma-a-la-ley-minera" TargetMode="External" Id="rId35"/><Relationship Type="http://schemas.openxmlformats.org/officeDocument/2006/relationships/hyperlink" Target="https://politica.expansion.mx/congreso/2022/04/18/la-camara-de-diputados-aprueba-en-lo-general-reforma-a-la-ley-minera" TargetMode="External" Id="rId36"/><Relationship Type="http://schemas.openxmlformats.org/officeDocument/2006/relationships/hyperlink" Target="https://politica.expansion.mx/mexico/2022/04/19/el-senado-aprueba-la-reforma-a-la-ley-minera-de-lopez-obrador" TargetMode="External" Id="rId37"/><Relationship Type="http://schemas.openxmlformats.org/officeDocument/2006/relationships/hyperlink" Target="https://politica.expansion.mx/mexico/2022/04/19/el-senado-aprueba-la-reforma-a-la-ley-minera-de-lopez-obrador" TargetMode="External" Id="rId38"/><Relationship Type="http://schemas.openxmlformats.org/officeDocument/2006/relationships/hyperlink" Target="https://politica.expansion.mx/mexico/2022/04/19/el-senado-aprueba-la-reforma-a-la-ley-minera-de-lopez-obrador" TargetMode="External" Id="rId39"/><Relationship Type="http://schemas.openxmlformats.org/officeDocument/2006/relationships/hyperlink" Target="https://politica.expansion.mx/mexico/2022/04/19/el-senado-aprueba-la-reforma-a-la-ley-minera-de-lopez-obrador" TargetMode="External" Id="rId40"/><Relationship Type="http://schemas.openxmlformats.org/officeDocument/2006/relationships/hyperlink" Target="https://www.portaltela.com/noticias/economia/2025/07/25/bolsonaro-oferece-mineral-estrategico-a-elon-musk-atraindo-interesse-de-trump/" TargetMode="External" Id="rId41"/><Relationship Type="http://schemas.openxmlformats.org/officeDocument/2006/relationships/hyperlink" Target="https://panamericana.pe/nacionales/349610-bambas-premier-asegura-emergencia-levantara-deponga-actitudes-fuerza" TargetMode="External" Id="rId42"/><Relationship Type="http://schemas.openxmlformats.org/officeDocument/2006/relationships/hyperlink" Target="https://www.cnnchile.com/sin-categoria/gobierno-fin-licitacion-litio-pinera-corte-suprema/" TargetMode="External" Id="rId43"/><Relationship Type="http://schemas.openxmlformats.org/officeDocument/2006/relationships/hyperlink" Target="https://www.24horas.cl/regiones/atacama/corte-suprema-deja-sin-efecto-licitacion-del-litio-hecha-durante-gobierno-de-pinera-5329930" TargetMode="External" Id="rId44"/><Relationship Type="http://schemas.openxmlformats.org/officeDocument/2006/relationships/hyperlink" Target="https://forbes.pe/actualidad/2022-06-03/oficialismo-presenta-un-proyecto-para-nacionalizar-la-explotacion-del-cobre/" TargetMode="External" Id="rId45"/><Relationship Type="http://schemas.openxmlformats.org/officeDocument/2006/relationships/hyperlink" Target="https://ludditus.com/?p=75497" TargetMode="External" Id="rId46"/><Relationship Type="http://schemas.openxmlformats.org/officeDocument/2006/relationships/hyperlink" Target="https://politica.expansion.mx/estados/2022/09/01/durazo-coordinador-de-litio-para-mexico-cuidare-los-intereses-de-la-gente" TargetMode="External" Id="rId47"/><Relationship Type="http://schemas.openxmlformats.org/officeDocument/2006/relationships/hyperlink" Target="https://forbes.pe/economia-y-finanzas/2022-09-02/colombia-petro-propone-buscar-minerales-para-transformacion-energetica/" TargetMode="External" Id="rId48"/><Relationship Type="http://schemas.openxmlformats.org/officeDocument/2006/relationships/hyperlink" Target="https://www.vistazo.com/amp/actualidad/nacional/china-refuta-declaraciones-de-la-comandante-de-ee-uu-intentan-sembrar-discordia-con-ecuador-JX3099391" TargetMode="External" Id="rId49"/><Relationship Type="http://schemas.openxmlformats.org/officeDocument/2006/relationships/hyperlink" Target="https://www.emol.com/noticias/Internacional/2022/09/20/1073368/arce-onu-medidas-intervencion-litio.html" TargetMode="External" Id="rId50"/><Relationship Type="http://schemas.openxmlformats.org/officeDocument/2006/relationships/hyperlink" Target="https://www.tiempoar.com.ar/ta_article/argentina-en-busca-de-inversiones-chinas-para-grandes-proyectos-mineros/" TargetMode="External" Id="rId51"/><Relationship Type="http://schemas.openxmlformats.org/officeDocument/2006/relationships/hyperlink" Target="https://www.reporteminero.cl/noticia/noticias/2022/09/presidente-alberto-fernandez-propuso-declarar-litio-recurso-estrategico" TargetMode="External" Id="rId52"/><Relationship Type="http://schemas.openxmlformats.org/officeDocument/2006/relationships/hyperlink" Target="https://correodelsur.com/politica/20220923/evo-dice-que-reino-unido-financio-un-golpe-en-2019-para-aduenarse-del-litio-boliviano.html" TargetMode="External" Id="rId53"/><Relationship Type="http://schemas.openxmlformats.org/officeDocument/2006/relationships/hyperlink" Target="https://www.todojujuy.com/jujuy/gerardo-morales-expuso-el-litio-y-los-proyectos-mineros-n225633" TargetMode="External" Id="rId54"/><Relationship Type="http://schemas.openxmlformats.org/officeDocument/2006/relationships/hyperlink" Target="https://elperuano.pe/noticia/195514-embajador-song-yang-el-peru-y-china-estan-en-un-momento-crucial-de-transformacion-y-crecimiento" TargetMode="External" Id="rId55"/><Relationship Type="http://schemas.openxmlformats.org/officeDocument/2006/relationships/hyperlink" Target="https://www.lavozdesanjusto.com.ar/una-empresa-china-anuncio-inversiones-en-litio-por-us2200-millones-128580" TargetMode="External" Id="rId56"/><Relationship Type="http://schemas.openxmlformats.org/officeDocument/2006/relationships/hyperlink" Target="https://www.first-quantum.com/news/first-quantum-minerals-responds-to-latest-developments-in-panama/" TargetMode="External" Id="rId57"/><Relationship Type="http://schemas.openxmlformats.org/officeDocument/2006/relationships/hyperlink" Target="https://www.valoraanalitik.com/colombia-prohibir-mineria-en-jerico-petro-dejo-por-fuera-a-400-promineros/" TargetMode="External" Id="rId58"/><Relationship Type="http://schemas.openxmlformats.org/officeDocument/2006/relationships/hyperlink" Target="https://www.buenosairesherald.com/world/international-relations/defense-ministry-held-meetings-with-us-southern-command" TargetMode="External" Id="rId59"/><Relationship Type="http://schemas.openxmlformats.org/officeDocument/2006/relationships/hyperlink" Target="https://correodelsur.com/economia/20230120_bolivia-firma-convenio-con-consorcio-chino-para-la-industrializacion-del-litio.html" TargetMode="External" Id="rId60"/><Relationship Type="http://schemas.openxmlformats.org/officeDocument/2006/relationships/hyperlink" Target="https://correodelsur.com/panorama/20230122/nos-va-a-permitir-generar-ingresos-que-superarian-los-us-5-000-millones.html" TargetMode="External" Id="rId61"/><Relationship Type="http://schemas.openxmlformats.org/officeDocument/2006/relationships/hyperlink" Target="https://economiasustentable.com/noticias/las-criticas-que-recibio-la-jefa-del-comando-sur-tras-enumerar-los-intereses-de-estados-unidos-en-america-latina" TargetMode="External" Id="rId62"/><Relationship Type="http://schemas.openxmlformats.org/officeDocument/2006/relationships/hyperlink" Target="https://www.nmas.com.mx/nacional/amlo-firma-decreto-sobre-nacionalizacion-del-litio-en-sonora/" TargetMode="External" Id="rId63"/><Relationship Type="http://schemas.openxmlformats.org/officeDocument/2006/relationships/hyperlink" Target="https://www.primicias.ec/economia/licitacion-proyecto-cobre-llurimagua-mineria-consulta-ambiental-imbabura-118038/" TargetMode="External" Id="rId64"/><Relationship Type="http://schemas.openxmlformats.org/officeDocument/2006/relationships/hyperlink" Target="https://www.southcom.mil/Media/Special-Coverage/SOUTHCOMs-2023-Posture-Statement-to-Congress/" TargetMode="External" Id="rId65"/><Relationship Type="http://schemas.openxmlformats.org/officeDocument/2006/relationships/hyperlink" Target="https://www.elobservador.com.uy/nota/la-disputa-entre-china-y-estados-unidos-por-el-litio-en-america-latina-20234128128" TargetMode="External" Id="rId66"/><Relationship Type="http://schemas.openxmlformats.org/officeDocument/2006/relationships/hyperlink" Target="https://www.armed-services.senate.gov/download/transcript-3232023" TargetMode="External" Id="rId67"/><Relationship Type="http://schemas.openxmlformats.org/officeDocument/2006/relationships/hyperlink" Target="https://www.miningweekly.com/article/bolivia-president-calls-for-joint-latin-america-lithium-policy-2023-03-24" TargetMode="External" Id="rId68"/><Relationship Type="http://schemas.openxmlformats.org/officeDocument/2006/relationships/hyperlink" Target="https://home.treasury.gov/news/press-releases/jy1379" TargetMode="External" Id="rId69"/><Relationship Type="http://schemas.openxmlformats.org/officeDocument/2006/relationships/hyperlink" Target="https://eleconomista.com.ar/economia/vaca-narvaja-la-mineria-tiene-potencial-solucionar-recurrentes-crisis-divisas-n61228" TargetMode="External" Id="rId70"/><Relationship Type="http://schemas.openxmlformats.org/officeDocument/2006/relationships/hyperlink" Target="https://www.ex-ante.cl/?p=138108" TargetMode="External" Id="rId71"/><Relationship Type="http://schemas.openxmlformats.org/officeDocument/2006/relationships/hyperlink" Target="https://www.ex-ante.cl/?p=138108" TargetMode="External" Id="rId72"/><Relationship Type="http://schemas.openxmlformats.org/officeDocument/2006/relationships/hyperlink" Target="https://www.mfa.gov.cn/web/gjhdq_676201/gj_676203/nmz_680924/1206_680974/1207_680986/202304/t20230414_11059627.shtml" TargetMode="External" Id="rId73"/><Relationship Type="http://schemas.openxmlformats.org/officeDocument/2006/relationships/hyperlink" Target="https://batimes.com.ar/news/argentina/us-general-visits-southern-cone-with-patagonia-and-lithium-on-agenda.phtml" TargetMode="External" Id="rId74"/><Relationship Type="http://schemas.openxmlformats.org/officeDocument/2006/relationships/hyperlink" Target="https://www.eldinamo.cl/politica/2023/04/20/los-cinco-pilares-de-la-estrategia-nacional-del-litio-presentada-por-el-presidente-boric/" TargetMode="External" Id="rId75"/><Relationship Type="http://schemas.openxmlformats.org/officeDocument/2006/relationships/hyperlink" Target="https://eldesconcierto.cl/2023/04/21/gobernador-diaz-y-estrategia-nacional-del-litio-el-presidente-vio-que-se-puede-agregar-valor-aca-en-la-region" TargetMode="External" Id="rId76"/><Relationship Type="http://schemas.openxmlformats.org/officeDocument/2006/relationships/hyperlink" Target="https://www.excelsior.com.mx/nacional/reducen-periodo-de-concesiones-mineras-diputados-envian-reforma-al-senado/1582870" TargetMode="External" Id="rId77"/><Relationship Type="http://schemas.openxmlformats.org/officeDocument/2006/relationships/hyperlink" Target="https://zetatijuana.com/2023/04/sin-discusion-morena-pt-pvem-y-mc-aprueban-en-lo-general-reformas-para-disminuir-anos-a-concesiones-mineras/" TargetMode="External" Id="rId78"/><Relationship Type="http://schemas.openxmlformats.org/officeDocument/2006/relationships/hyperlink" Target="https://www.excelsior.com.mx/nacional/reducen-periodo-de-concesiones-mineras-diputados-envian-reforma-al-senado/1582870" TargetMode="External" Id="rId79"/><Relationship Type="http://schemas.openxmlformats.org/officeDocument/2006/relationships/hyperlink" Target="https://comunicacion.diputados.gob.mx/sintesis/LINKSIN/22423_P_FORBES_0_MINEROSPIDEN_SENADOVOTERFLEYMINERA_3DIP.pdf" TargetMode="External" Id="rId80"/><Relationship Type="http://schemas.openxmlformats.org/officeDocument/2006/relationships/hyperlink" Target="https://coparmex.org.mx/downloads/ENVIOS/CP_31_EN_LA_LEY_DE_MINERIA_ES_NECESARIO_ESCUCHAR_A_EXPERTOS_E_INDUSTRIA_SENADO_DEBE_EVITAR_APROBAR_FAST_TRACK.pdf" TargetMode="External" Id="rId81"/><Relationship Type="http://schemas.openxmlformats.org/officeDocument/2006/relationships/hyperlink" Target="https://www.diariodecuyo.com.ar/argentina/Litio-planean-nacionalizar-el-recurso-20230426-0079.html" TargetMode="External" Id="rId82"/><Relationship Type="http://schemas.openxmlformats.org/officeDocument/2006/relationships/hyperlink" Target="https://comunicacion.diputados.gob.mx/sintesis/LINKSIN/28423_P_BLOOMBERG_0_GRUPOMEXICO_REFORMALEYMINERA_3DIP.pdf" TargetMode="External" Id="rId83"/><Relationship Type="http://schemas.openxmlformats.org/officeDocument/2006/relationships/hyperlink" Target="https://www.bloomberglinea.com/latinoamerica/mexico/senado-de-mexico-aprueba-cambios-a-ley-minera-y-del-mercado-de-valores/" TargetMode="External" Id="rId84"/><Relationship Type="http://schemas.openxmlformats.org/officeDocument/2006/relationships/hyperlink" Target="https://www.radioagricultura.cl/economia/2023/05/11/senado-aprueba-proyecto-sobre-royalty-minero-y-lo-despacha-a-su-tercer-tramite-a-la-camara/" TargetMode="External" Id="rId85"/><Relationship Type="http://schemas.openxmlformats.org/officeDocument/2006/relationships/hyperlink" Target="https://congresogro.gob.mx/63/sesiones/intervenciones/2023-05-02-1-23-87967.pdf" TargetMode="External" Id="rId86"/><Relationship Type="http://schemas.openxmlformats.org/officeDocument/2006/relationships/hyperlink" Target="https://thedialogue.org/analysis/ee-uu-le-mando-un-mensaje-a-la-argentina-y-mostro-preocupacion-por-el-avance-de-china-en-la-region/" TargetMode="External" Id="rId87"/><Relationship Type="http://schemas.openxmlformats.org/officeDocument/2006/relationships/hyperlink" Target="https://www.nmas.com.mx/nacional/ley-minera-2023-amlo-advierte-que-solo-afectara-a-las-nuevas-concesiones/" TargetMode="External" Id="rId88"/><Relationship Type="http://schemas.openxmlformats.org/officeDocument/2006/relationships/hyperlink" Target="https://zetatijuana.com/2023/05/gobierno-de-amlo-promulga-reformas-para-disminuir-anos-a-concesiones-mineras/" TargetMode="External" Id="rId89"/><Relationship Type="http://schemas.openxmlformats.org/officeDocument/2006/relationships/hyperlink" Target="https://www.elfinanciero.com.mx/economia/2023/05/08/ley-minera-solo-amlo-podra-autorizar-concesiones-en-zonas-sin-agua/" TargetMode="External" Id="rId90"/><Relationship Type="http://schemas.openxmlformats.org/officeDocument/2006/relationships/hyperlink" Target="https://www.itatiaia.com.br/politica/governo-de-minas-lanca-vale-do-litio-na-nasdaq-e-busca-investidores-para-exploracao-no-vale-do-jequitinhonha/" TargetMode="External" Id="rId91"/><Relationship Type="http://schemas.openxmlformats.org/officeDocument/2006/relationships/hyperlink" Target="https://expansion.mx/empresas/2023/05/09/primera-produccion-litio-sexenio-2028" TargetMode="External" Id="rId92"/><Relationship Type="http://schemas.openxmlformats.org/officeDocument/2006/relationships/hyperlink" Target="https://www.itatiaia.com.br/politica/o-papel-do-ministerio-de-alexandre-silveira-nas-conversas-sobre-o-vale-do-litio-em-minas/" TargetMode="External" Id="rId93"/><Relationship Type="http://schemas.openxmlformats.org/officeDocument/2006/relationships/hyperlink" Target="https://www.redimin.cl/bernadette-meehan-embajadora-de-eeuu-en-chile-es-un-error-decir-que-la-estrategia-del-litio-es-la-nacionalizacion-de-la-industria/amp/" TargetMode="External" Id="rId94"/><Relationship Type="http://schemas.openxmlformats.org/officeDocument/2006/relationships/hyperlink" Target="https://www.bloomberglinea.com/latinoamerica/argentina/litio-por-que-proyecto-del-frente-de-todos-no-es-nacionalizacion-segun-su-autor/" TargetMode="External" Id="rId95"/><Relationship Type="http://schemas.openxmlformats.org/officeDocument/2006/relationships/hyperlink" Target="https://kaieteurnewsonline.com/2023/06/11/manganese-company-must-adhere-to-commitments-at-matthews-ridge-jagdeo/" TargetMode="External" Id="rId96"/><Relationship Type="http://schemas.openxmlformats.org/officeDocument/2006/relationships/hyperlink" Target="https://www.losandes.com.ar/politica/alberto-fernandez-y-cristina-kirchner-le-respondieron-a-gerardo-morales-y-lo-responsabilizaron-por-la-violencia-que-se-vive-en-jujuy" TargetMode="External" Id="rId97"/><Relationship Type="http://schemas.openxmlformats.org/officeDocument/2006/relationships/hyperlink" Target="https://www.losandes.com.ar/politica/alberto-fernandez-y-cristina-kirchner-le-respondieron-a-gerardo-morales-y-lo-responsabilizaron-por-la-violencia-que-se-vive-en-jujuy" TargetMode="External" Id="rId98"/><Relationship Type="http://schemas.openxmlformats.org/officeDocument/2006/relationships/hyperlink" Target="https://www.bluradio.com/nacion/no-puede-haber-expansiones-de-explotacion-de-carbon-a-cielo-abierto-petro-rg10" TargetMode="External" Id="rId99"/><Relationship Type="http://schemas.openxmlformats.org/officeDocument/2006/relationships/hyperlink" Target="https://www.fmprc.gov.cn/mfa_eng/xw/zwbd/202405/t20240530_11365695.html" TargetMode="External" Id="rId100"/><Relationship Type="http://schemas.openxmlformats.org/officeDocument/2006/relationships/hyperlink" Target="https://www.mining.com/web/us-says-it-must-work-with-latin-america-more-on-key-minerals/" TargetMode="External" Id="rId101"/><Relationship Type="http://schemas.openxmlformats.org/officeDocument/2006/relationships/hyperlink" Target="https://www.biobiochile.cl/noticias/economia/negocios-y-empresas/2023/08/03/boric-promulga-ley-de-royalty-a-la-gran-mineria-los-recursos-no-se-pueden-concentrar-en-pocas-manos.shtml" TargetMode="External" Id="rId102"/><Relationship Type="http://schemas.openxmlformats.org/officeDocument/2006/relationships/hyperlink" Target="https://www.csis.org/analysis/looking-south-conversation-gen-laura-richardson-security-challenges-latin-america" TargetMode="External" Id="rId103"/><Relationship Type="http://schemas.openxmlformats.org/officeDocument/2006/relationships/hyperlink" Target="https://www.valoraanalitik.com/?p=310853" TargetMode="External" Id="rId104"/><Relationship Type="http://schemas.openxmlformats.org/officeDocument/2006/relationships/hyperlink" Target="https://correodelsur.com/economia/20230903/titular-de-ylb-estamos-llamados-a-ser-lideres-en-produccion-del-litio.html" TargetMode="External" Id="rId105"/><Relationship Type="http://schemas.openxmlformats.org/officeDocument/2006/relationships/hyperlink" Target="https://www.lapoliticaonline.com/politica/miei-con-carlson-tucker-no-voy-a-hacer-negocios-con-china-y-con-ningun-pais-comunista/" TargetMode="External" Id="rId106"/><Relationship Type="http://schemas.openxmlformats.org/officeDocument/2006/relationships/hyperlink" Target="https://www.mining.com/web/mexico-says-lithium-concessions-under-review-after-ganfeng-flags-cancellations/" TargetMode="External" Id="rId107"/><Relationship Type="http://schemas.openxmlformats.org/officeDocument/2006/relationships/hyperlink" Target="https://media.fdd.org/wp-content/uploads/2023/10/fdd-events-Latin-Americas-China-Challenge.pdf" TargetMode="External" Id="rId108"/><Relationship Type="http://schemas.openxmlformats.org/officeDocument/2006/relationships/hyperlink" Target="https://www.fmprc.gov.cn/eng./xw/zyxw/202405/t20240530_11332343.html" TargetMode="External" Id="rId109"/><Relationship Type="http://schemas.openxmlformats.org/officeDocument/2006/relationships/hyperlink" Target="https://www.reuters.com/markets/commodities/panama-congress-signs-off-contract-with-canadas-first-quantum-2023-10-20/" TargetMode="External" Id="rId110"/><Relationship Type="http://schemas.openxmlformats.org/officeDocument/2006/relationships/hyperlink" Target="https://apnews.com/article/panama-mining-environment-canada-aab0c46dd8a0dfb2930154b831a2e3ac" TargetMode="External" Id="rId111"/><Relationship Type="http://schemas.openxmlformats.org/officeDocument/2006/relationships/hyperlink" Target="https://www.first-quantum.com/news/first-quantum-provides-update-on-panama/" TargetMode="External" Id="rId112"/><Relationship Type="http://schemas.openxmlformats.org/officeDocument/2006/relationships/hyperlink" Target="https://gestion.pe/mundo/mexico/china-ganfeng-sigue-con-mira-puesta-en-litio-mexicano-pese-a-plan-estatista-de-amlo-noticia/" TargetMode="External" Id="rId113"/><Relationship Type="http://schemas.openxmlformats.org/officeDocument/2006/relationships/hyperlink" Target="https://www.diariodecuyo.com.ar/noticias/para-el-embajador-de-china-el-vinculo-con-san-juan-es-solido-1580186.html" TargetMode="External" Id="rId114"/><Relationship Type="http://schemas.openxmlformats.org/officeDocument/2006/relationships/hyperlink" Target="https://www.first-quantum.com/news/first-quantum-provides-update-on-cobre-panama-2/" TargetMode="External" Id="rId115"/><Relationship Type="http://schemas.openxmlformats.org/officeDocument/2006/relationships/hyperlink" Target="https://apnews.com/article/panama-copper-mine-supreme-court-canadian-629d8a7838f23cc4ed845a1b3c7a2941" TargetMode="External" Id="rId116"/><Relationship Type="http://schemas.openxmlformats.org/officeDocument/2006/relationships/hyperlink" Target="https://www.reuters.com/world/americas/panama-trade-minister-resigns-after-mining-contract-backlash-2023-11-30/" TargetMode="External" Id="rId117"/><Relationship Type="http://schemas.openxmlformats.org/officeDocument/2006/relationships/hyperlink" Target="https://www.camara.cl/cms/2023/12/19/camara-analizo-estrategia-nacional-del-litio/" TargetMode="External" Id="rId118"/><Relationship Type="http://schemas.openxmlformats.org/officeDocument/2006/relationships/hyperlink" Target="https://www.camara.cl/cms/2023/12/19/camara-analizo-estrategia-nacional-del-litio/" TargetMode="External" Id="rId119"/><Relationship Type="http://schemas.openxmlformats.org/officeDocument/2006/relationships/hyperlink" Target="https://www.ambito.com/politica/javier-milei-admitio-que-elon-musk-esta-interesado-el-litio-la-argentina-n5906635" TargetMode="External" Id="rId120"/><Relationship Type="http://schemas.openxmlformats.org/officeDocument/2006/relationships/hyperlink" Target="https://www.reporteminero.cl/noticia/noticias/2024/01/senado-expresa-dudas-destino-ingresos-fiscales-alcances-acuerdos-codelco-sqm" TargetMode="External" Id="rId121"/><Relationship Type="http://schemas.openxmlformats.org/officeDocument/2006/relationships/hyperlink" Target="https://www.bloomberglinea.com/latinoamerica/argentina/que-se-espera-para-el-litio-y-el-cobre-con-milei-segun-flavia-royon/" TargetMode="External" Id="rId122"/><Relationship Type="http://schemas.openxmlformats.org/officeDocument/2006/relationships/hyperlink" Target="https://fundacionandresbello.org/noticias/bolivia-&#127463;&#127476;/china-y-bolivia-exploran-posibilidades-de-explotacion-de-litio" TargetMode="External" Id="rId123"/><Relationship Type="http://schemas.openxmlformats.org/officeDocument/2006/relationships/hyperlink" Target="https://energiminas.com/?p=14457" TargetMode="External" Id="rId124"/><Relationship Type="http://schemas.openxmlformats.org/officeDocument/2006/relationships/hyperlink" Target="https://www.reporteminero.cl/noticia/noticias/2024/02/bolivia-confirma-refinerias-zinc-potosi-oruro" TargetMode="External" Id="rId125"/><Relationship Type="http://schemas.openxmlformats.org/officeDocument/2006/relationships/hyperlink" Target="https://news.yahoo.com/blinken-meets-argentinas-milei-latest-154742936.html" TargetMode="External" Id="rId126"/><Relationship Type="http://schemas.openxmlformats.org/officeDocument/2006/relationships/hyperlink" Target="https://www.batimes.com.ar/news/amp/economy/us-treasury-secretary-janet-yellen-praises-chiles-policies-in-visit-to-lithium-rich-ally.phtml" TargetMode="External" Id="rId127"/><Relationship Type="http://schemas.openxmlformats.org/officeDocument/2006/relationships/hyperlink" Target="https://www.dtnext.in/news/business/yellen-sees-big-jump-in-us-imports-from-chile-eyes-progress-on-green-transition-771572" TargetMode="External" Id="rId128"/><Relationship Type="http://schemas.openxmlformats.org/officeDocument/2006/relationships/hyperlink" Target="https://www.kitco.com/news/off-the-wire/2024-03-05/future-first-quantum-mine-people-panama-decide-us-official-says" TargetMode="External" Id="rId129"/><Relationship Type="http://schemas.openxmlformats.org/officeDocument/2006/relationships/hyperlink" Target="https://news.usni.org/2024/03/12/southcom-commander-warns-of-risk-of-chinese-investment-in-south-america-caribbean" TargetMode="External" Id="rId130"/><Relationship Type="http://schemas.openxmlformats.org/officeDocument/2006/relationships/hyperlink" Target="https://armedservices.house.gov/news/press-releases/rogers-opening-statement-hearing-national-security-challenges-north-and-south" TargetMode="External" Id="rId131"/><Relationship Type="http://schemas.openxmlformats.org/officeDocument/2006/relationships/hyperlink" Target="https://www.southcom.mil/Media/Special-Coverage/SOUTHCOMs-2024-Posture-Statement-to-Congress/" TargetMode="External" Id="rId132"/><Relationship Type="http://schemas.openxmlformats.org/officeDocument/2006/relationships/hyperlink" Target="https://energiminas.com/2024/04/10/ministro-romulo-mucho-existen-congresistas-que-se-oponen-radicalmente-al-progreso" TargetMode="External" Id="rId133"/><Relationship Type="http://schemas.openxmlformats.org/officeDocument/2006/relationships/hyperlink" Target="https://www.cnnbrasil.com.br/internacional/evento-na-nasdaq-mostra-avancos-do-vale-do-litio-em-minas-gerais/" TargetMode="External" Id="rId134"/><Relationship Type="http://schemas.openxmlformats.org/officeDocument/2006/relationships/hyperlink" Target="https://www.tiempodesanjuan.com/politica/desde-el-gobierno-salen-criticar-unac-no-votar-bases-y-el-rigi-va-contra-san-juan-n377350" TargetMode="External" Id="rId135"/><Relationship Type="http://schemas.openxmlformats.org/officeDocument/2006/relationships/hyperlink" Target="https://perureports.com/?p=10479" TargetMode="External" Id="rId136"/><Relationship Type="http://schemas.openxmlformats.org/officeDocument/2006/relationships/hyperlink" Target="https://radio.uchile.cl/2024/06/04/maximo-pacheco-defiende-acuerdo-codelco-sqm-se-firmo-un-documento-historico/" TargetMode="External" Id="rId137"/><Relationship Type="http://schemas.openxmlformats.org/officeDocument/2006/relationships/hyperlink" Target="https://www.tiempodesanjuan.com/politica/marcelo-orrego-apoyo-la-ley-bases-television-nacional-y-pidio-la-aprobacion-del-rigi-n377233" TargetMode="External" Id="rId138"/><Relationship Type="http://schemas.openxmlformats.org/officeDocument/2006/relationships/hyperlink" Target="https://www.lostiempos.com/actualidad/pais/20240611/arce-putin-acuerdan-que-proyectos-conjuntos-litio-nuclear-bolivia-operen" TargetMode="External" Id="rId139"/><Relationship Type="http://schemas.openxmlformats.org/officeDocument/2006/relationships/hyperlink" Target="https://www.tiempodesanjuan.com/politica/desde-el-gobierno-salen-criticar-unac-no-votar-bases-y-el-rigi-va-contra-san-juan-n377350" TargetMode="External" Id="rId140"/><Relationship Type="http://schemas.openxmlformats.org/officeDocument/2006/relationships/hyperlink" Target="https://www.bloomberglinea.com/latinoamerica/mexico/minera-china-ganfeng-demanda-a-mexico-por-cancelar-concesiones-de-litio/" TargetMode="External" Id="rId141"/><Relationship Type="http://schemas.openxmlformats.org/officeDocument/2006/relationships/hyperlink" Target="https://www.mining.com/mexico-to-seek-deal-over-disputed-mining-concession-with-ganfeng/" TargetMode="External" Id="rId142"/><Relationship Type="http://schemas.openxmlformats.org/officeDocument/2006/relationships/hyperlink" Target="https://www.bloomberglinea.com/latinoamerica/mexico/exclusiva-demanda-de-minera-china-ganfeng-por-litio-carece-de-elementos-dice-buenrostro/" TargetMode="External" Id="rId143"/><Relationship Type="http://schemas.openxmlformats.org/officeDocument/2006/relationships/hyperlink" Target="https://www.fmprc.gov.cn/mfa_eng/xw/zyxw/202407/t20240705_11448612.html" TargetMode="External" Id="rId144"/><Relationship Type="http://schemas.openxmlformats.org/officeDocument/2006/relationships/hyperlink" Target="https://www.fmprc.gov.cn/eng/xw/zyxw/202407/t20240712_11453074.html" TargetMode="External" Id="rId145"/><Relationship Type="http://schemas.openxmlformats.org/officeDocument/2006/relationships/hyperlink" Target="https://elbuho.pe/?p=353963" TargetMode="External" Id="rId146"/><Relationship Type="http://schemas.openxmlformats.org/officeDocument/2006/relationships/hyperlink" Target="https://proactivo.com.pe/ministro-arista-tia-maria-tiene-que-salir" TargetMode="External" Id="rId147"/><Relationship Type="http://schemas.openxmlformats.org/officeDocument/2006/relationships/hyperlink" Target="https://www.scmp.com/news/world/united-states-canada/article/3275383/argentina-join-us-minerals-partnership-diversify-supply-chains-away-china" TargetMode="External" Id="rId148"/><Relationship Type="http://schemas.openxmlformats.org/officeDocument/2006/relationships/hyperlink" Target="https://batimes.com.ar/news/economy/argentina-united-states-ink-accord-for-cooperation-on-critical-minerals.phtml" TargetMode="External" Id="rId149"/><Relationship Type="http://schemas.openxmlformats.org/officeDocument/2006/relationships/hyperlink" Target="https://batimes.com.ar/news/economy/argentina-united-states-ink-accord-for-cooperation-on-critical-minerals.phtml" TargetMode="External" Id="rId150"/><Relationship Type="http://schemas.openxmlformats.org/officeDocument/2006/relationships/hyperlink" Target="https://policy.trade.ec.europa.eu/news/eu-and-us-welcome-new-members-minerals-security-partnership-2024-09-27_pt" TargetMode="External" Id="rId151"/><Relationship Type="http://schemas.openxmlformats.org/officeDocument/2006/relationships/hyperlink" Target="https://www.lacapital.com.ar/economia/javier-milei-y-el-sorpresivo-romance-china-no-exige-nada-n10156237.html" TargetMode="External" Id="rId152"/><Relationship Type="http://schemas.openxmlformats.org/officeDocument/2006/relationships/hyperlink" Target="https://mexicobusiness.news/mining/news/sheinbaums-administration-develop-lithium-production-chain" TargetMode="External" Id="rId153"/><Relationship Type="http://schemas.openxmlformats.org/officeDocument/2006/relationships/hyperlink" Target="https://www.poder360.com.br/poder-infra/mineracao-taboca-e-vendida-para-a-chinesa-cnmc-por-us-340-milhoes/" TargetMode="External" Id="rId154"/><Relationship Type="http://schemas.openxmlformats.org/officeDocument/2006/relationships/hyperlink" Target="https://caribbeantoday.com/sections/business-blog/suriname-signs-multi-million-dollar-agreement-with-chinese-company-for-developing-bauxite-sector" TargetMode="External" Id="rId155"/><Relationship Type="http://schemas.openxmlformats.org/officeDocument/2006/relationships/hyperlink" Target="https://bilaterals.org/peru-and-china-to-sign" TargetMode="External" Id="rId156"/><Relationship Type="http://schemas.openxmlformats.org/officeDocument/2006/relationships/hyperlink" Target="https://www.mfa.gov.cn/eng/xw/zyxw/202411/t20241118_11528090.html" TargetMode="External" Id="rId157"/><Relationship Type="http://schemas.openxmlformats.org/officeDocument/2006/relationships/hyperlink" Target="https://www.mfa.gov.cn/eng/xw/zyxw/202411/t20241114_11526463.html" TargetMode="External" Id="rId158"/><Relationship Type="http://schemas.openxmlformats.org/officeDocument/2006/relationships/hyperlink" Target="https://www.fmprc.gov.cn/eng/xw/zyxw/202411/t20241118_11528098.html" TargetMode="External" Id="rId159"/><Relationship Type="http://schemas.openxmlformats.org/officeDocument/2006/relationships/hyperlink" Target="https://www.fmprc.gov.cn/eng/xw/zyxw/202411/t20241116_11527528.html" TargetMode="External" Id="rId160"/><Relationship Type="http://schemas.openxmlformats.org/officeDocument/2006/relationships/hyperlink" Target="https://www.mfa.gov.cn/web/ziliao_674904/1179_674909/202412/t20241218_11497859.shtml" TargetMode="External" Id="rId161"/><Relationship Type="http://schemas.openxmlformats.org/officeDocument/2006/relationships/hyperlink" Target="https://www.fmprc.gov.cn/eng/xw/zyxw/202411/t20241116_11527528.html" TargetMode="External" Id="rId162"/><Relationship Type="http://schemas.openxmlformats.org/officeDocument/2006/relationships/hyperlink" Target="https://www.peru-retail.com/megapuerto-de-chancay-ministros-responden-a-propuesta-de-asesor-de-trump-sobre-aranceles-de-60/" TargetMode="External" Id="rId163"/><Relationship Type="http://schemas.openxmlformats.org/officeDocument/2006/relationships/hyperlink" Target="https://www.freshfruitportal.com/news/2024/11/19/trump-advisor-proposes-tariffs-on-products-passing-through-new-chinese-built-peruvian-port/" TargetMode="External" Id="rId164"/><Relationship Type="http://schemas.openxmlformats.org/officeDocument/2006/relationships/hyperlink" Target="https://bidenwhitehouse.archives.gov/briefing-room/statements-releases/2024/11/19/readout-of-president-joe-bidens-meeting-with-president-luiz-inacio-lula-da-silva-of-brazil/" TargetMode="External" Id="rId165"/><Relationship Type="http://schemas.openxmlformats.org/officeDocument/2006/relationships/hyperlink" Target="https://www.mfa.gov.cn/web/zyxw/202412/t20241218_11497507.shtml" TargetMode="External" Id="rId166"/><Relationship Type="http://schemas.openxmlformats.org/officeDocument/2006/relationships/hyperlink" Target="https://mexicobusiness.news/mining/news/2025-pef-funding-litiomx-remains-insufficient" TargetMode="External" Id="rId167"/><Relationship Type="http://schemas.openxmlformats.org/officeDocument/2006/relationships/hyperlink" Target="https://www.todojujuy.com/carlos-sadirreafirmo-mendoza-el-compromiso-del-modelo-jujeno-mineria-n261459" TargetMode="External" Id="rId168"/><Relationship Type="http://schemas.openxmlformats.org/officeDocument/2006/relationships/hyperlink" Target="https://elbuho.pe/2024/11/congreso-aprueba-ampliar-el-reinfo-por-seis-meses/" TargetMode="External" Id="rId169"/><Relationship Type="http://schemas.openxmlformats.org/officeDocument/2006/relationships/hyperlink" Target="https://eju.tv/?p=4445411" TargetMode="External" Id="rId170"/><Relationship Type="http://schemas.openxmlformats.org/officeDocument/2006/relationships/hyperlink" Target="https://www.peru-retail.com/congreso-establece-ley-marco-para-la-creacion-de-zonas-economicas-especiales-privadas/" TargetMode="External" Id="rId171"/><Relationship Type="http://schemas.openxmlformats.org/officeDocument/2006/relationships/hyperlink" Target="https://mexicobusiness.news/mining/news/sonora-plan-advance-2025-us-support-ebrard" TargetMode="External" Id="rId172"/><Relationship Type="http://schemas.openxmlformats.org/officeDocument/2006/relationships/hyperlink" Target="https://guyanachronicle.com/2025/01/15/bauxite-success-story-continues/" TargetMode="External" Id="rId173"/><Relationship Type="http://schemas.openxmlformats.org/officeDocument/2006/relationships/hyperlink" Target="https://www.lanacion.com.py/negocios/2025/01/12/paraguay-tiene-atractivos-geologicos-interesantes-para-la-explotacion-minera/" TargetMode="External" Id="rId174"/><Relationship Type="http://schemas.openxmlformats.org/officeDocument/2006/relationships/hyperlink" Target="https://www.bloomberglinea.com/latinoamerica/bolivia/el-nuevo-gobierno-de-bolivia-quiere-reescribir-las-reglas-del-litio-en-plena-crisis-economica/" TargetMode="External" Id="rId175"/><Relationship Type="http://schemas.openxmlformats.org/officeDocument/2006/relationships/hyperlink" Target="https://es.mongabay.com/2025/02/litio-bolivia-contratos-empresas-de-china-rusia/" TargetMode="External" Id="rId176"/><Relationship Type="http://schemas.openxmlformats.org/officeDocument/2006/relationships/hyperlink" Target="https://es.mongabay.com/2025/02/litio-bolivia-contratos-empresas-de-china-rusia/" TargetMode="External" Id="rId177"/><Relationship Type="http://schemas.openxmlformats.org/officeDocument/2006/relationships/hyperlink" Target="https://infonegocios.com.py/default/exportacion-de-minerales-paraguay-cuenta-con-8-millones-de-toneladas-de-uranio-empresas-ya-analizan-su-extraccion" TargetMode="External" Id="rId178"/><Relationship Type="http://schemas.openxmlformats.org/officeDocument/2006/relationships/hyperlink" Target="https://correodelsur.com/economia/20250205/litio-mas-observaciones-apuntan-a-contrato-con-la-rusa-uranium-one.html" TargetMode="External" Id="rId179"/><Relationship Type="http://schemas.openxmlformats.org/officeDocument/2006/relationships/hyperlink" Target="https://www.lostiempos.com/actualidad/economia/20250212/potosi-exige-mas-regalias-del-litio-transparencia-contratos" TargetMode="External" Id="rId180"/><Relationship Type="http://schemas.openxmlformats.org/officeDocument/2006/relationships/hyperlink" Target="https://www.ambito.com/ambito-nacional/gustavo-saenz-celebro-inicio-la-produccion-cloruro-litio-salta-es-protagonista-la-transicion-energetica-n6112963" TargetMode="External" Id="rId181"/><Relationship Type="http://schemas.openxmlformats.org/officeDocument/2006/relationships/hyperlink" Target="https://www.armed-services.senate.gov/imo/media/doc/holsey_statement.pdf" TargetMode="External" Id="rId182"/><Relationship Type="http://schemas.openxmlformats.org/officeDocument/2006/relationships/hyperlink" Target="https://eju.tv/?p=4518265" TargetMode="External" Id="rId183"/><Relationship Type="http://schemas.openxmlformats.org/officeDocument/2006/relationships/hyperlink" Target="https://eju.tv/?p=4521361" TargetMode="External" Id="rId184"/><Relationship Type="http://schemas.openxmlformats.org/officeDocument/2006/relationships/hyperlink" Target="https://www.swissinfo.ch/spa/juzgado-boliviano-revierte-orden-que-detuvo-contratos-con-rusia-y-china-para-extraer-litio/89476306" TargetMode="External" Id="rId185"/><Relationship Type="http://schemas.openxmlformats.org/officeDocument/2006/relationships/hyperlink" Target="https://www.latercera.com/la-tercera-domingo/noticia/entrevista-a-niu-qingbao-embajador-de-china-las-amenazas-de-eeuu-no-cambiaran-la-base-de-la-cooperacion-entre-china-y-chile/" TargetMode="External" Id="rId186"/><Relationship Type="http://schemas.openxmlformats.org/officeDocument/2006/relationships/hyperlink" Target="https://www.latercera.com/la-tercera-domingo/noticia/entrevista-a-niu-qingbao-embajador-de-china-las-amenazas-de-eeuu-no-cambiaran-la-base-de-la-cooperacion-entre-china-y-chile/" TargetMode="External" Id="rId187"/><Relationship Type="http://schemas.openxmlformats.org/officeDocument/2006/relationships/hyperlink" Target="https://www.lapoliticaonline.com/politica/el-secretario-del-tesoro-de-trump-rechazo-darle-un-prestamo-a-milei-y-le-pidio-que-desarme-el-swap-con-china/" TargetMode="External" Id="rId188"/><Relationship Type="http://schemas.openxmlformats.org/officeDocument/2006/relationships/hyperlink" Target="https://www.eldinamo.cl/pais/2025/04/15/la-moneda-lanza-ofensiva-contra-evelyn-matthei-tras-cuestionar-acuerdo-codelco-sqm-por-el-litio/" TargetMode="External" Id="rId189"/><Relationship Type="http://schemas.openxmlformats.org/officeDocument/2006/relationships/hyperlink" Target="https://www.eldinamo.cl/pais/2025/04/15/la-moneda-lanza-ofensiva-contra-evelyn-matthei-tras-cuestionar-acuerdo-codelco-sqm-por-el-litio/" TargetMode="External" Id="rId190"/><Relationship Type="http://schemas.openxmlformats.org/officeDocument/2006/relationships/hyperlink" Target="https://www.eldinamo.cl/pais/2025/04/15/la-moneda-lanza-ofensiva-contra-evelyn-matthei-tras-cuestionar-acuerdo-codelco-sqm-por-el-litio/" TargetMode="External" Id="rId191"/><Relationship Type="http://schemas.openxmlformats.org/officeDocument/2006/relationships/hyperlink" Target="https://mexicobusiness.news/mining/news/litiomx-go-beyond-extraction-under-new-national-strategy" TargetMode="External" Id="rId192"/><Relationship Type="http://schemas.openxmlformats.org/officeDocument/2006/relationships/hyperlink" Target="https://movimentoeconomico.com.br/economia/2025/04/23/brasil-promete-politica-nacional-para-minerais-criticos-de-olho-na-china/" TargetMode="External" Id="rId193"/><Relationship Type="http://schemas.openxmlformats.org/officeDocument/2006/relationships/hyperlink" Target="https://gestion.pe/economia/embajador-chino-en-peru-song-yang-cree-que-regular-el-puerto-de-chancay-seria-irracional-noticia/" TargetMode="External" Id="rId194"/><Relationship Type="http://schemas.openxmlformats.org/officeDocument/2006/relationships/hyperlink" Target="https://proactivo.com.pe/china-anima-a-peru-a-fortalecer-su-proyeccion-asia-pacifico-frente-a-desafios-arancelarios/" TargetMode="External" Id="rId195"/><Relationship Type="http://schemas.openxmlformats.org/officeDocument/2006/relationships/hyperlink" Target="https://www.df.cl/empresas/juntas-de-accionistas/codelco-estamos-en-un-momento-critico-de-la-historia-y-no-podemos-repetir" TargetMode="External" Id="rId196"/><Relationship Type="http://schemas.openxmlformats.org/officeDocument/2006/relationships/hyperlink" Target="https://elbuho.pe/2025/05/arequipa-ministro-anuncia-radicalizacion-para-pataz-proyecto-tia-maria/" TargetMode="External" Id="rId197"/><Relationship Type="http://schemas.openxmlformats.org/officeDocument/2006/relationships/hyperlink" Target="https://electrive.com/2025/05/08/byd-tsingshan-pull-out-of-chile-lithium-projects" TargetMode="External" Id="rId198"/><Relationship Type="http://schemas.openxmlformats.org/officeDocument/2006/relationships/hyperlink" Target="https://www.cnnchile.com/negocios/china-descarta-que-byd-y-tsingshan-dejen-atras-proyectos-de-explotacion-del-litio-en-chile_20250508/" TargetMode="External" Id="rId199"/><Relationship Type="http://schemas.openxmlformats.org/officeDocument/2006/relationships/hyperlink" Target="https://forbes.cl/negocios/2025-05-09/la-embajada-de-china-en-chile-contradice-al-gobierno-y-asegura-que-byd-y-tsingshan-mantienen-sus-proyectos-en-el-pais" TargetMode="External" Id="rId200"/><Relationship Type="http://schemas.openxmlformats.org/officeDocument/2006/relationships/hyperlink" Target="https://www.df.cl/economia-y-politica/gobierno/grau-aclara-que-chinas-byd-y-tsingshan-declinaron-de-participar-en" TargetMode="External" Id="rId201"/><Relationship Type="http://schemas.openxmlformats.org/officeDocument/2006/relationships/hyperlink" Target="https://www.mfa.gov.cn/web/ziliao_674904/1179_674909/202505/t20250513_11622237.shtml" TargetMode="External" Id="rId202"/><Relationship Type="http://schemas.openxmlformats.org/officeDocument/2006/relationships/hyperlink" Target="https://www.fmprc.gov.cn/esp/zxxx/202505/t20250514_11622942.html" TargetMode="External" Id="rId203"/><Relationship Type="http://schemas.openxmlformats.org/officeDocument/2006/relationships/hyperlink" Target="https://www.latercera.com/pulso/noticia/ivan-mlynarz-nadie-puede-cuestionar-la-experiencia-las-capacidades-ni-el-interes-de-rio-tinto/" TargetMode="External" Id="rId204"/><Relationship Type="http://schemas.openxmlformats.org/officeDocument/2006/relationships/hyperlink" Target="https://correodelsur.com/economia/20250606/justicia-reactiva-contratos-de-litio-con-rusia-y-china.html" TargetMode="External" Id="rId205"/><Relationship Type="http://schemas.openxmlformats.org/officeDocument/2006/relationships/hyperlink" Target="https://www.latercera.com/politica/noticia/acuerdo-por-el-litio-jara-apunta-a-herencia-pinochetista-de-sqm-y-desata-tenso-cruce-en-debate-de-primarias/" TargetMode="External" Id="rId206"/><Relationship Type="http://schemas.openxmlformats.org/officeDocument/2006/relationships/hyperlink" Target="https://www.latercera.com/politica/noticia/acuerdo-por-el-litio-jara-apunta-a-herencia-pinochetista-de-sqm-y-desata-tenso-cruce-en-debate-de-primarias/" TargetMode="External" Id="rId207"/><Relationship Type="http://schemas.openxmlformats.org/officeDocument/2006/relationships/hyperlink" Target="https://www.swissinfo.ch/spa/juzgado-boliviano-revierte-orden-que-detuvo-contratos-con-rusia-y-china-para-extraer-litio/89476306" TargetMode="External" Id="rId208"/><Relationship Type="http://schemas.openxmlformats.org/officeDocument/2006/relationships/hyperlink" Target="https://correodelsur.com/economia/20250606/justicia-reactiva-contratos-de-litio-con-rusia-y-china.html" TargetMode="External" Id="rId209"/><Relationship Type="http://schemas.openxmlformats.org/officeDocument/2006/relationships/hyperlink" Target="https://www.primicias.ec/economia/tasa-minera-vigencia-publicacion-registro-oficial-daniel-noboa-98958/" TargetMode="External" Id="rId210"/><Relationship Type="http://schemas.openxmlformats.org/officeDocument/2006/relationships/hyperlink" Target="https://mexico.quadratin.com.mx/anuncia-pan-reforma-para-extinguir-litiomx/" TargetMode="External" Id="rId211"/><Relationship Type="http://schemas.openxmlformats.org/officeDocument/2006/relationships/hyperlink" Target="https://www.primicias.ec/economia/gobierno-noboa-reversion-concesiones-grandes-mineras-exploracion-99443/" TargetMode="External" Id="rId212"/><Relationship Type="http://schemas.openxmlformats.org/officeDocument/2006/relationships/hyperlink" Target="https://www.eldinamo.cl/economia/negocios-economia/2025/06/30/camara-de-diputados-pide-anular-acuerdo-entre-codelco-y-sqm-por-el-litio/" TargetMode="External" Id="rId213"/><Relationship Type="http://schemas.openxmlformats.org/officeDocument/2006/relationships/hyperlink" Target="https://rtvc.es/trump-pone-el-ojo-en-minerales-estrategicos-brasilenos-25-de-julio-de-2025/" TargetMode="External" Id="rId214"/><Relationship Type="http://schemas.openxmlformats.org/officeDocument/2006/relationships/hyperlink" Target="https://www.fundacionandresbello.org/en/news/bolivia-&#127463;&#127476;-news/china-reaffirms-support-for-private-lithium-investments-in-bolivia-and-respects-countrys-sovereignty/" TargetMode="External" Id="rId215"/><Relationship Type="http://schemas.openxmlformats.org/officeDocument/2006/relationships/hyperlink" Target="https://mexiconewsdaily.com/?p=509770" TargetMode="External" Id="rId216"/><Relationship Type="http://schemas.openxmlformats.org/officeDocument/2006/relationships/hyperlink" Target="https://eju.tv/2025/07/comcipo-instala-vigilia-en-potosi-y-amenaza-con-movilizarse-en-la-paz-en-rechazo-a-los-contratos-del-litio/" TargetMode="External" Id="rId217"/><Relationship Type="http://schemas.openxmlformats.org/officeDocument/2006/relationships/hyperlink" Target="https://agenciainfra.com/blog/arnaldo-jardim-apresentara-relatorio-sobre-marco-dos-minerais-criticos-em-agosto/" TargetMode="External" Id="rId218"/><Relationship Type="http://schemas.openxmlformats.org/officeDocument/2006/relationships/hyperlink" Target="https://www.meganoticias.cl/nacional/491543-boric-trump-arancel-cobre-en-diplomacia-no-se-hace-politica-por-redes-sociales-brk-9-7-2025.html" TargetMode="External" Id="rId219"/><Relationship Type="http://schemas.openxmlformats.org/officeDocument/2006/relationships/hyperlink" Target="https://politica.expansion.mx/presidencia/2025/07/09/sheinbaum-responde-a-trump-aranceles" TargetMode="External" Id="rId220"/><Relationship Type="http://schemas.openxmlformats.org/officeDocument/2006/relationships/hyperlink" Target="https://zetatijuana.com/2025/07/trump-impondra-arancel-del-50-al-cobre-el-1-de-agosto-sheinbaum-enviara-delegacion-a-eu/" TargetMode="External" Id="rId221"/><Relationship Type="http://schemas.openxmlformats.org/officeDocument/2006/relationships/hyperlink" Target="https://www.lostiempos.com/node/657360" TargetMode="External" Id="rId222"/><Relationship Type="http://schemas.openxmlformats.org/officeDocument/2006/relationships/hyperlink" Target="https://www.meganoticias.cl/nacional/491737-canciller-alberto-van-klaveren-arancel-donald-trump-mundo-y-eeuu-va-a-seguir-necesitando-cobre-chileno-brk-10-7-2025.html" TargetMode="External" Id="rId223"/><Relationship Type="http://schemas.openxmlformats.org/officeDocument/2006/relationships/hyperlink" Target="https://www.meganoticias.cl/nacional/491737-canciller-alberto-van-klaveren-arancel-donald-trump-mundo-y-eeuu-va-a-seguir-necesitando-cobre-chileno-brk-10-7-2025.html" TargetMode="External" Id="rId224"/><Relationship Type="http://schemas.openxmlformats.org/officeDocument/2006/relationships/hyperlink" Target="https://www.elmostrador.cl/noticias/pais/2025/07/11/presidente-boric-cuando-nos-tocan-el-cobre-salimos-todos-a-defenderlo-con-unidad-nacional/" TargetMode="External" Id="rId225"/><Relationship Type="http://schemas.openxmlformats.org/officeDocument/2006/relationships/hyperlink" Target="https://www.biobiochile.cl/biobiotv/programas/radiograma-biobiotv/2025/07/11/amp/arancel-al-cobre-de-trump-tensiona-la-carrera-presidencial-genera-recriminaciones-cruzadas.shtml" TargetMode="External" Id="rId226"/><Relationship Type="http://schemas.openxmlformats.org/officeDocument/2006/relationships/hyperlink" Target="https://www.camara.cl/cms/?p=88071" TargetMode="External" Id="rId227"/><Relationship Type="http://schemas.openxmlformats.org/officeDocument/2006/relationships/hyperlink" Target="https://www.camara.cl/cms/?p=88071" TargetMode="External" Id="rId228"/><Relationship Type="http://schemas.openxmlformats.org/officeDocument/2006/relationships/hyperlink" Target="https://www.fundacionandresbello.org/?p=14535" TargetMode="External" Id="rId229"/><Relationship Type="http://schemas.openxmlformats.org/officeDocument/2006/relationships/hyperlink" Target="https://buenosairesherald.com/world/international-relations/china-accuses-us-ambassador-nominee-of-cold-war-mentality" TargetMode="External" Id="rId230"/><Relationship Type="http://schemas.openxmlformats.org/officeDocument/2006/relationships/hyperlink" Target="https://www.lanacion.com.ar/politica/china-le-respondio-al-embajador-que-designo-donald-trump-para-la-argentina-nid23072025/" TargetMode="External" Id="rId231"/><Relationship Type="http://schemas.openxmlformats.org/officeDocument/2006/relationships/hyperlink" Target="https://www.lanacion.com.ar/economia/el-gobierno-aprobo-el-sexto-proyecto-del-rigi-y-confirmo-el-primer-rechazo-nid23072025/" TargetMode="External" Id="rId232"/><Relationship Type="http://schemas.openxmlformats.org/officeDocument/2006/relationships/hyperlink" Target="https://rtvc.es/trump-pone-el-ojo-en-minerales-estrategicos-brasilenos-25-de-julio-de-2025/" TargetMode="External" Id="rId233"/><Relationship Type="http://schemas.openxmlformats.org/officeDocument/2006/relationships/hyperlink" Target="https://www.jb.com.br/brasil/politica/2025/07/1056348-lula-defende-soberania-do-brasil-sobre-minerais-criticos.html" TargetMode="External" Id="rId234"/><Relationship Type="http://schemas.openxmlformats.org/officeDocument/2006/relationships/hyperlink" Target="https://www.reporteminero.cl/noticia/noticias/2025/07/gobierno-celebra-exclusion-cobre-chileno-arancel-estados-unidos" TargetMode="External" Id="rId235"/><Relationship Type="http://schemas.openxmlformats.org/officeDocument/2006/relationships/hyperlink" Target="https://www.reporteminero.cl/noticia/noticias/2025/07/gobierno-celebra-exclusion-cobre-chileno-arancel-estados-unidos" TargetMode="External" Id="rId236"/><Relationship Type="http://schemas.openxmlformats.org/officeDocument/2006/relationships/hyperlink" Target="https://www.reporteminero.cl/noticia/noticias/2025/07/gobierno-celebra-exclusion-cobre-chileno-arancel-estados-unidos" TargetMode="External" Id="rId237"/><Relationship Type="http://schemas.openxmlformats.org/officeDocument/2006/relationships/hyperlink" Target="https://www.whitehouse.gov/presidential-actions/2025/07/adjusting-imports-of-copper-into-the-united-states/" TargetMode="External" Id="rId238"/><Relationship Type="http://schemas.openxmlformats.org/officeDocument/2006/relationships/hyperlink" Target="https://www.jornalopcao.com.br/ultimas-noticias/associacao-americana-pede-que-trump-intervenha-em-venda-de-plantas-de-niquel-em-goias-para-chineses-738568/" TargetMode="External" Id="rId239"/><Relationship Type="http://schemas.openxmlformats.org/officeDocument/2006/relationships/hyperlink" Target="https://www.miningmx.com/top-story/62257-brazil-probes-anglo-american-nickel-disposal/" TargetMode="External" Id="rId240"/><Relationship Type="http://schemas.openxmlformats.org/officeDocument/2006/relationships/hyperlink" Target="https://www.df.cl/economia-y-politica/pais/candidatos-y-sus-propuestas-para-la-mineria-desde-el-litio-concesible-a" TargetMode="External" Id="rId241"/><Relationship Type="http://schemas.openxmlformats.org/officeDocument/2006/relationships/hyperlink" Target="https://www.df.cl/economia-y-politica/pais/candidatos-y-sus-propuestas-para-la-mineria-desde-el-litio-concesible-a" TargetMode="External" Id="rId242"/><Relationship Type="http://schemas.openxmlformats.org/officeDocument/2006/relationships/hyperlink" Target="https://www.df.cl/economia-y-politica/pais/candidatos-y-sus-propuestas-para-la-mineria-desde-el-litio-concesible-a" TargetMode="External" Id="rId243"/><Relationship Type="http://schemas.openxmlformats.org/officeDocument/2006/relationships/hyperlink" Target="https://www.df.cl/economia-y-politica/pais/candidatos-y-sus-propuestas-para-la-mineria-desde-el-litio-concesible-a" TargetMode="External" Id="rId244"/><Relationship Type="http://schemas.openxmlformats.org/officeDocument/2006/relationships/hyperlink" Target="https://www.reporteminero.cl/noticia/noticias/2025/08/ministro-de-economia-alvaro-garcia-espera-concretar-acuerdo-de-litio-entre-codelco-y-sqm-antes-de-2026" TargetMode="External" Id="rId245"/><Relationship Type="http://schemas.openxmlformats.org/officeDocument/2006/relationships/hyperlink" Target="https://www.cnnbrasil.com.br/politica/entrevista-lula-minerais-criticos/" TargetMode="External" Id="rId246"/><Relationship Type="http://schemas.openxmlformats.org/officeDocument/2006/relationships/hyperlink" Target="https://eju.tv/?p=4720246" TargetMode="External" Id="rId247"/><Relationship Type="http://schemas.openxmlformats.org/officeDocument/2006/relationships/hyperlink" Target="https://eju.tv/?p=4720246" TargetMode="External" Id="rId248"/><Relationship Type="http://schemas.openxmlformats.org/officeDocument/2006/relationships/hyperlink" Target="https://www.elmostrador.cl/noticias/pais/2025/08/12/jara-destaca-reforma-previsional-y-vuelve-a-repetir-no-se-nacionalizara-el-cobre-ni-el-litio/" TargetMode="External" Id="rId249"/><Relationship Type="http://schemas.openxmlformats.org/officeDocument/2006/relationships/hyperlink" Target="https://energiminas.com/2025/08/13/mmg-advierte-que-elecciones-en-peru-representan-un-riesgo-para-la-mina-las-bambas/" TargetMode="External" Id="rId250"/><Relationship Type="http://schemas.openxmlformats.org/officeDocument/2006/relationships/hyperlink" Target="https://www.laestrella.com.pa/mundo/comando-sur-alerta-en-buenos-aires-sobre-la-expansion-autoritaria-de-china-en-la-region-PA15372937" TargetMode="External" Id="rId251"/><Relationship Type="http://schemas.openxmlformats.org/officeDocument/2006/relationships/hyperlink" Target="https://correodelsur.com/economia/20250820/con-la-llegada-del-nuevo-gobierno-arce-afirma-que-los-contratos-del-litio-estan-en-riesgo.html" TargetMode="External" Id="rId252"/><Relationship Type="http://schemas.openxmlformats.org/officeDocument/2006/relationships/hyperlink" Target="https://www.tvn-2.com/mundo/suramerica/candidato-quiroga-exige-frenar-contratos_1_2203435.html" TargetMode="External" Id="rId253"/><Relationship Type="http://schemas.openxmlformats.org/officeDocument/2006/relationships/hyperlink" Target="https://news.ifeng.com/c/8m6jJ98fkpY" TargetMode="External" Id="rId254"/><Relationship Type="http://schemas.openxmlformats.org/officeDocument/2006/relationships/hyperlink" Target="https://www.poder360.com.br/poder-governo/lula-diz-que-conselho-dos-minerais-criticos-comeca-em-setembro/" TargetMode="External" Id="rId255"/><Relationship Type="http://schemas.openxmlformats.org/officeDocument/2006/relationships/hyperlink" Target="https://www.reporteminero.cl/noticia/noticias/2025/11/eeuu-financia-serra-verde-tierras-raras-brasil" TargetMode="External" Id="rId256"/><Relationship Type="http://schemas.openxmlformats.org/officeDocument/2006/relationships/hyperlink" Target="https://www.diariodecuyo.com.ar/cuyominero/lucero-secretario-de-mineria-de-la-nacion-estuvo-en-el-senado-y-hablo-del-futuro-de-un-mineral-clave-nuestro-cobre-esta-vendido-1769348.html" TargetMode="External" Id="rId257"/><Relationship Type="http://schemas.openxmlformats.org/officeDocument/2006/relationships/hyperlink" Target="https://www.congressoemfoco.com.br/noticia/111948/governo-reestrutura-conselho-mineral-com-foco-em-terras-raras" TargetMode="External" Id="rId258"/><Relationship Type="http://schemas.openxmlformats.org/officeDocument/2006/relationships/hyperlink" Target="https://agenciainfra.com/blog/camara-aprova-urgencia-para-politica-de-minerais-criticos/" TargetMode="External" Id="rId259"/><Relationship Type="http://schemas.openxmlformats.org/officeDocument/2006/relationships/hyperlink" Target="https://agenciainfra.com/blog/camara-aprova-urgencia-para-politica-de-minerais-criticos/" TargetMode="External" Id="rId260"/><Relationship Type="http://schemas.openxmlformats.org/officeDocument/2006/relationships/hyperlink" Target="https://forbes.pe/economia-y-finanzas/2025-09-23/tia-maria-comenzara-construccion-en-octubre-segun-gobernador-de-arequipa/" TargetMode="External" Id="rId261"/><Relationship Type="http://schemas.openxmlformats.org/officeDocument/2006/relationships/hyperlink" Target="https://energiminas.com/2025/09/27/ministro-montero-el-peru-seguira-siendo-en-los-proximos-25-a-30-anos-una-oportunidad-enorme-para-el-desarrollo-de-la-mineria-global/" TargetMode="External" Id="rId262"/><Relationship Type="http://schemas.openxmlformats.org/officeDocument/2006/relationships/hyperlink" Target="https://www.canal26.com/politica/2025/10/10/scott-bessent-aseguro-que-javier-milei-esta-comprometido-con-sacar-a-china-de-argentina/" TargetMode="External" Id="rId263"/><Relationship Type="http://schemas.openxmlformats.org/officeDocument/2006/relationships/hyperlink" Target="https://jovempan.com.br/politica/alexandre-silveira-destaca-potencial-de-parceria-com-eua-em-minerais-criticos/" TargetMode="External" Id="rId264"/><Relationship Type="http://schemas.openxmlformats.org/officeDocument/2006/relationships/hyperlink" Target="https://www.cnnbrasil.com.br/economia/macroeconomia/brasil-quer-processar-minerais-criticos-nao-exportar-commodity-diz-lula/" TargetMode="External" Id="rId265"/><Relationship Type="http://schemas.openxmlformats.org/officeDocument/2006/relationships/hyperlink" Target="https://www.surinametimes.com/artikel/suriname-to-renegotiate-with-chinalco" TargetMode="External" Id="rId266"/><Relationship Type="http://schemas.openxmlformats.org/officeDocument/2006/relationships/hyperlink" Target="https://caribbeantoday.com/sections/business-blog/president-greelings-simons-says-suriname-will-not-export-bauxite-under-any-circumstances" TargetMode="External" Id="rId267"/><Relationship Type="http://schemas.openxmlformats.org/officeDocument/2006/relationships/hyperlink" Target="https://www.bloomberglinea.com/latinoamerica/bolivia/el-nuevo-gobierno-de-bolivia-quiere-reescribir-las-reglas-del-litio-en-plena-crisis-economica/" TargetMode="External" Id="rId268"/><Relationship Type="http://schemas.openxmlformats.org/officeDocument/2006/relationships/hyperlink" Target="https://www.bloomberglinea.com/latinoamerica/bolivia/el-nuevo-gobierno-de-bolivia-quiere-reescribir-las-reglas-del-litio-en-plena-crisis-economica/" TargetMode="External" Id="rId269"/><Relationship Type="http://schemas.openxmlformats.org/officeDocument/2006/relationships/hyperlink" Target="https://news.bgov.com/environment-and-energy/us-backs-brazilian-rare-earth-project-with-465-million-funding" TargetMode="External" Id="rId270"/><Relationship Type="http://schemas.openxmlformats.org/officeDocument/2006/relationships/hyperlink" Target="https://www.miningweekly.com/article/china-grants-conditional-approval-for-codelco-sqm-lithium-joint-venture-2025-11-10" TargetMode="External" Id="rId271"/><Relationship Type="http://schemas.openxmlformats.org/officeDocument/2006/relationships/hyperlink" Target="https://www.govinfo.gov/content/pkg/DCPD-202501117/html/DCPD-202501117.htm" TargetMode="External" Id="rId272"/><Relationship Type="http://schemas.openxmlformats.org/officeDocument/2006/relationships/hyperlink" Target="https://www.mdzol.com/dinero/acuerdo-estados-unidos-se-facilitara-el-comercio-minerales-criticos-n1385355" TargetMode="External" Id="rId273"/><Relationship Type="http://schemas.openxmlformats.org/officeDocument/2006/relationships/hyperlink" Target="https://www.reporteminero.cl/noticia/noticias/2025/11/ministro-mineria-bolivia-marco-calderon-2025" TargetMode="External" Id="rId274"/><Relationship Type="http://schemas.openxmlformats.org/officeDocument/2006/relationships/hyperlink" Target="https://energiminas.com/2025/11/24/un-ano-mas-me-parece-razonable-presidente-jeri-sobre-ampliacion-del-reinfo/" TargetMode="External" Id="rId275"/><Relationship Type="http://schemas.openxmlformats.org/officeDocument/2006/relationships/hyperlink" Target="https://www.whitehouse.gov/wp-content/uploads/2025/12/2025-National-Security-Strategy.pdf" TargetMode="External" Id="rId276"/><Relationship Type="http://schemas.openxmlformats.org/officeDocument/2006/relationships/hyperlink" Target="https://elbuho.pe/2025/12/congreso-aprueban-ampliacion-del-reinfo-hasta-el-31-de-diciembre-de-2026/" TargetMode="External" Id="rId277"/><Relationship Type="http://schemas.openxmlformats.org/officeDocument/2006/relationships/hyperlink" Target="https://www.lostiempos.com/actualidad/economia/20251208/china-eeuu-pugnan-triangulo-del-litio-del-que-forma-parte-bolivia" TargetMode="External" Id="rId278"/><Relationship Type="http://schemas.openxmlformats.org/officeDocument/2006/relationships/hyperlink" Target="https://agenciainfra.com/blog/?p=33602" TargetMode="External" Id="rId279"/><Relationship Type="http://schemas.openxmlformats.org/officeDocument/2006/relationships/hyperlink" Target="https://www.news.cn/world/20251210/b545159c29b8403b9abe934f261f57b6/c.html" TargetMode="External" Id="rId280"/><Relationship Type="http://schemas.openxmlformats.org/officeDocument/2006/relationships/hyperlink" Target="https://www.primicias.ec/economia/2026-minas-oro-plata-cobre-mineria-catastro-ecuador-111611/" TargetMode="External" Id="rId281"/><Relationship Type="http://schemas.openxmlformats.org/officeDocument/2006/relationships/hyperlink" Target="https://www.miningreporters.com/noticia/news/2025/12/peru-weighs-agreement-us-critical-minerals-hugo-de-zela" TargetMode="External" Id="rId282"/><Relationship Type="http://schemas.openxmlformats.org/officeDocument/2006/relationships/hyperlink" Target="https://www.portafolio.co/energia/fue-abierta-una-nueva-ronda-minera-con-14-areas-estrategicas-para-impulsar-la-transicion-energetica-484836" TargetMode="External" Id="rId283"/><Relationship Type="http://schemas.openxmlformats.org/officeDocument/2006/relationships/hyperlink" Target="https://www.lanacion.com.py/negocios/2025/12/17/el-subsuelo-paraguayo-despierta-interes-mundial-por-titanio-y-uranio/" TargetMode="External" Id="rId284"/><Relationship Type="http://schemas.openxmlformats.org/officeDocument/2006/relationships/hyperlink" Target="https://www.reporteminero.cl/noticia/noticias/2026/01/bolivia-respetara-contratos-litio-hidrocarburos-transparencia-inversion" TargetMode="External" Id="rId285"/><Relationship Type="http://schemas.openxmlformats.org/officeDocument/2006/relationships/hyperlink" Target="https://eixos.com.br/transicao-energetica/mme-inicia-estudo-para-estruturar-estrategia-nacional-de-terras-raras/" TargetMode="External" Id="rId286"/><Relationship Type="http://schemas.openxmlformats.org/officeDocument/2006/relationships/hyperlink" Target="https://www.bloomberglinea.com/latinoamerica/bolivia/bolivia-impulsaria-nueva-ley-de-litio-con-reglas-claras-y-participacion-de-inversion-privada/" TargetMode="External" Id="rId287"/><Relationship Type="http://schemas.openxmlformats.org/officeDocument/2006/relationships/hyperlink" Target="https://www.bloomberglinea.com/latinoamerica/bolivia/bolivia-impulsaria-nueva-ley-de-litio-con-reglas-claras-y-participacion-de-inversion-privada/" TargetMode="External" Id="rId288"/><Relationship Type="http://schemas.openxmlformats.org/officeDocument/2006/relationships/hyperlink" Target="https://correodelsur.com/economia/20260128/litio-evaluan-contratos-y-no-descartan-anularlos.html" TargetMode="External" Id="rId289"/><Relationship Type="http://schemas.openxmlformats.org/officeDocument/2006/relationships/hyperlink" Target="https://www.unotv.com/nacional/minerales-criticos-tmec-mexico-ee-uu/" TargetMode="External" Id="rId290"/><Relationship Type="http://schemas.openxmlformats.org/officeDocument/2006/relationships/hyperlink" Target="https://www.unotv.com/nacional/ebrard-se-reunira-con-ee-uu-para-negociar-explotacion-de-minerales-criticos-en-t-mec/" TargetMode="External" Id="rId291"/><Relationship Type="http://schemas.openxmlformats.org/officeDocument/2006/relationships/hyperlink" Target="https://gestion.pe/economia/puerto-de-chancay-que-dice-cosco-shipping-ports-ante-los-cuestionamientos-de-estados-unidos-noticia/" TargetMode="External" Id="rId292"/><Relationship Type="http://schemas.openxmlformats.org/officeDocument/2006/relationships/hyperlink" Target="https://www.wyomingpublicmedia.org/2026-02-11/in-blunt-warning-the-u-s-says-peru-could-lose-its-sovereignty-to-china" TargetMode="External" Id="rId293"/><Relationship Type="http://schemas.openxmlformats.org/officeDocument/2006/relationships/hyperlink" Target="https://www.redimin.cl/brandon-judd-despliega-en-chile-una-ofensiva-diplomatica-para-blindar-la-inversion-estadounidense?amp=1" TargetMode="External" Id="rId294"/><Relationship Type="http://schemas.openxmlformats.org/officeDocument/2006/relationships/hyperlink" Target="https://92.5.118.90.traefik.me/20260203/bolivia-to-honor-transparent-lithium-deals-with-russia-china---president-1123572887.html" TargetMode="External" Id="rId295"/><Relationship Type="http://schemas.openxmlformats.org/officeDocument/2006/relationships/hyperlink" Target="https://www.bloomberglinea.com/latinoamerica/argentina/argentina-avanza-en-adhesion-a-zona-de-preferencia-de-minerales-criticos-lanzada-por-eeuu/" TargetMode="External" Id="rId296"/><Relationship Type="http://schemas.openxmlformats.org/officeDocument/2006/relationships/hyperlink" Target="https://www.bloomberglinea.com/latinoamerica/argentina/argentina-avanza-en-adhesion-a-zona-de-preferencia-de-minerales-criticos-lanzada-por-eeuu/" TargetMode="External" Id="rId297"/><Relationship Type="http://schemas.openxmlformats.org/officeDocument/2006/relationships/hyperlink" Target="https://www.lostiempos.com/actualidad/pais/20260204/bolivia-participa-conferencia-eeuu-suministro-minerales-criticos" TargetMode="External" Id="rId298"/><Relationship Type="http://schemas.openxmlformats.org/officeDocument/2006/relationships/hyperlink" Target="https://www.primicias.ec/economia/tierras-raras-acuerdo-estados-unidos-proyectos-ecuador-activos-estrategicos-116336/" TargetMode="External" Id="rId299"/><Relationship Type="http://schemas.openxmlformats.org/officeDocument/2006/relationships/hyperlink" Target="https://www.primicias.ec/economia/tierras-raras-acuerdo-estados-unidos-proyectos-ecuador-activos-estrategicos-116336/" TargetMode="External" Id="rId300"/><Relationship Type="http://schemas.openxmlformats.org/officeDocument/2006/relationships/hyperlink" Target="https://ustr.gov/about/policy-offices/press-office/press-releases/2026/february/ambassador-jamieson-greer-announces-us-mexico-action-plan-critical-minerals" TargetMode="External" Id="rId301"/><Relationship Type="http://schemas.openxmlformats.org/officeDocument/2006/relationships/hyperlink" Target="https://vanguardia.com.mx/noticias/mexico/mexico-y-eu-lanzan-plan-sobre-minerales-criticos-ebrard-dice-que-habra-plan-de-trabajo-conjunto-CO19176235" TargetMode="External" Id="rId302"/><Relationship Type="http://schemas.openxmlformats.org/officeDocument/2006/relationships/hyperlink" Target="https://www.reporteminero.cl/noticia/noticias/2026/02/peru-minem-reunion-ministerial-minerales-criticos-washington" TargetMode="External" Id="rId303"/><Relationship Type="http://schemas.openxmlformats.org/officeDocument/2006/relationships/hyperlink" Target="https://andina.pe/ingles/noticia-perus-foreign-affairs-minister-signs-critical-minerals-mou-in-us-1061912.aspx" TargetMode="External" Id="rId304"/><Relationship Type="http://schemas.openxmlformats.org/officeDocument/2006/relationships/hyperlink" Target="https://andina.pe/ingles/noticia-perus-foreign-affairs-minister-signs-critical-minerals-mou-in-us-1061912.aspx" TargetMode="External" Id="rId305"/><Relationship Type="http://schemas.openxmlformats.org/officeDocument/2006/relationships/hyperlink" Target="https://www.globalsecurity.org/military/library/news/2026/02/mil-260204-state02.htm" TargetMode="External" Id="rId306"/><Relationship Type="http://schemas.openxmlformats.org/officeDocument/2006/relationships/hyperlink" Target="https://buenosairesherald.com/business/argentina-and-us-sign-critical-minerals-agreement" TargetMode="External" Id="rId307"/><Relationship Type="http://schemas.openxmlformats.org/officeDocument/2006/relationships/hyperlink" Target="https://news.ifeng.com/c/8qZTwaL5AxS" TargetMode="External" Id="rId308"/><Relationship Type="http://schemas.openxmlformats.org/officeDocument/2006/relationships/hyperlink" Target="https://www.diariodecuyo.com.ar/cuyominero/argentina-y-estados-unidos-suscribieron-un-acuerdo-sobre-minerales-criticos-1829029.html" TargetMode="External" Id="rId309"/><Relationship Type="http://schemas.openxmlformats.org/officeDocument/2006/relationships/hyperlink" Target="https://www.uniindia.com/news/world/us-partners-sign-11-critical-minerals-agreements-to-secure-supply-chains/3730388.html" TargetMode="External" Id="rId310"/><Relationship Type="http://schemas.openxmlformats.org/officeDocument/2006/relationships/hyperlink" Target="https://www.yucatan.com.mx/mexico/2026/02/09/sheinbaum-descarta-cambios-a-la-ley-minera-ante-negociaciones-por-minerales-criticos-con-ee-uu.html" TargetMode="External" Id="rId311"/><Relationship Type="http://schemas.openxmlformats.org/officeDocument/2006/relationships/hyperlink" Target="https://www.reporteminero.cl/noticia/noticias/2026/02/acuerdo-argentina-eeuu-minerales-criticos-no-excluye-china-quirno" TargetMode="External" Id="rId312"/><Relationship Type="http://schemas.openxmlformats.org/officeDocument/2006/relationships/hyperlink" Target="https://www.wyomingpublicmedia.org/2026-02-11/in-blunt-warning-the-u-s-says-peru-could-lose-its-sovereignty-to-china" TargetMode="External" Id="rId313"/><Relationship Type="http://schemas.openxmlformats.org/officeDocument/2006/relationships/hyperlink" Target="https://www.primicias.ec/economia/estados-unidos-ecuador-tierras-raras-cobre-oro-suministro-china-115849/" TargetMode="External" Id="rId314"/><Relationship Type="http://schemas.openxmlformats.org/officeDocument/2006/relationships/hyperlink" Target="https://www.excelsior.com.mx/nacional/minerales-criticos-no-estan-negociacion-sheinbaum" TargetMode="External" Id="rId315"/><Relationship Type="http://schemas.openxmlformats.org/officeDocument/2006/relationships/hyperlink" Target="https://www.lapoliticaonline.com/mexico/industria-mx/mexico-busca-colocarse-en-acuerdos-multilaterales-para-asegurar-el-suministro-de-14-minerales-criticos-7316/" TargetMode="External" Id="rId316"/><Relationship Type="http://schemas.openxmlformats.org/officeDocument/2006/relationships/hyperlink" Target="https://www.wyomingpublicmedia.org/2026-02-11/in-blunt-warning-the-u-s-says-peru-could-lose-its-sovereignty-to-china" TargetMode="External" Id="rId317"/><Relationship Type="http://schemas.openxmlformats.org/officeDocument/2006/relationships/hyperlink" Target="https://www.bostonglobe.com/2026/02/12/nation/us-says-peru-could-lose-its-sovereignty-to-china/" TargetMode="External" Id="rId318"/><Relationship Type="http://schemas.openxmlformats.org/officeDocument/2006/relationships/hyperlink" Target="https://eju.tv/2026/02/comcipo-le-recuerda-a-paz-que-firmo-un-acta-de-compromiso-con-potosi-sobre-la-industrializacion-del-litio-cuando-era-candidato/" TargetMode="External" Id="rId319"/><Relationship Type="http://schemas.openxmlformats.org/officeDocument/2006/relationships/hyperlink" Target="https://www.poder360.com.br/poder-governo/brasil-e-india-firmam-acordo-sobre-minerais-criticos-entenda/" TargetMode="External" Id="rId320"/><Relationship Type="http://schemas.openxmlformats.org/officeDocument/2006/relationships/hyperlink" Target="https://www.poder360.com.br/poder-governo/lula-diz-que-terras-raras-nao-serao-exploradas-como-ferro/" TargetMode="External" Id="rId321"/><Relationship Type="http://schemas.openxmlformats.org/officeDocument/2006/relationships/hyperlink" Target="https://www.armed-services.senate.gov/download/03/03/2026/transcript" TargetMode="External" Id="rId322"/><Relationship Type="http://schemas.openxmlformats.org/officeDocument/2006/relationships/hyperlink" Target="https://agenciainfra.com/blog/?p=37013" TargetMode="External" Id="rId323"/><Relationship Type="http://schemas.openxmlformats.org/officeDocument/2006/relationships/hyperlink" Target="https://mase.lmneuquen.com/mineria/argentina-reformo-la-ley-glaciares-137-votos-favor-abren-el-ambiente-periglacial-la-mineria-n1234460" TargetMode="External" Id="rId324"/><Relationship Type="http://schemas.openxmlformats.org/officeDocument/2006/relationships/hyperlink" Target="https://www.lavozdesanjusto.com.ar/el-oficialismo-logro-aprobar-la-reforma-a-la-ley-de-glaciares-en-el-senado" TargetMode="External" Id="rId325"/><Relationship Type="http://schemas.openxmlformats.org/officeDocument/2006/relationships/hyperlink" Target="https://www.laestrella.com.pa/mundo/venezuela-y-estados-unidos-impulsan-la-inversion-minera-tras-reunion-entre-delcy-rodriguez-y-doug-burgum-BA20467723" TargetMode="External" Id="rId326"/><Relationship Type="http://schemas.openxmlformats.org/officeDocument/2006/relationships/hyperlink" Target="https://www.mining.com/web/venezuela-mining-reform-coming-soon-acting-president-says/" TargetMode="External" Id="rId327"/><Relationship Type="http://schemas.openxmlformats.org/officeDocument/2006/relationships/hyperlink" Target="https://www.reporteminero.cl/noticia/noticias/2026/03/milei-chile-competencia-capital-minero-argentina" TargetMode="External" Id="rId328"/><Relationship Type="http://schemas.openxmlformats.org/officeDocument/2006/relationships/hyperlink" Target="https://lapatilla.com/2026/03/05/jorge-rodriguez-afirmo-que-la-ley-de-minas-sera-reformada-lo-mas-pronto-posible/" TargetMode="External" Id="rId329"/><Relationship Type="http://schemas.openxmlformats.org/officeDocument/2006/relationships/hyperlink" Target="https://lapatilla.com/2026/03/09/an-chavista-aprobo-en-primera-discusion-el-proyecto-de-la-ley-de-minas/" TargetMode="External" Id="rId330"/><Relationship Type="http://schemas.openxmlformats.org/officeDocument/2006/relationships/hyperlink" Target="https://newsletter.en.creamermedia.com/article/chile-us-eye-collaboration-on-rare-earths-and-other-critical-minerals-2026-03-13" TargetMode="External" Id="rId331"/><Relationship Type="http://schemas.openxmlformats.org/officeDocument/2006/relationships/hyperlink" Target="https://eldesconcierto.cl/2026/03/12/cancilleria-anuncia-acuerdo-con-eeuu-para-reforzar-suministro-de-minerales-criticos-y-tierras-raras" TargetMode="External" Id="rId332"/><Relationship Type="http://schemas.openxmlformats.org/officeDocument/2006/relationships/hyperlink" Target="https://www.primicias.ec/economia/licitacion-proyecto-cobre-llurimagua-mineria-consulta-ambiental-imbabura-118038/" TargetMode="External" Id="rId333"/><Relationship Type="http://schemas.openxmlformats.org/officeDocument/2006/relationships/hyperlink" Target="https://www.poder360.com.br/poder-infra/caiado-diz-que-goias-sera-parceiro-dos-eua-e-nao-so-fornecedor/" TargetMode="External" Id="rId334"/><Relationship Type="http://schemas.openxmlformats.org/officeDocument/2006/relationships/hyperlink" Target="https://datamarnews.com/?p=68504" TargetMode="External" Id="rId335"/><Relationship Type="http://schemas.openxmlformats.org/officeDocument/2006/relationships/hyperlink" Target="https://www.metropoles.com/colunas/milena-teixeira/o-que-dizem-diplomatas-sobre-caiado-trump-e-as-terras-raras" TargetMode="External" Id="rId336"/><Relationship Type="http://schemas.openxmlformats.org/officeDocument/2006/relationships/hyperlink" Target="https://www.metropoles.com/colunas/milena-teixeira/o-que-dizem-diplomatas-sobre-caiado-trump-e-as-terras-raras" TargetMode="External" Id="rId337"/><Relationship Type="http://schemas.openxmlformats.org/officeDocument/2006/relationships/hyperlink" Target="https://www.nsctotal.com.br/?p=7856727" TargetMode="External" Id="rId338"/><Relationship Type="http://schemas.openxmlformats.org/officeDocument/2006/relationships/hyperlink" Target="https://www.ellitoral.com/internacionales/ahora-hoy-china-estadosunidos-peterlamelas-milei-trump-inversion-disputa_0_KBryk0qMJI.amp.html" TargetMode="External" Id="rId339"/><Relationship Type="http://schemas.openxmlformats.org/officeDocument/2006/relationships/hyperlink" Target="https://www.jornalopcao.com.br/ultimas-noticias/banco-norte-americano-confirma-que-financiamento-de-meio-bilhao-a-mineradora-em-minacu-da-aos-eua-acesso-a-terras-raras-brasileiras-811785/" TargetMode="External" Id="rId340"/><Relationship Type="http://schemas.openxmlformats.org/officeDocument/2006/relationships/hyperlink" Target="https://www.infomoney.com.br/?p=3306288" TargetMode="External" Id="rId341"/><Relationship Type="http://schemas.openxmlformats.org/officeDocument/2006/relationships/hyperlink" Target="https://www.jornalopcao.com.br/ultimas-noticias/banco-norte-americano-confirma-que-financiamento-de-meio-bilhao-a-mineradora-em-minacu-da-aos-eua-acesso-a-terras-raras-brasileiras-811785/" TargetMode="External" Id="rId342"/><Relationship Type="http://schemas.openxmlformats.org/officeDocument/2006/relationships/hyperlink" Target="https://www.swissinfo.ch/spa/china-critica-las-licencias-mineras-de-ee.-uu.-en-venezuela-por-excluir-a-sus-empresas/91192964" TargetMode="External" Id="rId343"/><Relationship Type="http://schemas.openxmlformats.org/officeDocument/2006/relationships/hyperlink" Target="https://elperuano.pe/noticia/292880-elecciones-2026-keiko-fujimori-propone-promover-mineria-con-respeto-al-medio-ambiente" TargetMode="External" Id="rId344"/><Relationship Type="http://schemas.openxmlformats.org/officeDocument/2006/relationships/hyperlink" Target="https://www.first-quantum.com/news/government-of-panama-approves-processing-of-stockpiled-ore-at-cobre-panama/" TargetMode="External" Id="rId345"/><Relationship Type="http://schemas.openxmlformats.org/officeDocument/2006/relationships/hyperlink" Target="https://www.poder360.com.br/poder-governo/essa-gente-vai-vender-o-brasil-diz-lula-sobre-flavio-e-caiado/" TargetMode="External" Id="rId346"/><Relationship Type="http://schemas.openxmlformats.org/officeDocument/2006/relationships/hyperlink" Target="https://mase.lmneuquen.com/mineria/argentina-reformo-la-ley-glaciares-137-votos-favor-abren-el-ambiente-periglacial-la-mineria-n1234460" TargetMode="External" Id="rId347"/><Relationship Type="http://schemas.openxmlformats.org/officeDocument/2006/relationships/hyperlink" Target="https://mase.lmneuquen.com/mineria/argentina-reformo-la-ley-glaciares-137-votos-favor-abren-el-ambiente-periglacial-la-mineria-n1234460" TargetMode="External" Id="rId348"/><Relationship Type="http://schemas.openxmlformats.org/officeDocument/2006/relationships/hyperlink" Target="https://mase.lmneuquen.com/mineria/argentina-reformo-la-ley-glaciares-137-votos-favor-abren-el-ambiente-periglacial-la-mineria-n1234460" TargetMode="External" Id="rId349"/><Relationship Type="http://schemas.openxmlformats.org/officeDocument/2006/relationships/hyperlink" Target="https://www.scmp.com/news/china/article/3350379/us-will-help-peru-take-back-chancay-port-china-congress-chair-says" TargetMode="External" Id="rId350"/><Relationship Type="http://schemas.openxmlformats.org/officeDocument/2006/relationships/hyperlink" Target="https://www.abc.com.py/internacionales/2026/04/20/chile-y-estados-unidos-firman-memorandum-para-impulsar-industria-de-minerales-criticos/" TargetMode="External" Id="rId351"/><Relationship Type="http://schemas.openxmlformats.org/officeDocument/2006/relationships/hyperlink" Target="https://istoedinheiro.com.br/apos-ser-criticado-por-acordo-sobre-terras-raras-com-eua-caiado-diz-que-lula-vende-o-brasil" TargetMode="External" Id="rId352"/><Relationship Type="http://schemas.openxmlformats.org/officeDocument/2006/relationships/hyperlink" Target="https://www.infomoney.com.br/?p=3306288" TargetMode="External" Id="rId353"/><Relationship Type="http://schemas.openxmlformats.org/officeDocument/2006/relationships/hyperlink" Target="https://keyt.com/?p=1421195" TargetMode="External" Id="rId354"/><Relationship Type="http://schemas.openxmlformats.org/officeDocument/2006/relationships/hyperlink" Target="https://correodelsur.com/politica/20260428/sellan-pacto-entre-eeuu-y-bolivia-para-explotar-tierras-raras.html" TargetMode="External" Id="rId355"/><Relationship Type="http://schemas.openxmlformats.org/officeDocument/2006/relationships/hyperlink" Target="https://www.diariolasamericas.com/eeuu/eeuu-y-bolivia-pactan-compromiso-atraer-inversiones-litio-y-otros-minerales-criticos-n5394484" TargetMode="External" Id="rId356"/><Relationship Type="http://schemas.openxmlformats.org/officeDocument/2006/relationships/hyperlink" Target="https://www.lanacion.com.ar/economia/en-la-disputa-con-china-por-los-minerales-del-futuro-eeuu-pone-los-ojos-en-la-argentina-nid30042026/" TargetMode="External" Id="rId357"/><Relationship Type="http://schemas.openxmlformats.org/officeDocument/2006/relationships/hyperlink" Target="https://www.turbomachinerymag.com/view/global-supply-geopolitics-and-technology-set-tone-at-otc-2026-opening" TargetMode="External" Id="rId358"/><Relationship Type="http://schemas.openxmlformats.org/officeDocument/2006/relationships/hyperlink" Target="https://www.tvn-2.com/mundo/bolivia-busca-cooperacion-tecnologica-eeuupara_1_2239787.html" TargetMode="External" Id="rId359"/><Relationship Type="http://schemas.openxmlformats.org/officeDocument/2006/relationships/hyperlink" Target="https://sbtnews.sbt.com.br/noticia/politica/camara-aprova-pl-dos-minerais-criticos-e-estrategicos" TargetMode="External" Id="rId360"/><Relationship Type="http://schemas.openxmlformats.org/officeDocument/2006/relationships/hyperlink" Target="https://sbtnews.sbt.com.br/noticia/politica/camara-aprova-pl-dos-minerais-criticos-e-estrategicos" TargetMode="External" Id="rId361"/><Relationship Type="http://schemas.openxmlformats.org/officeDocument/2006/relationships/hyperlink" Target="https://olhardigital.com.br/2026/05/07/pro/lula-e-trump-falam-sobre-minerais-criticos-em-reuniao/" TargetMode="External" Id="rId362"/><Relationship Type="http://schemas.openxmlformats.org/officeDocument/2006/relationships/hyperlink" Target="https://olhardigital.com.br/2026/05/07/pro/lula-e-trump-falam-sobre-minerais-criticos-em-reuniao/" TargetMode="External" Id="rId363"/><Relationship Type="http://schemas.openxmlformats.org/officeDocument/2006/relationships/hyperlink" Target="https://correodelsur.com/economia/20260512/bolivia-ofrecera-estabilidad-tributaria-por-hasta-20-anos.html" TargetMode="External" Id="rId364"/><Relationship Type="http://schemas.openxmlformats.org/officeDocument/2006/relationships/hyperlink" Target="https://batimes.com.ar/news/economy/milei-approves-incentives-for-lithium-mine-expansion-with-china-ties.phtml" TargetMode="External" Id="rId365"/><Relationship Type="http://schemas.openxmlformats.org/officeDocument/2006/relationships/hyperlink" Target="https://kaieteurnewsonline.com/2026/05/18/china-rejects-u-s-congressmans-claims-of-interference-in-guyana/" TargetMode="External" Id="rId366"/><Relationship Type="http://schemas.openxmlformats.org/officeDocument/2006/relationships/hyperlink" Target="https://forbes.cl/actualidad/2026-05-25/maximo-pacheco-se-va-de-codelco-con-una-sorpresiva-renuncia-al-directorio-de-nova-andino-litio/" TargetMode="External" Id="rId367"/><Relationship Type="http://schemas.openxmlformats.org/officeDocument/2006/relationships/hyperlink" Target="https://forbes.cl/actualidad/2026-05-25/maximo-pacheco-se-va-de-codelco-con-una-sorpresiva-renuncia-al-directorio-de-nova-andino-litio/" TargetMode="External" Id="rId368"/><Relationship Type="http://schemas.openxmlformats.org/officeDocument/2006/relationships/hyperlink" Target="https://www.theclinic.cl/2026/05/25/republicanos-presionan-a-maximo-pacheco-y-piden-su-renuncia-en-el-directorio-de-novaandino-litio-debe-estar-protegida-de-cualquier-costo-reputacional/" TargetMode="External" Id="rId369"/><Relationship Type="http://schemas.openxmlformats.org/officeDocument/2006/relationships/hyperlink" Target="https://gestion.pe/mundo/internacional/nuevo-presidente-de-codelco-prioriza-rentabilidad-sobre-volumen-de-produccion-noticia/" TargetMode="External" Id="rId370"/><Relationship Type="http://schemas.openxmlformats.org/officeDocument/2006/relationships/hyperlink" Target="https://www.elancasti.com.ar/politica-y-economia/jalil-cuestiono-la-conurbanizacion-del-pj-y-defendio-el-impacto-del-rigi-la-provincia-n613717" TargetMode="External" Id="rId371"/><Relationship Type="http://schemas.openxmlformats.org/officeDocument/2006/relationships/hyperlink" Target="https://www.primicias.ec/economia/mineria-proyecto-cascabel-renegociacion-contrato-china-ministro-blum-124282/" TargetMode="External" Id="rId372"/><Relationship Type="http://schemas.openxmlformats.org/officeDocument/2006/relationships/hyperlink" Target="https://www12.senado.leg.br/radio/1/noticia/2026/06/02/especialistas-apoiam-projetos-de-regulamentacao-das-terras-raras" TargetMode="External" Id="rId373"/><Relationship Type="http://schemas.openxmlformats.org/officeDocument/2006/relationships/hyperlink" Target="https://www12.senado.leg.br/radio/1/noticia/2026/06/02/especialistas-apoiam-projetos-de-regulamentacao-das-terras-raras" TargetMode="External" Id="rId374"/><Relationship Type="http://schemas.openxmlformats.org/officeDocument/2006/relationships/hyperlink" Target="https://ianslive.in/us-steps-up-pushback-against-china-in-americas--20260603070603" TargetMode="External" Id="rId375"/><Relationship Type="http://schemas.openxmlformats.org/officeDocument/2006/relationships/hyperlink" Target="https://www.reporteminero.cl/noticia/noticias/2026/06/crisis-bolivia-litio-reservas-minerales-criticos" TargetMode="External" Id="rId376"/><Relationship Type="http://schemas.openxmlformats.org/officeDocument/2006/relationships/hyperlink" Target="https://econojournal.com.ar/mineria/el-gobierno-aprueba-el-ingreso-de-vicuna-al-rigi-el-megaproyecto-de-cobre-que-promete-una-inversion-inicial-de-us9-700-millones/" TargetMode="External" Id="rId377"/><Relationship Type="http://schemas.openxmlformats.org/officeDocument/2006/relationships/hyperlink" Target="https://mineriaenergia.com/inauguracion-de-conamin-la-mineria-es-una-actividad-estrategica-que-impulsa-la-inversion/" TargetMode="External" Id="rId378"/><Relationship Type="http://schemas.openxmlformats.org/officeDocument/2006/relationships/hyperlink" Target="https://www.primicias.ec/economia/viceministro-minas-ecuacorriente-mirador-construccion-hidroelectrica-mina-cobre-acuerdo-contrato126746-126746/" TargetMode="External" Id="rId379"/><Relationship Type="http://schemas.openxmlformats.org/officeDocument/2006/relationships/hyperlink" Target="https://elceo.com/negocios/reviven-a-litiomx-gobierno-refrenda-que-no-habra-concesiones-para-explotacion-del-oro-blanco/" TargetMode="External" Id="rId380"/><Relationship Type="http://schemas.openxmlformats.org/officeDocument/2006/relationships/hyperlink" Target="https://sbtnews.sbt.com.br/noticia/economia/silveira-defende-investimento-dos-eua-em-minerais-criticos" TargetMode="External" Id="rId381"/><Relationship Type="http://schemas.openxmlformats.org/officeDocument/2006/relationships/hyperlink" Target="https://andina.pe/ingles/noticia-peru-president-balcazar-highlights-uranium-and-lithium-benefits-for-national-development-1082594.aspx" TargetMode="External" Id="rId382"/><Relationship Type="http://schemas.openxmlformats.org/officeDocument/2006/relationships/hyperlink" Target="https://www.reporteminero.cl/noticia/noticias/2026/07/codelco-rentabilidad-produccion-bernardo-fontaine-jorge-gomez" TargetMode="External" Id="rId383"/><Relationship Type="http://schemas.openxmlformats.org/officeDocument/2006/relationships/hyperlink" Target="https://www.foreign.senate.gov/download/071426_kozak_testimonypdf" TargetMode="External" Id="rId384"/><Relationship Type="http://schemas.openxmlformats.org/officeDocument/2006/relationships/hyperlink" Target="https://www.primicias.ec/economia/aranceles-estados-unidos-ecuador-banano-cacao-flores-minerales-exentos-camaron-128777/" TargetMode="External" Id="rId385"/><Relationship Type="http://schemas.openxmlformats.org/officeDocument/2006/relationships/hyperlink" Target="https://www.minenergia.gov.co/es/sala-de-prensa/noticias-index/gobierno-nacional-radica-proyecto-de-ley-minera-para-modernizar-el-sector/" TargetMode="External" Id="rId386"/><Relationship Type="http://schemas.openxmlformats.org/officeDocument/2006/relationships/hyperlink" Target="https://www.losandes.com.ar/mundo/asumio-keiko-fujimori-como-presidenta-peru-iremos-las-mafias-del-narcotrafico-y-la-mineria-ilegal-n6000200" TargetMode="External" Id="rId387"/><Relationship Type="http://schemas.openxmlformats.org/officeDocument/2006/relationships/hyperlink" Target="https://www.latintimes.com/inside-keiko-fujimoris-first-month-mining-billions-emergency-powers-fuel-revolt-598899" TargetMode="External" Id="rId388"/><Relationship Type="http://schemas.openxmlformats.org/officeDocument/2006/relationships/hyperlink" Target="https://www.ultimahora.com/hay-indicios-de-tierras-raras-en-paraguay" TargetMode="External" Id="rId389"/><Relationship Type="http://schemas.openxmlformats.org/officeDocument/2006/relationships/hyperlink" Target="https://www.primicias.ec/economia/ecuador-controles-previos-exportaciones-minerales-china-oro-cobre-130355/" TargetMode="External" Id="rId390"/><Relationship Type="http://schemas.openxmlformats.org/officeDocument/2006/relationships/hyperlink" Target="https://eixos.com.br/mineracao/mercadante-diz-que-esta-na-hora-de-trazer-a-petrobras-a-discussao-sobre-terras-raras/" TargetMode="External" Id="rId391"/><Relationship Type="http://schemas.openxmlformats.org/officeDocument/2006/relationships/hyperlink" Target="https://www.primicias.ec/economia/enami-empresa-minera-convocatoria-estudio-planta-procesamiento-minerales-130577/" TargetMode="External" Id="rId392"/><Relationship Type="http://schemas.openxmlformats.org/officeDocument/2006/relationships/hyperlink" Target="https://energiminas.com/2026/08/27/presidente-chileno-sobre-codelco-hay-que-ordenar-la-casa/" TargetMode="External" Id="rId393"/><Relationship Type="http://schemas.openxmlformats.org/officeDocument/2006/relationships/hyperlink" Target="https://eldesconcierto.cl/actualidad/gobierno-impulsa-proyectos-tierras-raras-biobio-nuble-y-maule-mientras-crecen-las-concesiones-n5462197" TargetMode="External" Id="rId394"/><Relationship Type="http://schemas.openxmlformats.org/officeDocument/2006/relationships/hyperlink" Target="https://www.thestar.com.my/aseanplus/aseanplus-news/2026/09/12/us-secretary-of-state-rubio-arrives-in-colombia-to-clarify-china-ties-sign-minerals-deal" TargetMode="External" Id="rId395"/><Relationship Type="http://schemas.openxmlformats.org/officeDocument/2006/relationships/hyperlink" Target="https://www.maisgoias.com.br/politica/senado-aprova-projeto-de-lei-que-regulamenta-exploracao-de-terras-raras-no-brasil/" TargetMode="External" Id="rId396"/><Relationship Type="http://schemas.openxmlformats.org/officeDocument/2006/relationships/hyperlink" Target="https://congressoemfoco.com.br/noticia/121917/lula-e-hugo-motta-comemoram-aprovacao-da-politica-de-minerais-criticos" TargetMode="External" Id="rId397"/><Relationship Type="http://schemas.openxmlformats.org/officeDocument/2006/relationships/hyperlink" Target="https://congressoemfoco.com.br/noticia/121917/lula-e-hugo-motta-comemoram-aprovacao-da-politica-de-minerais-criticos" TargetMode="External" Id="rId398"/><Relationship Type="http://schemas.openxmlformats.org/officeDocument/2006/relationships/hyperlink" Target="https://www.congressoemfoco.com.br/noticia/121911/senado-aprova-politica-de-minerais-criticos-texto-vai-a-sancao" TargetMode="External" Id="rId399"/><Relationship Type="http://schemas.openxmlformats.org/officeDocument/2006/relationships/hyperlink" Target="https://cambiocolombia.com/pais/articulo/2026/9/acuerdos-de-barranquilla-colombia-y-estados-unidos-firman-pactos-sobre-minerales-criticos-y-energia-nuclear" TargetMode="External" Id="rId400"/><Relationship Type="http://schemas.openxmlformats.org/officeDocument/2006/relationships/hyperlink" Target="https://cambiocolombia.com/pais/articulo/2026/9/acuerdos-de-barranquilla-colombia-y-estados-unidos-firman-pactos-sobre-minerales-criticos-y-energia-nuclear" TargetMode="External" Id="rId401"/><Relationship Type="http://schemas.openxmlformats.org/officeDocument/2006/relationships/hyperlink" Target="https://www.thestar.com.my/aseanplus/aseanplus-news/2026/09/12/us-secretary-of-state-rubio-arrives-in-colombia-to-clarify-china-ties-sign-minerals-deal" TargetMode="External" Id="rId402"/><Relationship Type="http://schemas.openxmlformats.org/officeDocument/2006/relationships/hyperlink" Target="https://www.minenergia.gov.co/es/sala-de-prensa/noticias-index/colombia-profundiza-cooperacion-con-estados-unidos-en-minerales-estrategicos-y-energia-nuclear-para-fortalecer-su-seguridad-energetica/" TargetMode="External" Id="rId403"/><Relationship Type="http://schemas.openxmlformats.org/officeDocument/2006/relationships/hyperlink" Target="https://mineriaenergia.com/?p=66730" TargetMode="External" Id="rId404"/><Relationship Type="http://schemas.openxmlformats.org/officeDocument/2006/relationships/hyperlink" Target="https://www.eluniversal.com.co/mundo/2026/09/10/marco-rubio-cierra-su-gira-por-suramerica-con-encuentro-clave-con-keiko-fujimori/" TargetMode="External" Id="rId405"/><Relationship Type="http://schemas.openxmlformats.org/officeDocument/2006/relationships/hyperlink" Target="https://www.as-coa.org/articles/trump-latin-america-rubio-courts-allies-colombia-ecuador-and-peru" TargetMode="External" Id="rId406"/><Relationship Type="http://schemas.openxmlformats.org/officeDocument/2006/relationships/hyperlink" Target="https://www.primicias.ec/politica/visita-marco-rubio-ecuador-2026-reunion-daniel-noboa-quito-132180/" TargetMode="External" Id="rId407"/><Relationship Type="http://schemas.openxmlformats.org/officeDocument/2006/relationships/hyperlink" Target="https://gestion.pe/peru/canciller-carlos-espa-peru-busca-posicionarse-como-socio-estrategico-en-minerales-criticos-y-atraer-inversion-de-eeuu-noticia/" TargetMode="External" Id="rId408"/><Relationship Type="http://schemas.openxmlformats.org/officeDocument/2006/relationships/hyperlink" Target="https://www.larepublica.co/globoeconomia/la-embajada-de-china-defiende-comercio-bilateral-con-peru-previo-a-visita-de-marco-rubio-4477861" TargetMode="External" Id="rId409"/><Relationship Type="http://schemas.openxmlformats.org/officeDocument/2006/relationships/hyperlink" Target="https://www.itatiaia.com.br/politica/lula-defende-soberania-e-critica-adversarios-que-negociaram-terras-raras-a-preco-de-banana" TargetMode="External" Id="rId410"/><Relationship Type="http://schemas.openxmlformats.org/officeDocument/2006/relationships/hyperlink" Target="https://kfgo.com/?p=1356419" TargetMode="External" Id="rId411"/><Relationship Type="http://schemas.openxmlformats.org/officeDocument/2006/relationships/hyperlink" Target="https://www.presidencia.gob.pa/publicacion/la-comision-interministerial-entrego-al-presidente-de-la-republica-el-informe-final-sobre-el-sitio-minero-cobre-panama-y-el-documento-se-publico-el-mismo-dia" TargetMode="External" Id="rId412"/><Relationship Type="http://schemas.openxmlformats.org/officeDocument/2006/relationships/hyperlink" Target="https://www.presidencia.gob.pa/publicacion/la-comision-interministerial-entrego-al-presidente-de-la-republica-el-informe-final-sobre-el-sitio-minero-cobre-panama-y-el-documento-se-publico-el-mismo-dia" TargetMode="External" Id="rId413"/><Relationship Type="http://schemas.openxmlformats.org/officeDocument/2006/relationships/hyperlink" Target="https://www.presidencia.gob.pa/publicacion/la-comision-interministerial-entrego-al-presidente-de-la-republica-el-informe-final-sobre-el-sitio-minero-cobre-panama-y-el-documento-se-publico-el-mismo-dia" TargetMode="External" Id="rId414"/><Relationship Type="http://schemas.openxmlformats.org/officeDocument/2006/relationships/hyperlink" Target="https://www.presidencia.gob.pa/publicacion/la-comision-interministerial-entrego-al-presidente-de-la-republica-el-informe-final-sobre-el-sitio-minero-cobre-panama-y-el-documento-se-publico-el-mismo-dia" TargetMode="External" Id="rId415"/><Relationship Type="http://schemas.openxmlformats.org/officeDocument/2006/relationships/hyperlink" Target="https://gestion.pe/mundo/internacional/medio-millon-de-mineros-amenazan-el-auge-de-los-minerales-criticos-en-bolivia-noticia/" TargetMode="External" Id="rId416"/><Relationship Type="http://schemas.openxmlformats.org/officeDocument/2006/relationships/hyperlink" Target="https://gestion.pe/mundo/internacional/medio-millon-de-mineros-amenazan-el-auge-de-los-minerales-criticos-en-bolivia-noticia/" TargetMode="External" Id="rId417"/><Relationship Type="http://schemas.openxmlformats.org/officeDocument/2006/relationships/table" Target="/xl/tables/table1.xml" Id="rId418"/></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filterMode="0">
    <outlinePr summaryBelow="1" summaryRight="1"/>
    <pageSetUpPr fitToPage="0"/>
  </sheetPr>
  <dimension ref="A1:B2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23" min="1" max="1"/>
    <col width="95" customWidth="1" style="23" min="2" max="2"/>
  </cols>
  <sheetData>
    <row r="1" ht="17.25" customHeight="1" s="24">
      <c r="A1" s="34" t="inlineStr">
        <is>
          <t>Public statements on critical minerals: China, the US and Latin America</t>
        </is>
      </c>
    </row>
    <row r="2" ht="15" customHeight="1" s="24">
      <c r="A2" s="35" t="inlineStr">
        <is>
          <t>Source file: statements.csv (provided by the user). No values were changed; only formatting, country names and readable labels were added.</t>
        </is>
      </c>
    </row>
    <row r="3"/>
    <row r="4" ht="15" customHeight="1" s="24">
      <c r="A4" s="27" t="inlineStr">
        <is>
          <t>Sheets</t>
        </is>
      </c>
      <c r="B4" s="28" t="n"/>
    </row>
    <row r="5" ht="23.25" customHeight="1" s="24">
      <c r="A5" s="29" t="inlineStr">
        <is>
          <t>Statements</t>
        </is>
      </c>
      <c r="B5" s="28" t="inlineStr">
        <is>
          <t>Readable table, one row per statement, sorted by date. Filter with the header arrows. The Source column links to the original article or document.</t>
        </is>
      </c>
    </row>
    <row r="6" ht="15" customHeight="1" s="24">
      <c r="A6" s="29" t="inlineStr">
        <is>
          <t>Coverage</t>
        </is>
      </c>
      <c r="B6" s="28" t="inlineStr">
        <is>
          <t>Count tables by country, speaker bloc, stance and mineral. All counts are formulas on the Data sheet.</t>
        </is>
      </c>
    </row>
    <row r="7" ht="15" customHeight="1" s="24">
      <c r="A7" s="29" t="inlineStr">
        <is>
          <t>Data</t>
        </is>
      </c>
      <c r="B7" s="28" t="inlineStr">
        <is>
          <t>All 29 original fields from statements.csv, in the original row order, unchanged.</t>
        </is>
      </c>
    </row>
    <row r="8" ht="15" customHeight="1" s="24">
      <c r="A8" s="29" t="n"/>
      <c r="B8" s="28" t="n"/>
    </row>
    <row r="9" ht="15" customHeight="1" s="24">
      <c r="A9" s="27" t="inlineStr">
        <is>
          <t>Key facts</t>
        </is>
      </c>
      <c r="B9" s="28" t="n"/>
    </row>
    <row r="10" ht="15" customHeight="1" s="24">
      <c r="A10" s="29" t="inlineStr">
        <is>
          <t>Statements</t>
        </is>
      </c>
      <c r="B10" s="28">
        <f>COUNTA(Data!$A$2:$A$418)</f>
        <v/>
      </c>
    </row>
    <row r="11" ht="15" customHeight="1" s="24">
      <c r="A11" s="29" t="inlineStr">
        <is>
          <t>Date range</t>
        </is>
      </c>
      <c r="B11" s="28">
        <f>MIN(Data!$C$2:$C$418)&amp;" to "&amp;MAX(Data!$C$2:$C$418)</f>
        <v/>
      </c>
    </row>
    <row r="12" ht="15" customHeight="1" s="24">
      <c r="A12" s="29" t="inlineStr">
        <is>
          <t>In 12-country scope</t>
        </is>
      </c>
      <c r="B12" s="28">
        <f>COUNTA(Data!$A$2:$A$418)-COUNTIF(Data!$D$2:$D$418,"MEX")-COUNTIF(Data!$D$2:$D$418,"PAN")-COUNTIF(Data!$D$2:$D$418,"REG")</f>
        <v/>
      </c>
    </row>
    <row r="13" ht="23.25" customHeight="1" s="24">
      <c r="A13" s="29" t="inlineStr">
        <is>
          <t>Outside scope</t>
        </is>
      </c>
      <c r="B13" s="28" t="inlineStr">
        <is>
          <t>Mexico (MEX) and Panama (PAN) are outside the 12 South American states; REG marks region-wide statements. They are kept and flagged in the "In 12-country scope" column.</t>
        </is>
      </c>
    </row>
    <row r="14" ht="15" customHeight="1" s="24">
      <c r="A14" s="29" t="n"/>
      <c r="B14" s="28" t="n"/>
    </row>
    <row r="15" ht="15" customHeight="1" s="24">
      <c r="A15" s="27" t="inlineStr">
        <is>
          <t>Added labels</t>
        </is>
      </c>
      <c r="B15" s="28" t="n"/>
    </row>
    <row r="16" ht="15" customHeight="1" s="24">
      <c r="A16" s="29" t="inlineStr">
        <is>
          <t>Country</t>
        </is>
      </c>
      <c r="B16" s="28" t="inlineStr">
        <is>
          <t>ISO-3 codes from the "country" field mapped to names (REG = Regional).</t>
        </is>
      </c>
    </row>
    <row r="17" ht="23.25" customHeight="1" s="24">
      <c r="A17" s="29" t="inlineStr">
        <is>
          <t>In 12-country scope</t>
        </is>
      </c>
      <c r="B17" s="28" t="inlineStr">
        <is>
          <t>Yes if the country is one of Argentina, Bolivia, Brazil, Chile, Colombia, Ecuador, Guyana, Paraguay, Peru, Suriname, Uruguay, Venezuela.</t>
        </is>
      </c>
    </row>
    <row r="18" ht="23.25" customHeight="1" s="24">
      <c r="A18" s="29" t="inlineStr">
        <is>
          <t>Labels</t>
        </is>
      </c>
      <c r="B18" s="28" t="inlineStr">
        <is>
          <t>Underscores replaced with spaces and semicolons with commas in channel, minerals, themes, stance, source type and verification. Raw codes remain on the Data sheet.</t>
        </is>
      </c>
    </row>
    <row r="19" ht="15" customHeight="1" s="24">
      <c r="A19" s="29" t="inlineStr">
        <is>
          <t>Verification</t>
        </is>
      </c>
      <c r="B19" s="28" t="inlineStr">
        <is>
          <t>Taken as given in the CSV: primary verified, secondary reported, or unverified.</t>
        </is>
      </c>
    </row>
    <row r="20"/>
    <row r="21">
      <c r="A21" s="23" t="inlineStr">
        <is>
          <t>Regenerated from political_statements_minerals.csv by pipeline/scripts/statements_workbook.py on 2026-10-09: 417 records.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418"/>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11" customWidth="1" style="23" min="1" max="2"/>
    <col width="12" customWidth="1" style="23" min="3" max="3"/>
    <col width="10" customWidth="1" style="23" min="4" max="4"/>
    <col width="22" customWidth="1" style="23" min="5" max="5"/>
    <col width="28" customWidth="1" style="23" min="6" max="6"/>
    <col width="16" customWidth="1" style="23" min="7" max="8"/>
    <col width="30" customWidth="1" style="23" min="9" max="9"/>
    <col width="60" customWidth="1" style="23" min="10" max="10"/>
    <col width="18" customWidth="1" style="23" min="11" max="11"/>
    <col width="24" customWidth="1" style="23" min="12" max="12"/>
    <col width="12" customWidth="1" style="23" min="13" max="14"/>
    <col width="45" customWidth="1" style="23" min="15" max="16"/>
    <col width="9" customWidth="1" style="23" min="17" max="17"/>
    <col width="26" customWidth="1" style="23" min="18" max="18"/>
    <col width="16" customWidth="1" style="23" min="19" max="20"/>
    <col width="35" customWidth="1" style="23" min="21" max="21"/>
  </cols>
  <sheetData>
    <row r="1" ht="30" customHeight="1" s="24">
      <c r="A1" s="30" t="inlineStr">
        <is>
          <t>ID</t>
        </is>
      </c>
      <c r="B1" s="30" t="inlineStr">
        <is>
          <t>Date</t>
        </is>
      </c>
      <c r="C1" s="30" t="inlineStr">
        <is>
          <t>Country</t>
        </is>
      </c>
      <c r="D1" s="30" t="inlineStr">
        <is>
          <t>In 12-country scope</t>
        </is>
      </c>
      <c r="E1" s="30" t="inlineStr">
        <is>
          <t>Speaker</t>
        </is>
      </c>
      <c r="F1" s="30" t="inlineStr">
        <is>
          <t>Role</t>
        </is>
      </c>
      <c r="G1" s="30" t="inlineStr">
        <is>
          <t>Speaker bloc</t>
        </is>
      </c>
      <c r="H1" s="30" t="inlineStr">
        <is>
          <t>Channel</t>
        </is>
      </c>
      <c r="I1" s="30" t="inlineStr">
        <is>
          <t>Event / context</t>
        </is>
      </c>
      <c r="J1" s="30" t="inlineStr">
        <is>
          <t>Summary</t>
        </is>
      </c>
      <c r="K1" s="30" t="inlineStr">
        <is>
          <t>Minerals</t>
        </is>
      </c>
      <c r="L1" s="30" t="inlineStr">
        <is>
          <t>Themes</t>
        </is>
      </c>
      <c r="M1" s="30" t="inlineStr">
        <is>
          <t>Stance on China</t>
        </is>
      </c>
      <c r="N1" s="30" t="inlineStr">
        <is>
          <t>Stance on US</t>
        </is>
      </c>
      <c r="O1" s="30" t="inlineStr">
        <is>
          <t>Quote (original)</t>
        </is>
      </c>
      <c r="P1" s="30" t="inlineStr">
        <is>
          <t>Quote (English)</t>
        </is>
      </c>
      <c r="Q1" s="30" t="inlineStr">
        <is>
          <t>Language</t>
        </is>
      </c>
      <c r="R1" s="30" t="inlineStr">
        <is>
          <t>Source</t>
        </is>
      </c>
      <c r="S1" s="30" t="inlineStr">
        <is>
          <t>Source type</t>
        </is>
      </c>
      <c r="T1" s="30" t="inlineStr">
        <is>
          <t>Verification</t>
        </is>
      </c>
      <c r="U1" s="30" t="inlineStr">
        <is>
          <t>Notes</t>
        </is>
      </c>
    </row>
    <row r="2" ht="45.75" customHeight="1" s="24">
      <c r="A2" s="31" t="inlineStr">
        <is>
          <t>PS-0001</t>
        </is>
      </c>
      <c r="B2" s="31" t="inlineStr">
        <is>
          <t>2019-03</t>
        </is>
      </c>
      <c r="C2" s="31" t="inlineStr">
        <is>
          <t>Peru</t>
        </is>
      </c>
      <c r="D2" s="31" t="inlineStr">
        <is>
          <t>Yes</t>
        </is>
      </c>
      <c r="E2" s="32" t="inlineStr">
        <is>
          <t>Paola Bustamante</t>
        </is>
      </c>
      <c r="F2" s="32" t="inlineStr">
        <is>
          <t>Minister of Development and Social Inclusion of Peru</t>
        </is>
      </c>
      <c r="G2" s="32" t="inlineStr">
        <is>
          <t>LatAm executive</t>
        </is>
      </c>
      <c r="H2" s="32" t="inlineStr">
        <is>
          <t>press conference</t>
        </is>
      </c>
      <c r="I2" s="32" t="inlineStr">
        <is>
          <t>Fuerabamba blockade of Las Bambas mining road; failed ministerial negotiation visit</t>
        </is>
      </c>
      <c r="J2" s="32" t="inlineStr">
        <is>
          <t>After protesters threw rocks at a government helicopter carrying a three-minister delegation to negotiate an end to a 51-day Fuerabamba community blockade of the Las Bambas copper mine road, Bustamante said the government would maintain its willingness to dialogue.</t>
        </is>
      </c>
      <c r="K2" s="32" t="inlineStr">
        <is>
          <t>copper</t>
        </is>
      </c>
      <c r="L2" s="32" t="inlineStr">
        <is>
          <t>labor social conflict, indigenous community rights</t>
        </is>
      </c>
      <c r="M2" s="31" t="inlineStr">
        <is>
          <t>not mentioned</t>
        </is>
      </c>
      <c r="N2" s="31" t="inlineStr">
        <is>
          <t>not mentioned</t>
        </is>
      </c>
      <c r="O2" s="32" t="inlineStr">
        <is>
          <t>We went with a disposition for dialogue and that's why we're going to continue with that disposition and see how things shape up tomorrow.</t>
        </is>
      </c>
      <c r="P2" s="32" t="inlineStr">
        <is>
          <t>We went with a disposition for dialogue and that's why we're going to continue with that disposition and see how things shape up tomorrow.</t>
        </is>
      </c>
      <c r="Q2" s="31" t="inlineStr">
        <is>
          <t>en</t>
        </is>
      </c>
      <c r="R2" s="33" t="inlineStr">
        <is>
          <t>Reuters via The Borneo Post (PressReader)</t>
        </is>
      </c>
      <c r="S2" s="32" t="inlineStr">
        <is>
          <t>news media</t>
        </is>
      </c>
      <c r="T2" s="32" t="inlineStr">
        <is>
          <t>secondary reported</t>
        </is>
      </c>
      <c r="U2" s="32" t="inlineStr">
        <is>
          <t>Exact day not given (Wednesday before 29 Mar 2019, likely 27 Mar); quote is English wire translation of Spanish original</t>
        </is>
      </c>
    </row>
    <row r="3" ht="45.75" customHeight="1" s="24">
      <c r="A3" s="31" t="inlineStr">
        <is>
          <t>PS-0002</t>
        </is>
      </c>
      <c r="B3" s="31" t="inlineStr">
        <is>
          <t>2019-03-05</t>
        </is>
      </c>
      <c r="C3" s="31" t="inlineStr">
        <is>
          <t>Brazil</t>
        </is>
      </c>
      <c r="D3" s="31" t="inlineStr">
        <is>
          <t>Yes</t>
        </is>
      </c>
      <c r="E3" s="32" t="inlineStr">
        <is>
          <t>Bento Albuquerque</t>
        </is>
      </c>
      <c r="F3" s="32" t="inlineStr">
        <is>
          <t>Minister of Mines and Energy of Brazil</t>
        </is>
      </c>
      <c r="G3" s="32" t="inlineStr">
        <is>
          <t>LatAm executive</t>
        </is>
      </c>
      <c r="H3" s="32" t="inlineStr">
        <is>
          <t>speech</t>
        </is>
      </c>
      <c r="I3" s="32" t="inlineStr">
        <is>
          <t>Meeting with mining investors in Canada (PDAC, Toronto)</t>
        </is>
      </c>
      <c r="J3" s="32" t="inlineStr">
        <is>
          <t>Albuquerque told investors in Canada that the government was studying authorising mining in indigenous lands and border areas, arguing restrictions fostered illegal activity, and favoured opening uranium research to private investment.</t>
        </is>
      </c>
      <c r="K3" s="32" t="inlineStr">
        <is>
          <t>mining general</t>
        </is>
      </c>
      <c r="L3" s="32" t="inlineStr">
        <is>
          <t>indigenous community rights, foreign investment, sovereignty</t>
        </is>
      </c>
      <c r="M3" s="31" t="inlineStr">
        <is>
          <t>not mentioned</t>
        </is>
      </c>
      <c r="N3" s="31" t="inlineStr">
        <is>
          <t>not mentioned</t>
        </is>
      </c>
      <c r="O3" s="32" t="inlineStr">
        <is>
          <t>As restrições aplicadas a essas áreas não têm favorecido seu desenvolvimento.</t>
        </is>
      </c>
      <c r="P3" s="32" t="inlineStr">
        <is>
          <t>The restrictions applied to these areas have not favoured their development.</t>
        </is>
      </c>
      <c r="Q3" s="31" t="inlineStr">
        <is>
          <t>pt</t>
        </is>
      </c>
      <c r="R3" s="33" t="inlineStr">
        <is>
          <t>Congresso em Foco</t>
        </is>
      </c>
      <c r="S3" s="32" t="inlineStr">
        <is>
          <t>news media</t>
        </is>
      </c>
      <c r="T3" s="32" t="inlineStr">
        <is>
          <t>secondary reported</t>
        </is>
      </c>
      <c r="U3" s="32" t="inlineStr">
        <is>
          <t>Event name PDAC inferred from date/location</t>
        </is>
      </c>
    </row>
    <row r="4" ht="45.75" customHeight="1" s="24">
      <c r="A4" s="31" t="inlineStr">
        <is>
          <t>PS-0003</t>
        </is>
      </c>
      <c r="B4" s="31" t="inlineStr">
        <is>
          <t>2019-07-16</t>
        </is>
      </c>
      <c r="C4" s="31" t="inlineStr">
        <is>
          <t>Peru</t>
        </is>
      </c>
      <c r="D4" s="31" t="inlineStr">
        <is>
          <t>Yes</t>
        </is>
      </c>
      <c r="E4" s="32" t="inlineStr">
        <is>
          <t>Elmer Cáceres Llica</t>
        </is>
      </c>
      <c r="F4" s="32" t="inlineStr">
        <is>
          <t>Regional Governor of Arequipa</t>
        </is>
      </c>
      <c r="G4" s="32" t="inlineStr">
        <is>
          <t>LatAm executive</t>
        </is>
      </c>
      <c r="H4" s="32" t="inlineStr">
        <is>
          <t>press conference</t>
        </is>
      </c>
      <c r="I4" s="32" t="inlineStr">
        <is>
          <t>Tía María license protests, Tambo Valley</t>
        </is>
      </c>
      <c r="J4" s="32" t="inlineStr">
        <is>
          <t>The Arequipa governor, backed by over 50 civil organizations, gave the central government 72 hours to declare the Tía María construction license null, while pursuing legal remedies and peaceful protests.</t>
        </is>
      </c>
      <c r="K4" s="32" t="inlineStr">
        <is>
          <t>copper</t>
        </is>
      </c>
      <c r="L4" s="32" t="inlineStr">
        <is>
          <t>environment water, labor social conflict</t>
        </is>
      </c>
      <c r="M4" s="31" t="inlineStr">
        <is>
          <t>not mentioned</t>
        </is>
      </c>
      <c r="N4" s="31" t="inlineStr">
        <is>
          <t>not mentioned</t>
        </is>
      </c>
      <c r="O4" s="32" t="inlineStr">
        <is>
          <t>Le daremos al Gobierno central 72 horas para que resuelva el tema de la licencia de construcción, o sea que declare su nulidad de oficio</t>
        </is>
      </c>
      <c r="P4" s="32" t="inlineStr">
        <is>
          <t>We will give the central government 72 hours to resolve the construction license issue, that is, to declare it null ex officio</t>
        </is>
      </c>
      <c r="Q4" s="31" t="inlineStr">
        <is>
          <t>es</t>
        </is>
      </c>
      <c r="R4" s="33" t="inlineStr">
        <is>
          <t>La República</t>
        </is>
      </c>
      <c r="S4" s="32" t="inlineStr">
        <is>
          <t>news media</t>
        </is>
      </c>
      <c r="T4" s="32" t="inlineStr">
        <is>
          <t>secondary reported</t>
        </is>
      </c>
      <c r="U4" s="32" t="inlineStr"/>
    </row>
    <row r="5" ht="45.75" customHeight="1" s="24">
      <c r="A5" s="31" t="inlineStr">
        <is>
          <t>PS-0004</t>
        </is>
      </c>
      <c r="B5" s="31" t="inlineStr">
        <is>
          <t>2019-07-16</t>
        </is>
      </c>
      <c r="C5" s="31" t="inlineStr">
        <is>
          <t>Peru</t>
        </is>
      </c>
      <c r="D5" s="31" t="inlineStr">
        <is>
          <t>Yes</t>
        </is>
      </c>
      <c r="E5" s="32" t="inlineStr">
        <is>
          <t>Martín Vizcarra</t>
        </is>
      </c>
      <c r="F5" s="32" t="inlineStr">
        <is>
          <t>President of Peru</t>
        </is>
      </c>
      <c r="G5" s="32" t="inlineStr">
        <is>
          <t>LatAm executive</t>
        </is>
      </c>
      <c r="H5" s="32" t="inlineStr">
        <is>
          <t>press conference</t>
        </is>
      </c>
      <c r="I5" s="32" t="inlineStr">
        <is>
          <t>Protests over Tía María construction license granted to Southern Peru (9 Jul 2019)</t>
        </is>
      </c>
      <c r="J5" s="32" t="inlineStr">
        <is>
          <t>Vizcarra said the construction license granted to Southern Peru for Tía María could not be annulled because the company had completed the administrative process, but called for dialogue and said construction would need proper conditions.</t>
        </is>
      </c>
      <c r="K5" s="32" t="inlineStr">
        <is>
          <t>copper</t>
        </is>
      </c>
      <c r="L5" s="32" t="inlineStr">
        <is>
          <t>labor social conflict, environment water, foreign investment</t>
        </is>
      </c>
      <c r="M5" s="31" t="inlineStr">
        <is>
          <t>not mentioned</t>
        </is>
      </c>
      <c r="N5" s="31" t="inlineStr">
        <is>
          <t>not mentioned</t>
        </is>
      </c>
      <c r="O5" s="32" t="inlineStr">
        <is>
          <t>No se puede anular, tenemos que conversar y fruto del diálogo, encontremos las soluciones y consensos</t>
        </is>
      </c>
      <c r="P5" s="32" t="inlineStr">
        <is>
          <t>It cannot be annulled; we have to talk, and through dialogue find solutions and consensus</t>
        </is>
      </c>
      <c r="Q5" s="31" t="inlineStr">
        <is>
          <t>es</t>
        </is>
      </c>
      <c r="R5" s="33" t="inlineStr">
        <is>
          <t>El Búho</t>
        </is>
      </c>
      <c r="S5" s="32" t="inlineStr">
        <is>
          <t>news media</t>
        </is>
      </c>
      <c r="T5" s="32" t="inlineStr">
        <is>
          <t>secondary reported</t>
        </is>
      </c>
      <c r="U5" s="32" t="inlineStr"/>
    </row>
    <row r="6" ht="45.75" customHeight="1" s="24">
      <c r="A6" s="31" t="inlineStr">
        <is>
          <t>PS-0005</t>
        </is>
      </c>
      <c r="B6" s="31" t="inlineStr">
        <is>
          <t>2019-09-06</t>
        </is>
      </c>
      <c r="C6" s="31" t="inlineStr">
        <is>
          <t>Chile</t>
        </is>
      </c>
      <c r="D6" s="31" t="inlineStr">
        <is>
          <t>Yes</t>
        </is>
      </c>
      <c r="E6" s="32" t="inlineStr">
        <is>
          <t>Pablo Terrazas</t>
        </is>
      </c>
      <c r="F6" s="32" t="inlineStr">
        <is>
          <t>Executive Vice President of CORFO</t>
        </is>
      </c>
      <c r="G6" s="32" t="inlineStr">
        <is>
          <t>LatAm executive</t>
        </is>
      </c>
      <c r="H6" s="32" t="inlineStr">
        <is>
          <t>legislative debate</t>
        </is>
      </c>
      <c r="I6" s="32" t="inlineStr">
        <is>
          <t>Chamber of Deputies Economy Commission session on lithium and Tianqi-SQM</t>
        </is>
      </c>
      <c r="J6" s="32" t="inlineStr">
        <is>
          <t>CORFO head briefed deputies on lithium contracts, Tianqi's stake in SQM and the planned Chilean Institute of Clean Technologies in Antofagasta, funded with SQM contributions, for lithium R&amp;D.</t>
        </is>
      </c>
      <c r="K6" s="32" t="inlineStr">
        <is>
          <t>lithium</t>
        </is>
      </c>
      <c r="L6" s="32" t="inlineStr">
        <is>
          <t>technology transfer, value added industrialization, foreign investment</t>
        </is>
      </c>
      <c r="M6" s="31" t="inlineStr">
        <is>
          <t>neutral</t>
        </is>
      </c>
      <c r="N6" s="31" t="inlineStr">
        <is>
          <t>not mentioned</t>
        </is>
      </c>
      <c r="O6" s="32" t="inlineStr">
        <is>
          <t>De aquí a fin de año, ya vamos a tener a algún consorcio liderando la creación de este instituto</t>
        </is>
      </c>
      <c r="P6" s="32" t="inlineStr">
        <is>
          <t>By the end of the year we will have a consortium leading the creation of this institute</t>
        </is>
      </c>
      <c r="Q6" s="31" t="inlineStr">
        <is>
          <t>es</t>
        </is>
      </c>
      <c r="R6" s="33" t="inlineStr">
        <is>
          <t>Cámara de Diputadas y Diputados</t>
        </is>
      </c>
      <c r="S6" s="32" t="inlineStr">
        <is>
          <t>legislative record</t>
        </is>
      </c>
      <c r="T6" s="32" t="inlineStr">
        <is>
          <t>primary verified</t>
        </is>
      </c>
      <c r="U6" s="32" t="inlineStr">
        <is>
          <t>Quote truncated to stay within 30 words; institute to have &gt;US$200m for R&amp;D</t>
        </is>
      </c>
    </row>
    <row r="7" ht="45.75" customHeight="1" s="24">
      <c r="A7" s="31" t="inlineStr">
        <is>
          <t>PS-0006</t>
        </is>
      </c>
      <c r="B7" s="31" t="inlineStr">
        <is>
          <t>2019-09-06</t>
        </is>
      </c>
      <c r="C7" s="31" t="inlineStr">
        <is>
          <t>Chile</t>
        </is>
      </c>
      <c r="D7" s="31" t="inlineStr">
        <is>
          <t>Yes</t>
        </is>
      </c>
      <c r="E7" s="32" t="inlineStr">
        <is>
          <t>Renato Garín</t>
        </is>
      </c>
      <c r="F7" s="32" t="inlineStr">
        <is>
          <t>Deputy, Chair-level member of Economy Commission</t>
        </is>
      </c>
      <c r="G7" s="32" t="inlineStr">
        <is>
          <t>LatAm legislature</t>
        </is>
      </c>
      <c r="H7" s="32" t="inlineStr">
        <is>
          <t>legislative debate</t>
        </is>
      </c>
      <c r="I7" s="32" t="inlineStr">
        <is>
          <t>Chamber of Deputies Economy Commission session on lithium and Tianqi-SQM</t>
        </is>
      </c>
      <c r="J7" s="32" t="inlineStr">
        <is>
          <t>Deputy Garín voiced concern about Chinese state influence over SQM through Tianqi and said Chile must retain sovereignty over its lithium resources and technology development.</t>
        </is>
      </c>
      <c r="K7" s="32" t="inlineStr">
        <is>
          <t>lithium</t>
        </is>
      </c>
      <c r="L7" s="32" t="inlineStr">
        <is>
          <t>sovereignty, geopolitics security, technology transfer</t>
        </is>
      </c>
      <c r="M7" s="31" t="inlineStr">
        <is>
          <t>negative</t>
        </is>
      </c>
      <c r="N7" s="31" t="inlineStr">
        <is>
          <t>not mentioned</t>
        </is>
      </c>
      <c r="O7" s="32" t="inlineStr"/>
      <c r="P7" s="32" t="inlineStr"/>
      <c r="Q7" s="31" t="inlineStr">
        <is>
          <t>es</t>
        </is>
      </c>
      <c r="R7" s="33" t="inlineStr">
        <is>
          <t>Cámara de Diputadas y Diputados</t>
        </is>
      </c>
      <c r="S7" s="32" t="inlineStr">
        <is>
          <t>legislative record</t>
        </is>
      </c>
      <c r="T7" s="32" t="inlineStr">
        <is>
          <t>primary verified</t>
        </is>
      </c>
      <c r="U7" s="32" t="inlineStr">
        <is>
          <t>Paraphrase from Chamber press note; no verbatim quote</t>
        </is>
      </c>
    </row>
    <row r="8" ht="45.75" customHeight="1" s="24">
      <c r="A8" s="31" t="inlineStr">
        <is>
          <t>PS-0007</t>
        </is>
      </c>
      <c r="B8" s="31" t="inlineStr">
        <is>
          <t>2019-10-13</t>
        </is>
      </c>
      <c r="C8" s="31" t="inlineStr">
        <is>
          <t>Peru</t>
        </is>
      </c>
      <c r="D8" s="31" t="inlineStr">
        <is>
          <t>Yes</t>
        </is>
      </c>
      <c r="E8" s="32" t="inlineStr">
        <is>
          <t>Raúl Molina Martínez</t>
        </is>
      </c>
      <c r="F8" s="32" t="inlineStr">
        <is>
          <t>Deputy Minister of Territorial Governance (PCM)</t>
        </is>
      </c>
      <c r="G8" s="32" t="inlineStr">
        <is>
          <t>LatAm executive</t>
        </is>
      </c>
      <c r="H8" s="32" t="inlineStr">
        <is>
          <t>official statement</t>
        </is>
      </c>
      <c r="I8" s="32" t="inlineStr">
        <is>
          <t>Chumbivilcas blockade of southern mining corridor used by Las Bambas</t>
        </is>
      </c>
      <c r="J8" s="32" t="inlineStr">
        <is>
          <t>The PCM vice minister urged Chumbivilcas communities to lift their blockade of the road used by Las Bambas to haul copper concentrate, stressing it is a public road and that demands must be legally viable.</t>
        </is>
      </c>
      <c r="K8" s="32" t="inlineStr">
        <is>
          <t>copper</t>
        </is>
      </c>
      <c r="L8" s="32" t="inlineStr">
        <is>
          <t>labor social conflict, infrastructure ports</t>
        </is>
      </c>
      <c r="M8" s="31" t="inlineStr">
        <is>
          <t>not mentioned</t>
        </is>
      </c>
      <c r="N8" s="31" t="inlineStr">
        <is>
          <t>not mentioned</t>
        </is>
      </c>
      <c r="O8" s="32" t="inlineStr">
        <is>
          <t>It is not possible to prevent the free movement of vehicles through the runway, including the miner's trucks, because it is a public road.</t>
        </is>
      </c>
      <c r="P8" s="32" t="inlineStr">
        <is>
          <t>It is not possible to prevent the free movement of vehicles through the runway, including the miner's trucks, because it is a public road.</t>
        </is>
      </c>
      <c r="Q8" s="31" t="inlineStr">
        <is>
          <t>en</t>
        </is>
      </c>
      <c r="R8" s="33" t="inlineStr">
        <is>
          <t>Reuters via MINING.COM</t>
        </is>
      </c>
      <c r="S8" s="32" t="inlineStr">
        <is>
          <t>news media</t>
        </is>
      </c>
      <c r="T8" s="32" t="inlineStr">
        <is>
          <t>secondary reported</t>
        </is>
      </c>
      <c r="U8" s="32" t="inlineStr">
        <is>
          <t>Quote is English wire translation; date is article date</t>
        </is>
      </c>
    </row>
    <row r="9" ht="45.75" customHeight="1" s="24">
      <c r="A9" s="31" t="inlineStr">
        <is>
          <t>PS-0008</t>
        </is>
      </c>
      <c r="B9" s="31" t="inlineStr">
        <is>
          <t>2019-10-28</t>
        </is>
      </c>
      <c r="C9" s="31" t="inlineStr">
        <is>
          <t>Peru</t>
        </is>
      </c>
      <c r="D9" s="31" t="inlineStr">
        <is>
          <t>Yes</t>
        </is>
      </c>
      <c r="E9" s="32" t="inlineStr">
        <is>
          <t>Juan Carlos Liu</t>
        </is>
      </c>
      <c r="F9" s="32" t="inlineStr">
        <is>
          <t>Minister of Energy and Mines of Peru</t>
        </is>
      </c>
      <c r="G9" s="32" t="inlineStr">
        <is>
          <t>LatAm executive</t>
        </is>
      </c>
      <c r="H9" s="32" t="inlineStr">
        <is>
          <t>press conference</t>
        </is>
      </c>
      <c r="I9" s="32" t="inlineStr">
        <is>
          <t>Mining Council review of Tía María license</t>
        </is>
      </c>
      <c r="J9" s="32" t="inlineStr">
        <is>
          <t>Liu said the Tía María license case was for the autonomous Mining Council to decide and that the government, following presidential guidelines, would abide by its ruling while promoting dialogue in the Tambo Valley.</t>
        </is>
      </c>
      <c r="K9" s="32" t="inlineStr">
        <is>
          <t>copper</t>
        </is>
      </c>
      <c r="L9" s="32" t="inlineStr">
        <is>
          <t>corruption governance, labor social conflict</t>
        </is>
      </c>
      <c r="M9" s="31" t="inlineStr">
        <is>
          <t>not mentioned</t>
        </is>
      </c>
      <c r="N9" s="31" t="inlineStr">
        <is>
          <t>not mentioned</t>
        </is>
      </c>
      <c r="O9" s="32" t="inlineStr">
        <is>
          <t>El caso de Tía María es un caso que está para la decisión de la Comisión de Minería.</t>
        </is>
      </c>
      <c r="P9" s="32" t="inlineStr">
        <is>
          <t>The Tía María case is one awaiting the decision of the Mining Commission.</t>
        </is>
      </c>
      <c r="Q9" s="31" t="inlineStr">
        <is>
          <t>es</t>
        </is>
      </c>
      <c r="R9" s="33" t="inlineStr">
        <is>
          <t>ProActivo</t>
        </is>
      </c>
      <c r="S9" s="32" t="inlineStr">
        <is>
          <t>news media</t>
        </is>
      </c>
      <c r="T9" s="32" t="inlineStr">
        <is>
          <t>secondary reported</t>
        </is>
      </c>
      <c r="U9" s="32" t="inlineStr"/>
    </row>
    <row r="10" ht="45.75" customHeight="1" s="24">
      <c r="A10" s="31" t="inlineStr">
        <is>
          <t>PS-0009</t>
        </is>
      </c>
      <c r="B10" s="31" t="inlineStr">
        <is>
          <t>2020-04</t>
        </is>
      </c>
      <c r="C10" s="31" t="inlineStr">
        <is>
          <t>Bolivia</t>
        </is>
      </c>
      <c r="D10" s="31" t="inlineStr">
        <is>
          <t>Yes</t>
        </is>
      </c>
      <c r="E10" s="32" t="inlineStr">
        <is>
          <t>José Luis Parada</t>
        </is>
      </c>
      <c r="F10" s="32" t="inlineStr">
        <is>
          <t>Minister of Economy and Public Finance (Áñez interim government)</t>
        </is>
      </c>
      <c r="G10" s="32" t="inlineStr">
        <is>
          <t>LatAm executive</t>
        </is>
      </c>
      <c r="H10" s="32" t="inlineStr">
        <is>
          <t>interview</t>
        </is>
      </c>
      <c r="I10" s="32" t="inlineStr">
        <is>
          <t>Interim government economic policy, COVID-19 period</t>
        </is>
      </c>
      <c r="J10" s="32" t="inlineStr">
        <is>
          <t>Interim-government economy minister Parada said two or three companies from different countries would invest in lithium from the Uyuni salt flat and that policies to attract foreign partners were being prepared.</t>
        </is>
      </c>
      <c r="K10" s="32" t="inlineStr">
        <is>
          <t>lithium</t>
        </is>
      </c>
      <c r="L10" s="32" t="inlineStr">
        <is>
          <t>foreign investment</t>
        </is>
      </c>
      <c r="M10" s="31" t="inlineStr">
        <is>
          <t>not mentioned</t>
        </is>
      </c>
      <c r="N10" s="31" t="inlineStr">
        <is>
          <t>not mentioned</t>
        </is>
      </c>
      <c r="O10" s="32" t="inlineStr"/>
      <c r="P10" s="32" t="inlineStr"/>
      <c r="Q10" s="31" t="inlineStr">
        <is>
          <t>es</t>
        </is>
      </c>
      <c r="R10" s="33" t="inlineStr">
        <is>
          <t>Tiempo Argentino</t>
        </is>
      </c>
      <c r="S10" s="32" t="inlineStr">
        <is>
          <t>news media</t>
        </is>
      </c>
      <c r="T10" s="32" t="inlineStr">
        <is>
          <t>secondary reported</t>
        </is>
      </c>
      <c r="U10" s="32" t="inlineStr">
        <is>
          <t>Paraphrase from secondary source (left-leaning outlet); exact day in late April 2020 unknown; no verbatim quote seen.</t>
        </is>
      </c>
    </row>
    <row r="11" ht="45.75" customHeight="1" s="24">
      <c r="A11" s="31" t="inlineStr">
        <is>
          <t>PS-0010</t>
        </is>
      </c>
      <c r="B11" s="31" t="inlineStr">
        <is>
          <t>2020-07-25</t>
        </is>
      </c>
      <c r="C11" s="31" t="inlineStr">
        <is>
          <t>Bolivia</t>
        </is>
      </c>
      <c r="D11" s="31" t="inlineStr">
        <is>
          <t>Yes</t>
        </is>
      </c>
      <c r="E11" s="32" t="inlineStr">
        <is>
          <t>Evo Morales</t>
        </is>
      </c>
      <c r="F11" s="32" t="inlineStr">
        <is>
          <t>Former President of Bolivia (in exile)</t>
        </is>
      </c>
      <c r="G11" s="32" t="inlineStr">
        <is>
          <t>Other (business, civil society, third countries)</t>
        </is>
      </c>
      <c r="H11" s="32" t="inlineStr">
        <is>
          <t>social media post</t>
        </is>
      </c>
      <c r="I11" s="32" t="inlineStr">
        <is>
          <t>Twitter exchange with Elon Musk</t>
        </is>
      </c>
      <c r="J11" s="32" t="inlineStr">
        <is>
          <t>Responding to Elon Musk's 'We will coup whoever we want' tweet, Morales said it was further proof that the 2019 coup was over Bolivian lithium and vowed to defend Bolivia's resources.</t>
        </is>
      </c>
      <c r="K11" s="32" t="inlineStr">
        <is>
          <t>lithium</t>
        </is>
      </c>
      <c r="L11" s="32" t="inlineStr">
        <is>
          <t>sovereignty, geopolitics security</t>
        </is>
      </c>
      <c r="M11" s="31" t="inlineStr">
        <is>
          <t>not mentioned</t>
        </is>
      </c>
      <c r="N11" s="31" t="inlineStr">
        <is>
          <t>negative</t>
        </is>
      </c>
      <c r="O11" s="32" t="inlineStr">
        <is>
          <t>Otra prueba más de que el golpe fue por el litio boliviano; y dos masacres como saldo. ¡Defenderemos siempre nuestros recursos!</t>
        </is>
      </c>
      <c r="P11" s="32" t="inlineStr">
        <is>
          <t>Yet more proof that the coup was over Bolivian lithium; with two massacres as the toll. We will always defend our resources!</t>
        </is>
      </c>
      <c r="Q11" s="31" t="inlineStr">
        <is>
          <t>es</t>
        </is>
      </c>
      <c r="R11" s="33" t="inlineStr">
        <is>
          <t>La República (Peru)</t>
        </is>
      </c>
      <c r="S11" s="32" t="inlineStr">
        <is>
          <t>news media</t>
        </is>
      </c>
      <c r="T11" s="32" t="inlineStr">
        <is>
          <t>secondary reported</t>
        </is>
      </c>
      <c r="U11" s="32" t="inlineStr">
        <is>
          <t>Tweet quoted by media; stance_us coded for US corporate actor (Musk/Tesla).</t>
        </is>
      </c>
    </row>
    <row r="12" ht="45.75" customHeight="1" s="24">
      <c r="A12" s="31" t="inlineStr">
        <is>
          <t>PS-0011</t>
        </is>
      </c>
      <c r="B12" s="31" t="inlineStr">
        <is>
          <t>2020-09-28</t>
        </is>
      </c>
      <c r="C12" s="31" t="inlineStr">
        <is>
          <t>Brazil</t>
        </is>
      </c>
      <c r="D12" s="31" t="inlineStr">
        <is>
          <t>Yes</t>
        </is>
      </c>
      <c r="E12" s="32" t="inlineStr">
        <is>
          <t>Jair Bolsonaro</t>
        </is>
      </c>
      <c r="F12" s="32" t="inlineStr">
        <is>
          <t>President of Brazil</t>
        </is>
      </c>
      <c r="G12" s="32" t="inlineStr">
        <is>
          <t>LatAm executive</t>
        </is>
      </c>
      <c r="H12" s="32" t="inlineStr">
        <is>
          <t>speech</t>
        </is>
      </c>
      <c r="I12" s="32" t="inlineStr">
        <is>
          <t>Launch of the Mining and Development Program (PMD), Palácio do Planalto</t>
        </is>
      </c>
      <c r="J12" s="32" t="inlineStr">
        <is>
          <t>At the launch of the government's Mining and Development Program, Bolsonaro received a niobium coin from Minister Bento Albuquerque and praised niobium combined with graphene as able to revolutionise the car industry; the program included advancing a bill on mining in indigenous lands.</t>
        </is>
      </c>
      <c r="K12" s="32" t="inlineStr">
        <is>
          <t>niobium, mining general</t>
        </is>
      </c>
      <c r="L12" s="32" t="inlineStr">
        <is>
          <t>value added industrialization, technology transfer, indigenous community rights</t>
        </is>
      </c>
      <c r="M12" s="31" t="inlineStr">
        <is>
          <t>not mentioned</t>
        </is>
      </c>
      <c r="N12" s="31" t="inlineStr">
        <is>
          <t>not mentioned</t>
        </is>
      </c>
      <c r="O12" s="32" t="inlineStr">
        <is>
          <t>juntamente com o grafeno é capaz de produzir maravilhas</t>
        </is>
      </c>
      <c r="P12" s="32" t="inlineStr">
        <is>
          <t>together with graphene it is capable of producing wonders</t>
        </is>
      </c>
      <c r="Q12" s="31" t="inlineStr">
        <is>
          <t>pt</t>
        </is>
      </c>
      <c r="R12" s="33" t="inlineStr">
        <is>
          <t>Poder360</t>
        </is>
      </c>
      <c r="S12" s="32" t="inlineStr">
        <is>
          <t>news media</t>
        </is>
      </c>
      <c r="T12" s="32" t="inlineStr">
        <is>
          <t>secondary reported</t>
        </is>
      </c>
      <c r="U12" s="32" t="inlineStr">
        <is>
          <t>Bolsonaro left PSL in Nov 2019</t>
        </is>
      </c>
    </row>
    <row r="13" ht="45.75" customHeight="1" s="24">
      <c r="A13" s="31" t="inlineStr">
        <is>
          <t>PS-0012</t>
        </is>
      </c>
      <c r="B13" s="31" t="inlineStr">
        <is>
          <t>2020-11-10</t>
        </is>
      </c>
      <c r="C13" s="31" t="inlineStr">
        <is>
          <t>Bolivia</t>
        </is>
      </c>
      <c r="D13" s="31" t="inlineStr">
        <is>
          <t>Yes</t>
        </is>
      </c>
      <c r="E13" s="32" t="inlineStr">
        <is>
          <t>Evo Morales</t>
        </is>
      </c>
      <c r="F13" s="32" t="inlineStr">
        <is>
          <t>Former President of Bolivia; MAS leader</t>
        </is>
      </c>
      <c r="G13" s="32" t="inlineStr">
        <is>
          <t>Other (business, civil society, third countries)</t>
        </is>
      </c>
      <c r="H13" s="32" t="inlineStr">
        <is>
          <t>press conference</t>
        </is>
      </c>
      <c r="I13" s="32" t="inlineStr">
        <is>
          <t>Return to Bolivia from exile, Uyuni/Potosí tour</t>
        </is>
      </c>
      <c r="J13" s="32" t="inlineStr">
        <is>
          <t>On his return to Bolivia, Morales said lithium reserves were the motive for the 2019 'coup', that industrialized countries want Latin America only for raw materials, and that his lithium industrialization plan would resume under President Arce.</t>
        </is>
      </c>
      <c r="K13" s="32" t="inlineStr">
        <is>
          <t>lithium</t>
        </is>
      </c>
      <c r="L13" s="32" t="inlineStr">
        <is>
          <t>value added industrialization, sovereignty, geopolitics security</t>
        </is>
      </c>
      <c r="M13" s="31" t="inlineStr">
        <is>
          <t>not mentioned</t>
        </is>
      </c>
      <c r="N13" s="31" t="inlineStr">
        <is>
          <t>not mentioned</t>
        </is>
      </c>
      <c r="O13" s="32" t="inlineStr">
        <is>
          <t>allí donde los pueblos son dueños de los recursos naturales, preparan bases e intervenciones militares e incluso golpes de Estado</t>
        </is>
      </c>
      <c r="P13" s="32" t="inlineStr">
        <is>
          <t>wherever peoples own their natural resources, they prepare bases and military interventions and even coups d'état</t>
        </is>
      </c>
      <c r="Q13" s="31" t="inlineStr">
        <is>
          <t>es</t>
        </is>
      </c>
      <c r="R13" s="33" t="inlineStr">
        <is>
          <t>Público</t>
        </is>
      </c>
      <c r="S13" s="32" t="inlineStr">
        <is>
          <t>news media</t>
        </is>
      </c>
      <c r="T13" s="32" t="inlineStr">
        <is>
          <t>secondary reported</t>
        </is>
      </c>
      <c r="U13" s="32" t="inlineStr">
        <is>
          <t>Also reported by Gestión (https://gestion.pe/mundo/internacional/evo-morales-anuncia-que-se-reactivara-su-plan-de-litio-apenas-llegado-a-bolivia-noticia/): 'El plan que teníamos lo vamos a retomar ahora con el Lucho presidente'.</t>
        </is>
      </c>
    </row>
    <row r="14" ht="45.75" customHeight="1" s="24">
      <c r="A14" s="31" t="inlineStr">
        <is>
          <t>PS-0013</t>
        </is>
      </c>
      <c r="B14" s="31" t="inlineStr">
        <is>
          <t>2020-12-04</t>
        </is>
      </c>
      <c r="C14" s="31" t="inlineStr">
        <is>
          <t>Peru</t>
        </is>
      </c>
      <c r="D14" s="31" t="inlineStr">
        <is>
          <t>Yes</t>
        </is>
      </c>
      <c r="E14" s="32" t="inlineStr">
        <is>
          <t>Francisco Sagasti</t>
        </is>
      </c>
      <c r="F14" s="32" t="inlineStr">
        <is>
          <t>President of Peru (transitional)</t>
        </is>
      </c>
      <c r="G14" s="32" t="inlineStr">
        <is>
          <t>LatAm executive</t>
        </is>
      </c>
      <c r="H14" s="32" t="inlineStr">
        <is>
          <t>press conference</t>
        </is>
      </c>
      <c r="I14" s="32" t="inlineStr">
        <is>
          <t>Press conference with foreign media accredited in Peru</t>
        </is>
      </c>
      <c r="J14" s="32" t="inlineStr">
        <is>
          <t>Sagasti said his transitional government had no mandate to change economic direction and would ensure that foreign investments already under way, including in mining, continue, while arguing Peru should diversify beyond being a mining country.</t>
        </is>
      </c>
      <c r="K14" s="32" t="inlineStr">
        <is>
          <t>mining general</t>
        </is>
      </c>
      <c r="L14" s="32" t="inlineStr">
        <is>
          <t>foreign investment</t>
        </is>
      </c>
      <c r="M14" s="31" t="inlineStr">
        <is>
          <t>not mentioned</t>
        </is>
      </c>
      <c r="N14" s="31" t="inlineStr">
        <is>
          <t>not mentioned</t>
        </is>
      </c>
      <c r="O14" s="32" t="inlineStr">
        <is>
          <t>hará lo que hay que hacer para que continúen las inversiones extranjeras ya en proceso, ya sea en la minería o en otros sectores</t>
        </is>
      </c>
      <c r="P14" s="32" t="inlineStr">
        <is>
          <t>will do what must be done so that foreign investments already under way continue, whether in mining or other sectors</t>
        </is>
      </c>
      <c r="Q14" s="31" t="inlineStr">
        <is>
          <t>es</t>
        </is>
      </c>
      <c r="R14" s="33" t="inlineStr">
        <is>
          <t>ProActivo</t>
        </is>
      </c>
      <c r="S14" s="32" t="inlineStr">
        <is>
          <t>news media</t>
        </is>
      </c>
      <c r="T14" s="32" t="inlineStr">
        <is>
          <t>secondary reported</t>
        </is>
      </c>
      <c r="U14" s="32" t="inlineStr">
        <is>
          <t>Quote is in reported (third-person) form as published</t>
        </is>
      </c>
    </row>
    <row r="15" ht="45.75" customHeight="1" s="24">
      <c r="A15" s="31" t="inlineStr">
        <is>
          <t>PS-0014</t>
        </is>
      </c>
      <c r="B15" s="31" t="inlineStr">
        <is>
          <t>2021-04-16</t>
        </is>
      </c>
      <c r="C15" s="31" t="inlineStr">
        <is>
          <t>Peru</t>
        </is>
      </c>
      <c r="D15" s="31" t="inlineStr">
        <is>
          <t>Yes</t>
        </is>
      </c>
      <c r="E15" s="32" t="inlineStr">
        <is>
          <t>Ana María Córdova</t>
        </is>
      </c>
      <c r="F15" s="32" t="inlineStr">
        <is>
          <t>Legal representative of Perú Libre (Pedro Castillo campaign)</t>
        </is>
      </c>
      <c r="G15" s="32" t="inlineStr">
        <is>
          <t>LatAm party/candidate</t>
        </is>
      </c>
      <c r="H15" s="32" t="inlineStr">
        <is>
          <t>campaign statement</t>
        </is>
      </c>
      <c r="I15" s="32" t="inlineStr">
        <is>
          <t>2021 presidential runoff campaign</t>
        </is>
      </c>
      <c r="J15" s="32" t="inlineStr">
        <is>
          <t>Speaking for candidate Pedro Castillo, Córdova said the party would not expropriate or nationalize mines but would renegotiate contract conditions so the state and local populations get a bigger share of profits.</t>
        </is>
      </c>
      <c r="K15" s="32" t="inlineStr">
        <is>
          <t>mining general, copper</t>
        </is>
      </c>
      <c r="L15" s="32" t="inlineStr">
        <is>
          <t>royalties taxation, state control nationalization, foreign investment</t>
        </is>
      </c>
      <c r="M15" s="31" t="inlineStr">
        <is>
          <t>not mentioned</t>
        </is>
      </c>
      <c r="N15" s="31" t="inlineStr">
        <is>
          <t>not mentioned</t>
        </is>
      </c>
      <c r="O15" s="32" t="inlineStr">
        <is>
          <t>Not to expropriate them, not to nationalize or anything, but so that the conditions in some way also favor populations where these industries or mining operations are involved</t>
        </is>
      </c>
      <c r="P15" s="32" t="inlineStr">
        <is>
          <t>Not to expropriate them, not to nationalize or anything, but so that the conditions in some way also favor populations where these industries or mining operations are involved</t>
        </is>
      </c>
      <c r="Q15" s="31" t="inlineStr">
        <is>
          <t>en</t>
        </is>
      </c>
      <c r="R15" s="33" t="inlineStr">
        <is>
          <t>Bloomberg via Mining Weekly</t>
        </is>
      </c>
      <c r="S15" s="32" t="inlineStr">
        <is>
          <t>news media</t>
        </is>
      </c>
      <c r="T15" s="32" t="inlineStr">
        <is>
          <t>secondary reported</t>
        </is>
      </c>
      <c r="U15" s="32" t="inlineStr">
        <is>
          <t>English translation published by Bloomberg; original Spanish wording not seen</t>
        </is>
      </c>
    </row>
    <row r="16" ht="45.75" customHeight="1" s="24">
      <c r="A16" s="31" t="inlineStr">
        <is>
          <t>PS-0015</t>
        </is>
      </c>
      <c r="B16" s="31" t="inlineStr">
        <is>
          <t>2021-06-15</t>
        </is>
      </c>
      <c r="C16" s="31" t="inlineStr">
        <is>
          <t>Argentina</t>
        </is>
      </c>
      <c r="D16" s="31" t="inlineStr">
        <is>
          <t>Yes</t>
        </is>
      </c>
      <c r="E16" s="32" t="inlineStr">
        <is>
          <t>Martín de los Ríos</t>
        </is>
      </c>
      <c r="F16" s="32" t="inlineStr">
        <is>
          <t>Minister of Production of Salta (for Gov. Gustavo Sáenz)</t>
        </is>
      </c>
      <c r="G16" s="32" t="inlineStr">
        <is>
          <t>LatAm executive</t>
        </is>
      </c>
      <c r="H16" s="32" t="inlineStr">
        <is>
          <t>interview</t>
        </is>
      </c>
      <c r="I16" s="32" t="inlineStr">
        <is>
          <t>Reaction to national lithium nationalization proposals</t>
        </is>
      </c>
      <c r="J16" s="32" t="inlineStr">
        <is>
          <t>Salta's production minister said the three lithium provinces formed the Mesa del Litio on the basis that lithium is a provincial resource and that nationalization initiatives create instability for investors.</t>
        </is>
      </c>
      <c r="K16" s="32" t="inlineStr">
        <is>
          <t>lithium</t>
        </is>
      </c>
      <c r="L16" s="32" t="inlineStr">
        <is>
          <t>state control nationalization, sovereignty, foreign investment</t>
        </is>
      </c>
      <c r="M16" s="31" t="inlineStr">
        <is>
          <t>not mentioned</t>
        </is>
      </c>
      <c r="N16" s="31" t="inlineStr">
        <is>
          <t>not mentioned</t>
        </is>
      </c>
      <c r="O16" s="32" t="inlineStr"/>
      <c r="P16" s="32" t="inlineStr"/>
      <c r="Q16" s="31" t="inlineStr">
        <is>
          <t>es</t>
        </is>
      </c>
      <c r="R16" s="33" t="inlineStr">
        <is>
          <t>Ámbito</t>
        </is>
      </c>
      <c r="S16" s="32" t="inlineStr">
        <is>
          <t>news media</t>
        </is>
      </c>
      <c r="T16" s="32" t="inlineStr">
        <is>
          <t>secondary reported</t>
        </is>
      </c>
      <c r="U16" s="32" t="inlineStr">
        <is>
          <t>Only translated rendering seen; quote left blank.</t>
        </is>
      </c>
    </row>
    <row r="17" ht="45.75" customHeight="1" s="24">
      <c r="A17" s="31" t="inlineStr">
        <is>
          <t>PS-0016</t>
        </is>
      </c>
      <c r="B17" s="31" t="inlineStr">
        <is>
          <t>2021-06-15</t>
        </is>
      </c>
      <c r="C17" s="31" t="inlineStr">
        <is>
          <t>Argentina</t>
        </is>
      </c>
      <c r="D17" s="31" t="inlineStr">
        <is>
          <t>Yes</t>
        </is>
      </c>
      <c r="E17" s="32" t="inlineStr">
        <is>
          <t>Miguel Soler</t>
        </is>
      </c>
      <c r="F17" s="32" t="inlineStr">
        <is>
          <t>Secretary of Mining of Jujuy (Morales government)</t>
        </is>
      </c>
      <c r="G17" s="32" t="inlineStr">
        <is>
          <t>LatAm executive</t>
        </is>
      </c>
      <c r="H17" s="32" t="inlineStr">
        <is>
          <t>interview</t>
        </is>
      </c>
      <c r="I17" s="32" t="inlineStr">
        <is>
          <t>Reaction to national lithium nationalization proposals</t>
        </is>
      </c>
      <c r="J17" s="32" t="inlineStr">
        <is>
          <t>Jujuy's mining secretary said proposals to nationalize lithium are unconstitutional because they interfere with provincial ownership of resources, and that Jujuy should make its own decisions.</t>
        </is>
      </c>
      <c r="K17" s="32" t="inlineStr">
        <is>
          <t>lithium</t>
        </is>
      </c>
      <c r="L17" s="32" t="inlineStr">
        <is>
          <t>state control nationalization, sovereignty</t>
        </is>
      </c>
      <c r="M17" s="31" t="inlineStr">
        <is>
          <t>not mentioned</t>
        </is>
      </c>
      <c r="N17" s="31" t="inlineStr">
        <is>
          <t>not mentioned</t>
        </is>
      </c>
      <c r="O17" s="32" t="inlineStr"/>
      <c r="P17" s="32" t="inlineStr"/>
      <c r="Q17" s="31" t="inlineStr">
        <is>
          <t>es</t>
        </is>
      </c>
      <c r="R17" s="33" t="inlineStr">
        <is>
          <t>Ámbito</t>
        </is>
      </c>
      <c r="S17" s="32" t="inlineStr">
        <is>
          <t>news media</t>
        </is>
      </c>
      <c r="T17" s="32" t="inlineStr">
        <is>
          <t>secondary reported</t>
        </is>
      </c>
      <c r="U17" s="32" t="inlineStr">
        <is>
          <t>Only translated rendering seen; quote left blank.</t>
        </is>
      </c>
    </row>
    <row r="18" ht="45.75" customHeight="1" s="24">
      <c r="A18" s="31" t="inlineStr">
        <is>
          <t>PS-0017</t>
        </is>
      </c>
      <c r="B18" s="31" t="inlineStr">
        <is>
          <t>2021-09-23</t>
        </is>
      </c>
      <c r="C18" s="31" t="inlineStr">
        <is>
          <t>Peru</t>
        </is>
      </c>
      <c r="D18" s="31" t="inlineStr">
        <is>
          <t>Yes</t>
        </is>
      </c>
      <c r="E18" s="32" t="inlineStr">
        <is>
          <t>Pedro Francke</t>
        </is>
      </c>
      <c r="F18" s="32" t="inlineStr">
        <is>
          <t>Minister of Economy and Finance of Peru</t>
        </is>
      </c>
      <c r="G18" s="32" t="inlineStr">
        <is>
          <t>LatAm executive</t>
        </is>
      </c>
      <c r="H18" s="32" t="inlineStr">
        <is>
          <t>interview</t>
        </is>
      </c>
      <c r="I18" s="32" t="inlineStr">
        <is>
          <t>Proposed tax reform targeting mining windfall profits</t>
        </is>
      </c>
      <c r="J18" s="32" t="inlineStr">
        <is>
          <t>Francke argued that with copper above US$4/lb and costs around US$1/lb, the state should capture extraordinary mining profits and redistribute mining wealth through tax reform.</t>
        </is>
      </c>
      <c r="K18" s="32" t="inlineStr">
        <is>
          <t>copper, mining general</t>
        </is>
      </c>
      <c r="L18" s="32" t="inlineStr">
        <is>
          <t>royalties taxation</t>
        </is>
      </c>
      <c r="M18" s="31" t="inlineStr">
        <is>
          <t>not mentioned</t>
        </is>
      </c>
      <c r="N18" s="31" t="inlineStr">
        <is>
          <t>not mentioned</t>
        </is>
      </c>
      <c r="O18" s="32" t="inlineStr">
        <is>
          <t>Hay que redistribuir la riqueza, en particular la riqueza minera</t>
        </is>
      </c>
      <c r="P18" s="32" t="inlineStr">
        <is>
          <t>We must redistribute wealth, particularly mining wealth</t>
        </is>
      </c>
      <c r="Q18" s="31" t="inlineStr">
        <is>
          <t>es</t>
        </is>
      </c>
      <c r="R18" s="33" t="inlineStr">
        <is>
          <t>La República</t>
        </is>
      </c>
      <c r="S18" s="32" t="inlineStr">
        <is>
          <t>news media</t>
        </is>
      </c>
      <c r="T18" s="32" t="inlineStr">
        <is>
          <t>secondary reported</t>
        </is>
      </c>
      <c r="U18" s="32" t="inlineStr"/>
    </row>
    <row r="19" ht="45.75" customHeight="1" s="24">
      <c r="A19" s="31" t="inlineStr">
        <is>
          <t>PS-0018</t>
        </is>
      </c>
      <c r="B19" s="31" t="inlineStr">
        <is>
          <t>2021-10-01</t>
        </is>
      </c>
      <c r="C19" s="31" t="inlineStr">
        <is>
          <t>Peru</t>
        </is>
      </c>
      <c r="D19" s="31" t="inlineStr">
        <is>
          <t>Yes</t>
        </is>
      </c>
      <c r="E19" s="32" t="inlineStr">
        <is>
          <t>Iván Merino</t>
        </is>
      </c>
      <c r="F19" s="32" t="inlineStr">
        <is>
          <t>Minister of Energy and Mines of Peru</t>
        </is>
      </c>
      <c r="G19" s="32" t="inlineStr">
        <is>
          <t>LatAm executive</t>
        </is>
      </c>
      <c r="H19" s="32" t="inlineStr">
        <is>
          <t>interview</t>
        </is>
      </c>
      <c r="I19" s="32" t="inlineStr">
        <is>
          <t>Three-week blockade of Las Bambas road in Chumbivilcas</t>
        </is>
      </c>
      <c r="J19" s="32" t="inlineStr">
        <is>
          <t>Merino partly blamed MMG's short-term decision to haul Las Bambas copper concentrate on a dirt road for unrest with communities, and proposed a train line as a longer-term solution.</t>
        </is>
      </c>
      <c r="K19" s="32" t="inlineStr">
        <is>
          <t>copper</t>
        </is>
      </c>
      <c r="L19" s="32" t="inlineStr">
        <is>
          <t>labor social conflict, infrastructure ports</t>
        </is>
      </c>
      <c r="M19" s="31" t="inlineStr">
        <is>
          <t>not mentioned</t>
        </is>
      </c>
      <c r="N19" s="31" t="inlineStr">
        <is>
          <t>not mentioned</t>
        </is>
      </c>
      <c r="O19" s="32" t="inlineStr">
        <is>
          <t>They made short-term decisions and that has a cost</t>
        </is>
      </c>
      <c r="P19" s="32" t="inlineStr">
        <is>
          <t>They made short-term decisions and that has a cost</t>
        </is>
      </c>
      <c r="Q19" s="31" t="inlineStr">
        <is>
          <t>en</t>
        </is>
      </c>
      <c r="R19" s="33" t="inlineStr">
        <is>
          <t>Reuters via Mining Weekly</t>
        </is>
      </c>
      <c r="S19" s="32" t="inlineStr">
        <is>
          <t>news media</t>
        </is>
      </c>
      <c r="T19" s="32" t="inlineStr">
        <is>
          <t>secondary reported</t>
        </is>
      </c>
      <c r="U19" s="32" t="inlineStr">
        <is>
          <t>English wire translation</t>
        </is>
      </c>
    </row>
    <row r="20" ht="45.75" customHeight="1" s="24">
      <c r="A20" s="31" t="inlineStr">
        <is>
          <t>PS-0019</t>
        </is>
      </c>
      <c r="B20" s="31" t="inlineStr">
        <is>
          <t>2021-11</t>
        </is>
      </c>
      <c r="C20" s="31" t="inlineStr">
        <is>
          <t>Peru</t>
        </is>
      </c>
      <c r="D20" s="31" t="inlineStr">
        <is>
          <t>Yes</t>
        </is>
      </c>
      <c r="E20" s="32" t="inlineStr">
        <is>
          <t>Mirtha Vásquez</t>
        </is>
      </c>
      <c r="F20" s="32" t="inlineStr">
        <is>
          <t>President of the Council of Ministers of Peru</t>
        </is>
      </c>
      <c r="G20" s="32" t="inlineStr">
        <is>
          <t>LatAm executive</t>
        </is>
      </c>
      <c r="H20" s="32" t="inlineStr">
        <is>
          <t>official statement</t>
        </is>
      </c>
      <c r="I20" s="32" t="inlineStr">
        <is>
          <t>Agreement with Ayacucho communities on mine closures</t>
        </is>
      </c>
      <c r="J20" s="32" t="inlineStr">
        <is>
          <t>Vásquez signed an agreement with Ayacucho communities confirming the closure of four mining operations and said mining expansions in the province would not be approved, prompting business backlash; a vice minister later said expansion plans could still be submitted.</t>
        </is>
      </c>
      <c r="K20" s="32" t="inlineStr">
        <is>
          <t>mining general, silver</t>
        </is>
      </c>
      <c r="L20" s="32" t="inlineStr">
        <is>
          <t>environment water, indigenous community rights, labor social conflict</t>
        </is>
      </c>
      <c r="M20" s="31" t="inlineStr">
        <is>
          <t>not mentioned</t>
        </is>
      </c>
      <c r="N20" s="31" t="inlineStr">
        <is>
          <t>not mentioned</t>
        </is>
      </c>
      <c r="O20" s="32" t="inlineStr"/>
      <c r="P20" s="32" t="inlineStr"/>
      <c r="Q20" s="31" t="inlineStr">
        <is>
          <t>es</t>
        </is>
      </c>
      <c r="R20" s="33" t="inlineStr">
        <is>
          <t>Bloomberg Línea</t>
        </is>
      </c>
      <c r="S20" s="32" t="inlineStr">
        <is>
          <t>news media</t>
        </is>
      </c>
      <c r="T20" s="32" t="inlineStr">
        <is>
          <t>secondary reported</t>
        </is>
      </c>
      <c r="U20" s="32" t="inlineStr">
        <is>
          <t>Agreement dated c. 19-20 Nov 2021; silver tag because affected mines (Hochschild) are gold-silver operations</t>
        </is>
      </c>
    </row>
    <row r="21" ht="45.75" customHeight="1" s="24">
      <c r="A21" s="31" t="inlineStr">
        <is>
          <t>PS-0020</t>
        </is>
      </c>
      <c r="B21" s="31" t="inlineStr">
        <is>
          <t>2021-11-20</t>
        </is>
      </c>
      <c r="C21" s="31" t="inlineStr">
        <is>
          <t>Argentina</t>
        </is>
      </c>
      <c r="D21" s="31" t="inlineStr">
        <is>
          <t>Yes</t>
        </is>
      </c>
      <c r="E21" s="32" t="inlineStr">
        <is>
          <t>Gustavo Sáenz; Gerardo Morales; Raúl Jalil</t>
        </is>
      </c>
      <c r="F21" s="32" t="inlineStr">
        <is>
          <t>Governors of Salta, Jujuy and Catamarca</t>
        </is>
      </c>
      <c r="G21" s="32" t="inlineStr">
        <is>
          <t>LatAm executive</t>
        </is>
      </c>
      <c r="H21" s="32" t="inlineStr">
        <is>
          <t>joint declaration or mou</t>
        </is>
      </c>
      <c r="I21" s="32" t="inlineStr">
        <is>
          <t>Creation of the Región Minera del Litio</t>
        </is>
      </c>
      <c r="J21" s="32" t="inlineStr">
        <is>
          <t>The three governors signed a treaty forming the Lithium Mining Region to coordinate infrastructure, production, technical and environmental matters across lithium research, extraction, industrialization and trade.</t>
        </is>
      </c>
      <c r="K21" s="32" t="inlineStr">
        <is>
          <t>lithium</t>
        </is>
      </c>
      <c r="L21" s="32" t="inlineStr">
        <is>
          <t>value added industrialization, infrastructure ports, environment water</t>
        </is>
      </c>
      <c r="M21" s="31" t="inlineStr">
        <is>
          <t>not mentioned</t>
        </is>
      </c>
      <c r="N21" s="31" t="inlineStr">
        <is>
          <t>not mentioned</t>
        </is>
      </c>
      <c r="O21" s="32" t="inlineStr">
        <is>
          <t>determinar las bases para generar condiciones de reciprocidad y coordinar esfuerzos en materia de infraestructura, producción, cuestiones técnicas ambientales</t>
        </is>
      </c>
      <c r="P21" s="32" t="inlineStr">
        <is>
          <t>lay the foundations to create reciprocal conditions and coordinate efforts on infrastructure, production, technical and environmental issues</t>
        </is>
      </c>
      <c r="Q21" s="31" t="inlineStr">
        <is>
          <t>es</t>
        </is>
      </c>
      <c r="R21" s="33" t="inlineStr">
        <is>
          <t>Más Energía (LM Neuquén)</t>
        </is>
      </c>
      <c r="S21" s="32" t="inlineStr">
        <is>
          <t>news media</t>
        </is>
      </c>
      <c r="T21" s="32" t="inlineStr">
        <is>
          <t>secondary reported</t>
        </is>
      </c>
      <c r="U21" s="32" t="inlineStr">
        <is>
          <t>Quote by Sáenz; Mesa del Litio precedent.</t>
        </is>
      </c>
    </row>
    <row r="22" ht="45.75" customHeight="1" s="24">
      <c r="A22" s="31" t="inlineStr">
        <is>
          <t>PS-0021</t>
        </is>
      </c>
      <c r="B22" s="31" t="inlineStr">
        <is>
          <t>2021-11-22</t>
        </is>
      </c>
      <c r="C22" s="31" t="inlineStr">
        <is>
          <t>Peru</t>
        </is>
      </c>
      <c r="D22" s="31" t="inlineStr">
        <is>
          <t>Yes</t>
        </is>
      </c>
      <c r="E22" s="32" t="inlineStr">
        <is>
          <t>Pedro Castillo</t>
        </is>
      </c>
      <c r="F22" s="32" t="inlineStr">
        <is>
          <t>President of Peru</t>
        </is>
      </c>
      <c r="G22" s="32" t="inlineStr">
        <is>
          <t>LatAm executive</t>
        </is>
      </c>
      <c r="H22" s="32" t="inlineStr">
        <is>
          <t>official statement</t>
        </is>
      </c>
      <c r="I22" s="32" t="inlineStr">
        <is>
          <t>Controversy over PM Vásquez's announced closure of four mines in Ayacucho</t>
        </is>
      </c>
      <c r="J22" s="32" t="inlineStr">
        <is>
          <t>Amid market turmoil after the premier agreed with Ayacucho communities to close four mining operations, Castillo said there would be no unilateral or arbitrary decisions and reaffirmed his commitment to guarantee private investment including mining.</t>
        </is>
      </c>
      <c r="K22" s="32" t="inlineStr">
        <is>
          <t>mining general</t>
        </is>
      </c>
      <c r="L22" s="32" t="inlineStr">
        <is>
          <t>foreign investment, environment water, indigenous community rights</t>
        </is>
      </c>
      <c r="M22" s="31" t="inlineStr">
        <is>
          <t>not mentioned</t>
        </is>
      </c>
      <c r="N22" s="31" t="inlineStr">
        <is>
          <t>not mentioned</t>
        </is>
      </c>
      <c r="O22" s="32" t="inlineStr">
        <is>
          <t>No ha existido ni existirán decisiones unilaterales ni arbitrarias</t>
        </is>
      </c>
      <c r="P22" s="32" t="inlineStr">
        <is>
          <t>There have not been, nor will there be, unilateral or arbitrary decisions</t>
        </is>
      </c>
      <c r="Q22" s="31" t="inlineStr">
        <is>
          <t>es</t>
        </is>
      </c>
      <c r="R22" s="33" t="inlineStr">
        <is>
          <t>Bloomberg Línea</t>
        </is>
      </c>
      <c r="S22" s="32" t="inlineStr">
        <is>
          <t>news media</t>
        </is>
      </c>
      <c r="T22" s="32" t="inlineStr">
        <is>
          <t>secondary reported</t>
        </is>
      </c>
      <c r="U22" s="32" t="inlineStr"/>
    </row>
    <row r="23" ht="45.75" customHeight="1" s="24">
      <c r="A23" s="31" t="inlineStr">
        <is>
          <t>PS-0022</t>
        </is>
      </c>
      <c r="B23" s="31" t="inlineStr">
        <is>
          <t>2021-12-16</t>
        </is>
      </c>
      <c r="C23" s="31" t="inlineStr">
        <is>
          <t>Peru</t>
        </is>
      </c>
      <c r="D23" s="31" t="inlineStr">
        <is>
          <t>Yes</t>
        </is>
      </c>
      <c r="E23" s="32" t="inlineStr">
        <is>
          <t>Mirtha Vásquez</t>
        </is>
      </c>
      <c r="F23" s="32" t="inlineStr">
        <is>
          <t>President of the Council of Ministers of Peru</t>
        </is>
      </c>
      <c r="G23" s="32" t="inlineStr">
        <is>
          <t>LatAm executive</t>
        </is>
      </c>
      <c r="H23" s="32" t="inlineStr">
        <is>
          <t>press conference</t>
        </is>
      </c>
      <c r="I23" s="32" t="inlineStr">
        <is>
          <t>Chumbivilcas blockade halting Las Bambas</t>
        </is>
      </c>
      <c r="J23" s="32" t="inlineStr">
        <is>
          <t>With the Las Bambas road blockade past 20 days, Vásquez said the government was evaluating options including eviction of protesters and, as a last resort, a state of emergency in Chumbivilcas.</t>
        </is>
      </c>
      <c r="K23" s="32" t="inlineStr">
        <is>
          <t>copper</t>
        </is>
      </c>
      <c r="L23" s="32" t="inlineStr">
        <is>
          <t>labor social conflict, corruption governance</t>
        </is>
      </c>
      <c r="M23" s="31" t="inlineStr">
        <is>
          <t>not mentioned</t>
        </is>
      </c>
      <c r="N23" s="31" t="inlineStr">
        <is>
          <t>not mentioned</t>
        </is>
      </c>
      <c r="O23" s="32" t="inlineStr">
        <is>
          <t>Hay varias opciones que evaluar. No podemos permitir que se estén vulnerando ciertos derechos</t>
        </is>
      </c>
      <c r="P23" s="32" t="inlineStr">
        <is>
          <t>There are several options to evaluate. We cannot allow certain rights to be violated</t>
        </is>
      </c>
      <c r="Q23" s="31" t="inlineStr">
        <is>
          <t>es</t>
        </is>
      </c>
      <c r="R23" s="33" t="inlineStr">
        <is>
          <t>ProActivo</t>
        </is>
      </c>
      <c r="S23" s="32" t="inlineStr">
        <is>
          <t>news media</t>
        </is>
      </c>
      <c r="T23" s="32" t="inlineStr">
        <is>
          <t>secondary reported</t>
        </is>
      </c>
      <c r="U23" s="32" t="inlineStr"/>
    </row>
    <row r="24" ht="45.75" customHeight="1" s="24">
      <c r="A24" s="31" t="inlineStr">
        <is>
          <t>PS-0023</t>
        </is>
      </c>
      <c r="B24" s="31" t="inlineStr">
        <is>
          <t>2021-12-21</t>
        </is>
      </c>
      <c r="C24" s="31" t="inlineStr">
        <is>
          <t>Peru</t>
        </is>
      </c>
      <c r="D24" s="31" t="inlineStr">
        <is>
          <t>Yes</t>
        </is>
      </c>
      <c r="E24" s="32" t="inlineStr">
        <is>
          <t>Baltazar Lantarón</t>
        </is>
      </c>
      <c r="F24" s="32" t="inlineStr">
        <is>
          <t>Regional Governor of Apurímac</t>
        </is>
      </c>
      <c r="G24" s="32" t="inlineStr">
        <is>
          <t>LatAm executive</t>
        </is>
      </c>
      <c r="H24" s="32" t="inlineStr">
        <is>
          <t>official statement</t>
        </is>
      </c>
      <c r="I24" s="32" t="inlineStr">
        <is>
          <t>Las Bambas shutdown due to corridor blockade</t>
        </is>
      </c>
      <c r="J24" s="32" t="inlineStr">
        <is>
          <t>Lantarón criticized the Executive's negotiators as pusillanimous over the Las Bambas corridor blockade, warned of lost royalties and mining canon for Apurímac, and requested a 120-day emergency declaration on the southern mining corridor.</t>
        </is>
      </c>
      <c r="K24" s="32" t="inlineStr">
        <is>
          <t>copper</t>
        </is>
      </c>
      <c r="L24" s="32" t="inlineStr">
        <is>
          <t>royalties taxation, labor social conflict</t>
        </is>
      </c>
      <c r="M24" s="31" t="inlineStr">
        <is>
          <t>not mentioned</t>
        </is>
      </c>
      <c r="N24" s="31" t="inlineStr">
        <is>
          <t>not mentioned</t>
        </is>
      </c>
      <c r="O24" s="32" t="inlineStr">
        <is>
          <t>la actitud pusilánime de los negociadores del Ejecutivo están generado nefastas consecuencias económicas</t>
        </is>
      </c>
      <c r="P24" s="32" t="inlineStr">
        <is>
          <t>the pusillanimous attitude of the Executive's negotiators is generating disastrous economic consequences</t>
        </is>
      </c>
      <c r="Q24" s="31" t="inlineStr">
        <is>
          <t>es</t>
        </is>
      </c>
      <c r="R24" s="33" t="inlineStr">
        <is>
          <t>ProActivo</t>
        </is>
      </c>
      <c r="S24" s="32" t="inlineStr">
        <is>
          <t>news media</t>
        </is>
      </c>
      <c r="T24" s="32" t="inlineStr">
        <is>
          <t>secondary reported</t>
        </is>
      </c>
      <c r="U24" s="32" t="inlineStr"/>
    </row>
    <row r="25" ht="45.75" customHeight="1" s="24">
      <c r="A25" s="31" t="inlineStr">
        <is>
          <t>PS-0024</t>
        </is>
      </c>
      <c r="B25" s="31" t="inlineStr">
        <is>
          <t>2022-01</t>
        </is>
      </c>
      <c r="C25" s="31" t="inlineStr">
        <is>
          <t>Chile</t>
        </is>
      </c>
      <c r="D25" s="31" t="inlineStr">
        <is>
          <t>Yes</t>
        </is>
      </c>
      <c r="E25" s="32" t="inlineStr">
        <is>
          <t>Juan Carlos Jobet</t>
        </is>
      </c>
      <c r="F25" s="32" t="inlineStr">
        <is>
          <t>Minister of Mining and Energy</t>
        </is>
      </c>
      <c r="G25" s="32" t="inlineStr">
        <is>
          <t>LatAm executive</t>
        </is>
      </c>
      <c r="H25" s="32" t="inlineStr">
        <is>
          <t>interview</t>
        </is>
      </c>
      <c r="I25" s="32" t="inlineStr">
        <is>
          <t>Defence of lithium tender against incoming government's request to postpone</t>
        </is>
      </c>
      <c r="J25" s="32" t="inlineStr">
        <is>
          <t>Jobet argued Chile had failed to raise lithium output while other countries advanced, and said the tender (about 4% of reserves) did not mortgage the next government's agenda.</t>
        </is>
      </c>
      <c r="K25" s="32" t="inlineStr">
        <is>
          <t>lithium</t>
        </is>
      </c>
      <c r="L25" s="32" t="inlineStr">
        <is>
          <t>foreign investment, state control nationalization</t>
        </is>
      </c>
      <c r="M25" s="31" t="inlineStr">
        <is>
          <t>not mentioned</t>
        </is>
      </c>
      <c r="N25" s="31" t="inlineStr">
        <is>
          <t>not mentioned</t>
        </is>
      </c>
      <c r="O25" s="32" t="inlineStr">
        <is>
          <t>hemos sido incapaces de aumentar la producción y, mientras hacemos eso, los otros países avanzan</t>
        </is>
      </c>
      <c r="P25" s="32" t="inlineStr">
        <is>
          <t>we have been unable to increase production and, while we do that, other countries advance</t>
        </is>
      </c>
      <c r="Q25" s="31" t="inlineStr">
        <is>
          <t>es</t>
        </is>
      </c>
      <c r="R25" s="33" t="inlineStr">
        <is>
          <t>CNN Chile</t>
        </is>
      </c>
      <c r="S25" s="32" t="inlineStr">
        <is>
          <t>news media</t>
        </is>
      </c>
      <c r="T25" s="32" t="inlineStr">
        <is>
          <t>secondary reported</t>
        </is>
      </c>
      <c r="U25" s="32" t="inlineStr">
        <is>
          <t>Exact day not given; January 2022</t>
        </is>
      </c>
    </row>
    <row r="26" ht="45.75" customHeight="1" s="24">
      <c r="A26" s="31" t="inlineStr">
        <is>
          <t>PS-0025</t>
        </is>
      </c>
      <c r="B26" s="31" t="inlineStr">
        <is>
          <t>2022-01-06</t>
        </is>
      </c>
      <c r="C26" s="31" t="inlineStr">
        <is>
          <t>Chile</t>
        </is>
      </c>
      <c r="D26" s="31" t="inlineStr">
        <is>
          <t>Yes</t>
        </is>
      </c>
      <c r="E26" s="32" t="inlineStr">
        <is>
          <t>Ricardo Díaz</t>
        </is>
      </c>
      <c r="F26" s="32" t="inlineStr">
        <is>
          <t>Governor of Antofagasta Region</t>
        </is>
      </c>
      <c r="G26" s="32" t="inlineStr">
        <is>
          <t>LatAm executive</t>
        </is>
      </c>
      <c r="H26" s="32" t="inlineStr">
        <is>
          <t>official statement</t>
        </is>
      </c>
      <c r="I26" s="32" t="inlineStr">
        <is>
          <t>Complaint to Comptroller over lithium tender</t>
        </is>
      </c>
      <c r="J26" s="32" t="inlineStr">
        <is>
          <t>Antofagasta governor said his government filed a complaint with the Comptroller over the Piñera administration's lithium tender, arguing regional and indigenous Atacameño voices were not consulted.</t>
        </is>
      </c>
      <c r="K26" s="32" t="inlineStr">
        <is>
          <t>lithium</t>
        </is>
      </c>
      <c r="L26" s="32" t="inlineStr">
        <is>
          <t>indigenous community rights, sovereignty, corruption governance</t>
        </is>
      </c>
      <c r="M26" s="31" t="inlineStr">
        <is>
          <t>not mentioned</t>
        </is>
      </c>
      <c r="N26" s="31" t="inlineStr">
        <is>
          <t>not mentioned</t>
        </is>
      </c>
      <c r="O26" s="32" t="inlineStr">
        <is>
          <t>No se puede hacer un proceso de consulta, en donde se hipoteca el futuro de nuestra región, sin considerar la voz de los que habitamos este territorio.</t>
        </is>
      </c>
      <c r="P26" s="32" t="inlineStr">
        <is>
          <t>You cannot carry out a consultation process that mortgages the future of our region without considering the voice of those of us who live in this territory.</t>
        </is>
      </c>
      <c r="Q26" s="31" t="inlineStr">
        <is>
          <t>es</t>
        </is>
      </c>
      <c r="R26" s="33" t="inlineStr">
        <is>
          <t>T13</t>
        </is>
      </c>
      <c r="S26" s="32" t="inlineStr">
        <is>
          <t>news media</t>
        </is>
      </c>
      <c r="T26" s="32" t="inlineStr">
        <is>
          <t>secondary reported</t>
        </is>
      </c>
      <c r="U26" s="32" t="inlineStr"/>
    </row>
    <row r="27" ht="45.75" customHeight="1" s="24">
      <c r="A27" s="31" t="inlineStr">
        <is>
          <t>PS-0026</t>
        </is>
      </c>
      <c r="B27" s="31" t="inlineStr">
        <is>
          <t>2022-01-07</t>
        </is>
      </c>
      <c r="C27" s="31" t="inlineStr">
        <is>
          <t>Chile</t>
        </is>
      </c>
      <c r="D27" s="31" t="inlineStr">
        <is>
          <t>Yes</t>
        </is>
      </c>
      <c r="E27" s="32" t="inlineStr">
        <is>
          <t>Sebastián Piñera</t>
        </is>
      </c>
      <c r="F27" s="32" t="inlineStr">
        <is>
          <t>President of Chile</t>
        </is>
      </c>
      <c r="G27" s="32" t="inlineStr">
        <is>
          <t>LatAm executive</t>
        </is>
      </c>
      <c r="H27" s="32" t="inlineStr">
        <is>
          <t>press conference</t>
        </is>
      </c>
      <c r="I27" s="32" t="inlineStr">
        <is>
          <t>Visit to O'Higgins Region; defence of lithium tender</t>
        </is>
      </c>
      <c r="J27" s="32" t="inlineStr">
        <is>
          <t>Piñera defended the international lithium tender for about 4.4% of known reserves as transparent and Comptroller-approved, noting Chile had lost lithium leadership to Australia and saying a national lithium company, as proposed by Boric, could be done.</t>
        </is>
      </c>
      <c r="K27" s="32" t="inlineStr">
        <is>
          <t>lithium</t>
        </is>
      </c>
      <c r="L27" s="32" t="inlineStr">
        <is>
          <t>foreign investment, state control nationalization, corruption governance</t>
        </is>
      </c>
      <c r="M27" s="31" t="inlineStr">
        <is>
          <t>not mentioned</t>
        </is>
      </c>
      <c r="N27" s="31" t="inlineStr">
        <is>
          <t>not mentioned</t>
        </is>
      </c>
      <c r="O27" s="32" t="inlineStr">
        <is>
          <t>El litio es hoy día un mineral esencial para la sociedad que viene</t>
        </is>
      </c>
      <c r="P27" s="32" t="inlineStr">
        <is>
          <t>Lithium is today an essential mineral for the society to come</t>
        </is>
      </c>
      <c r="Q27" s="31" t="inlineStr">
        <is>
          <t>es</t>
        </is>
      </c>
      <c r="R27" s="33" t="inlineStr">
        <is>
          <t>El Dínamo</t>
        </is>
      </c>
      <c r="S27" s="32" t="inlineStr">
        <is>
          <t>news media</t>
        </is>
      </c>
      <c r="T27" s="32" t="inlineStr">
        <is>
          <t>secondary reported</t>
        </is>
      </c>
      <c r="U27" s="32" t="inlineStr"/>
    </row>
    <row r="28" ht="45.75" customHeight="1" s="24">
      <c r="A28" s="31" t="inlineStr">
        <is>
          <t>PS-0027</t>
        </is>
      </c>
      <c r="B28" s="31" t="inlineStr">
        <is>
          <t>2022-01-10</t>
        </is>
      </c>
      <c r="C28" s="31" t="inlineStr">
        <is>
          <t>Chile</t>
        </is>
      </c>
      <c r="D28" s="31" t="inlineStr">
        <is>
          <t>Yes</t>
        </is>
      </c>
      <c r="E28" s="32" t="inlineStr">
        <is>
          <t>Rodrigo Cerda</t>
        </is>
      </c>
      <c r="F28" s="32" t="inlineStr">
        <is>
          <t>Minister of Finance</t>
        </is>
      </c>
      <c r="G28" s="32" t="inlineStr">
        <is>
          <t>LatAm executive</t>
        </is>
      </c>
      <c r="H28" s="32" t="inlineStr">
        <is>
          <t>interview</t>
        </is>
      </c>
      <c r="I28" s="32" t="inlineStr">
        <is>
          <t>Canal 13 interview on lithium tender</t>
        </is>
      </c>
      <c r="J28" s="32" t="inlineStr">
        <is>
          <t>Finance minister said the lithium tender was not a lock-in ("amarre"), that lithium would remain Chilean and taxed, and that the government was listening to the president-elect's request to postpone it.</t>
        </is>
      </c>
      <c r="K28" s="32" t="inlineStr">
        <is>
          <t>lithium</t>
        </is>
      </c>
      <c r="L28" s="32" t="inlineStr">
        <is>
          <t>royalties taxation, state control nationalization</t>
        </is>
      </c>
      <c r="M28" s="31" t="inlineStr">
        <is>
          <t>not mentioned</t>
        </is>
      </c>
      <c r="N28" s="31" t="inlineStr">
        <is>
          <t>not mentioned</t>
        </is>
      </c>
      <c r="O28" s="32" t="inlineStr">
        <is>
          <t>El litio va a seguir siendo de los chilenos</t>
        </is>
      </c>
      <c r="P28" s="32" t="inlineStr">
        <is>
          <t>Lithium will continue to belong to Chileans</t>
        </is>
      </c>
      <c r="Q28" s="31" t="inlineStr">
        <is>
          <t>es</t>
        </is>
      </c>
      <c r="R28" s="33" t="inlineStr">
        <is>
          <t>CNN Chile</t>
        </is>
      </c>
      <c r="S28" s="32" t="inlineStr">
        <is>
          <t>news media</t>
        </is>
      </c>
      <c r="T28" s="32" t="inlineStr">
        <is>
          <t>secondary reported</t>
        </is>
      </c>
      <c r="U28" s="32" t="inlineStr"/>
    </row>
    <row r="29" ht="45.75" customHeight="1" s="24">
      <c r="A29" s="31" t="inlineStr">
        <is>
          <t>PS-0028</t>
        </is>
      </c>
      <c r="B29" s="31" t="inlineStr">
        <is>
          <t>2022-01-12</t>
        </is>
      </c>
      <c r="C29" s="31" t="inlineStr">
        <is>
          <t>Chile</t>
        </is>
      </c>
      <c r="D29" s="31" t="inlineStr">
        <is>
          <t>Yes</t>
        </is>
      </c>
      <c r="E29" s="32" t="inlineStr">
        <is>
          <t>Esteban Velásquez</t>
        </is>
      </c>
      <c r="F29" s="32" t="inlineStr">
        <is>
          <t>Deputy; President of Chamber Mining Commission</t>
        </is>
      </c>
      <c r="G29" s="32" t="inlineStr">
        <is>
          <t>LatAm legislature</t>
        </is>
      </c>
      <c r="H29" s="32" t="inlineStr">
        <is>
          <t>legislative debate</t>
        </is>
      </c>
      <c r="I29" s="32" t="inlineStr">
        <is>
          <t>Chamber Mining Commission session on lithium tender</t>
        </is>
      </c>
      <c r="J29" s="32" t="inlineStr">
        <is>
          <t>Mining Commission chair criticised the Piñera government for ignoring calls to halt the lithium tender; opposition deputies announced judicial and administrative actions to annul it.</t>
        </is>
      </c>
      <c r="K29" s="32" t="inlineStr">
        <is>
          <t>lithium</t>
        </is>
      </c>
      <c r="L29" s="32" t="inlineStr">
        <is>
          <t>corruption governance, state control nationalization</t>
        </is>
      </c>
      <c r="M29" s="31" t="inlineStr">
        <is>
          <t>not mentioned</t>
        </is>
      </c>
      <c r="N29" s="31" t="inlineStr">
        <is>
          <t>not mentioned</t>
        </is>
      </c>
      <c r="O29" s="32" t="inlineStr">
        <is>
          <t>El Gobierno del Presidente Piñera no escuchó ningún llamado</t>
        </is>
      </c>
      <c r="P29" s="32" t="inlineStr">
        <is>
          <t>President Piñera's government did not listen to any call</t>
        </is>
      </c>
      <c r="Q29" s="31" t="inlineStr">
        <is>
          <t>es</t>
        </is>
      </c>
      <c r="R29" s="33" t="inlineStr">
        <is>
          <t>El Mostrador</t>
        </is>
      </c>
      <c r="S29" s="32" t="inlineStr">
        <is>
          <t>news media</t>
        </is>
      </c>
      <c r="T29" s="32" t="inlineStr">
        <is>
          <t>secondary reported</t>
        </is>
      </c>
      <c r="U29" s="32" t="inlineStr"/>
    </row>
    <row r="30" ht="45.75" customHeight="1" s="24">
      <c r="A30" s="31" t="inlineStr">
        <is>
          <t>PS-0029</t>
        </is>
      </c>
      <c r="B30" s="31" t="inlineStr">
        <is>
          <t>2022-01-12</t>
        </is>
      </c>
      <c r="C30" s="31" t="inlineStr">
        <is>
          <t>Chile</t>
        </is>
      </c>
      <c r="D30" s="31" t="inlineStr">
        <is>
          <t>Yes</t>
        </is>
      </c>
      <c r="E30" s="32" t="inlineStr">
        <is>
          <t>Gabriel Boric</t>
        </is>
      </c>
      <c r="F30" s="32" t="inlineStr">
        <is>
          <t>President-elect of Chile</t>
        </is>
      </c>
      <c r="G30" s="32" t="inlineStr">
        <is>
          <t>LatAm party/candidate</t>
        </is>
      </c>
      <c r="H30" s="32" t="inlineStr">
        <is>
          <t>press conference</t>
        </is>
      </c>
      <c r="I30" s="32" t="inlineStr">
        <is>
          <t>Reaction to award of lithium tender to BYD and Servicios y Operaciones Mineras del Norte</t>
        </is>
      </c>
      <c r="J30" s="32" t="inlineStr">
        <is>
          <t>President-elect Boric called the outgoing government's lithium tender award bad news reminiscent of the "leyes de amarre" and said his team would review its details.</t>
        </is>
      </c>
      <c r="K30" s="32" t="inlineStr">
        <is>
          <t>lithium</t>
        </is>
      </c>
      <c r="L30" s="32" t="inlineStr">
        <is>
          <t>state control nationalization, corruption governance</t>
        </is>
      </c>
      <c r="M30" s="31" t="inlineStr">
        <is>
          <t>not mentioned</t>
        </is>
      </c>
      <c r="N30" s="31" t="inlineStr">
        <is>
          <t>not mentioned</t>
        </is>
      </c>
      <c r="O30" s="32" t="inlineStr">
        <is>
          <t>es una mala noticia y me recuerda a esas leyes de amarre</t>
        </is>
      </c>
      <c r="P30" s="32" t="inlineStr">
        <is>
          <t>it is bad news and reminds me of those lock-in laws</t>
        </is>
      </c>
      <c r="Q30" s="31" t="inlineStr">
        <is>
          <t>es</t>
        </is>
      </c>
      <c r="R30" s="33" t="inlineStr">
        <is>
          <t>El Mostrador</t>
        </is>
      </c>
      <c r="S30" s="32" t="inlineStr">
        <is>
          <t>news media</t>
        </is>
      </c>
      <c r="T30" s="32" t="inlineStr">
        <is>
          <t>secondary reported</t>
        </is>
      </c>
      <c r="U30" s="32" t="inlineStr">
        <is>
          <t>speaker_type coded as candidate because president-elect, not yet in office</t>
        </is>
      </c>
    </row>
    <row r="31" ht="45.75" customHeight="1" s="24">
      <c r="A31" s="31" t="inlineStr">
        <is>
          <t>PS-0030</t>
        </is>
      </c>
      <c r="B31" s="31" t="inlineStr">
        <is>
          <t>2022-02-02</t>
        </is>
      </c>
      <c r="C31" s="31" t="inlineStr">
        <is>
          <t>Mexico</t>
        </is>
      </c>
      <c r="D31" s="31" t="inlineStr">
        <is>
          <t>No</t>
        </is>
      </c>
      <c r="E31" s="32" t="inlineStr">
        <is>
          <t>Andrés Manuel López Obrador</t>
        </is>
      </c>
      <c r="F31" s="32" t="inlineStr">
        <is>
          <t>President of Mexico</t>
        </is>
      </c>
      <c r="G31" s="32" t="inlineStr">
        <is>
          <t>LatAm executive</t>
        </is>
      </c>
      <c r="H31" s="32" t="inlineStr">
        <is>
          <t>press conference</t>
        </is>
      </c>
      <c r="I31" s="32" t="inlineStr">
        <is>
          <t>Mañanera; announcement of state lithium company</t>
        </is>
      </c>
      <c r="J31" s="32" t="inlineStr">
        <is>
          <t>AMLO said existing mining concessions did not cover lithium, which he called a strategic mineral belonging to the nation, and that the state would exploit it; he said Mexico did not want to be a territory of conflict between Russia, China or the US.</t>
        </is>
      </c>
      <c r="K31" s="32" t="inlineStr">
        <is>
          <t>lithium</t>
        </is>
      </c>
      <c r="L31" s="32" t="inlineStr">
        <is>
          <t>state control nationalization, sovereignty, geopolitics security, foreign investment</t>
        </is>
      </c>
      <c r="M31" s="31" t="inlineStr">
        <is>
          <t>neutral</t>
        </is>
      </c>
      <c r="N31" s="31" t="inlineStr">
        <is>
          <t>neutral</t>
        </is>
      </c>
      <c r="O31" s="32" t="inlineStr">
        <is>
          <t>el litio lo va a explotar la nación. El litio ya, para que se entienda bien, no es ni siquiera del Gobierno o del Estado, el litio es del pueblo</t>
        </is>
      </c>
      <c r="P31" s="32" t="inlineStr">
        <is>
          <t>lithium will be exploited by the nation. Lithium, to be clear, does not even belong to the government or the state, lithium belongs to the people</t>
        </is>
      </c>
      <c r="Q31" s="31" t="inlineStr">
        <is>
          <t>es</t>
        </is>
      </c>
      <c r="R31" s="33" t="inlineStr">
        <is>
          <t>Emol (EFE)</t>
        </is>
      </c>
      <c r="S31" s="32" t="inlineStr">
        <is>
          <t>news media</t>
        </is>
      </c>
      <c r="T31" s="32" t="inlineStr">
        <is>
          <t>secondary reported</t>
        </is>
      </c>
      <c r="U31" s="32" t="inlineStr"/>
    </row>
    <row r="32" ht="45.75" customHeight="1" s="24">
      <c r="A32" s="31" t="inlineStr">
        <is>
          <t>PS-0031</t>
        </is>
      </c>
      <c r="B32" s="31" t="inlineStr">
        <is>
          <t>2022-02-06</t>
        </is>
      </c>
      <c r="C32" s="31" t="inlineStr">
        <is>
          <t>Argentina</t>
        </is>
      </c>
      <c r="D32" s="31" t="inlineStr">
        <is>
          <t>Yes</t>
        </is>
      </c>
      <c r="E32" s="32" t="inlineStr">
        <is>
          <t>Xi Jinping; Alberto Fernández</t>
        </is>
      </c>
      <c r="F32" s="32" t="inlineStr">
        <is>
          <t>President of China; President of Argentina</t>
        </is>
      </c>
      <c r="G32" s="32" t="inlineStr">
        <is>
          <t>China</t>
        </is>
      </c>
      <c r="H32" s="32" t="inlineStr">
        <is>
          <t>joint declaration or mou</t>
        </is>
      </c>
      <c r="I32" s="32" t="inlineStr">
        <is>
          <t>Fernández state visit to Beijing; Argentina joins Belt and Road</t>
        </is>
      </c>
      <c r="J32" s="32" t="inlineStr">
        <is>
          <t>Chinese readout of the Xi-Fernández meeting says the sides will deepen cooperation in trade, agriculture, energy, mining, infrastructure, investment and finance, with China helping expand Argentina's exports.</t>
        </is>
      </c>
      <c r="K32" s="32" t="inlineStr">
        <is>
          <t>mining general</t>
        </is>
      </c>
      <c r="L32" s="32" t="inlineStr">
        <is>
          <t>diplomatic relations, foreign investment, infrastructure ports</t>
        </is>
      </c>
      <c r="M32" s="31" t="inlineStr">
        <is>
          <t>positive</t>
        </is>
      </c>
      <c r="N32" s="31" t="inlineStr">
        <is>
          <t>not mentioned</t>
        </is>
      </c>
      <c r="O32" s="32" t="inlineStr">
        <is>
          <t>la cooperación en áreas de comercio, agricultura, energía, minería, infraestructura, inversión, financiación y lucha antiepidémica</t>
        </is>
      </c>
      <c r="P32" s="32" t="inlineStr">
        <is>
          <t>cooperation in the areas of trade, agriculture, energy, mining, infrastructure, investment, financing and the fight against the epidemic</t>
        </is>
      </c>
      <c r="Q32" s="31" t="inlineStr">
        <is>
          <t>es</t>
        </is>
      </c>
      <c r="R32" s="33" t="inlineStr">
        <is>
          <t>Ministry of Foreign Affairs of the PRC (Spanish)</t>
        </is>
      </c>
      <c r="S32" s="32" t="inlineStr">
        <is>
          <t>primary official</t>
        </is>
      </c>
      <c r="T32" s="32" t="inlineStr">
        <is>
          <t>primary verified</t>
        </is>
      </c>
      <c r="U32" s="32" t="inlineStr">
        <is>
          <t>Mining only listed among sectors.</t>
        </is>
      </c>
    </row>
    <row r="33" ht="45.75" customHeight="1" s="24">
      <c r="A33" s="31" t="inlineStr">
        <is>
          <t>PS-0032</t>
        </is>
      </c>
      <c r="B33" s="31" t="inlineStr">
        <is>
          <t>2022-03-31</t>
        </is>
      </c>
      <c r="C33" s="31" t="inlineStr">
        <is>
          <t>Regional</t>
        </is>
      </c>
      <c r="D33" s="31" t="inlineStr">
        <is>
          <t>No</t>
        </is>
      </c>
      <c r="E33" s="32" t="inlineStr">
        <is>
          <t>Marco Rubio</t>
        </is>
      </c>
      <c r="F33" s="32" t="inlineStr">
        <is>
          <t>U.S. Senator (R-FL), Ranking Member, SFRC Subcommittee on the Western Hemisphere</t>
        </is>
      </c>
      <c r="G33" s="32" t="inlineStr">
        <is>
          <t>United States</t>
        </is>
      </c>
      <c r="H33" s="32" t="inlineStr">
        <is>
          <t>legislative debate</t>
        </is>
      </c>
      <c r="I33" s="32" t="inlineStr">
        <is>
          <t>SFRC Western Hemisphere subcommittee hearing 'China's Role in Latin America and the Caribbean'</t>
        </is>
      </c>
      <c r="J33" s="32" t="inlineStr">
        <is>
          <t>Rubio said the Chinese Communist Party pushes Latin American countries to stay dependent on mining and natural-resource exports rather than helping them develop and industrialize.</t>
        </is>
      </c>
      <c r="K33" s="32" t="inlineStr">
        <is>
          <t>mining general</t>
        </is>
      </c>
      <c r="L33" s="32" t="inlineStr">
        <is>
          <t>geopolitics security, value added industrialization</t>
        </is>
      </c>
      <c r="M33" s="31" t="inlineStr">
        <is>
          <t>negative</t>
        </is>
      </c>
      <c r="N33" s="31" t="inlineStr">
        <is>
          <t>positive</t>
        </is>
      </c>
      <c r="O33" s="32" t="inlineStr">
        <is>
          <t>the Chinese Communist Party is pushing countries to remain dependent on mining and other—and the export of other natural resources</t>
        </is>
      </c>
      <c r="P33" s="32" t="inlineStr">
        <is>
          <t>the Chinese Communist Party is pushing countries to remain dependent on mining and other—and the export of other natural resources</t>
        </is>
      </c>
      <c r="Q33" s="31" t="inlineStr">
        <is>
          <t>en</t>
        </is>
      </c>
      <c r="R33" s="33" t="inlineStr">
        <is>
          <t>U.S. Senate Foreign Relations Committee (hearing transcript)</t>
        </is>
      </c>
      <c r="S33" s="32" t="inlineStr">
        <is>
          <t>legislative record</t>
        </is>
      </c>
      <c r="T33" s="32" t="inlineStr">
        <is>
          <t>primary verified</t>
        </is>
      </c>
      <c r="U33" s="32" t="inlineStr">
        <is>
          <t>Ranking-member role inferred, not confirmed on page.</t>
        </is>
      </c>
    </row>
    <row r="34" ht="45.75" customHeight="1" s="24">
      <c r="A34" s="31" t="inlineStr">
        <is>
          <t>PS-0033</t>
        </is>
      </c>
      <c r="B34" s="31" t="inlineStr">
        <is>
          <t>2022-03-31</t>
        </is>
      </c>
      <c r="C34" s="31" t="inlineStr">
        <is>
          <t>Regional</t>
        </is>
      </c>
      <c r="D34" s="31" t="inlineStr">
        <is>
          <t>No</t>
        </is>
      </c>
      <c r="E34" s="32" t="inlineStr">
        <is>
          <t>Tim Kaine</t>
        </is>
      </c>
      <c r="F34" s="32" t="inlineStr">
        <is>
          <t>U.S. Senator (D-VA), Chair, SFRC Subcommittee on the Western Hemisphere</t>
        </is>
      </c>
      <c r="G34" s="32" t="inlineStr">
        <is>
          <t>United States</t>
        </is>
      </c>
      <c r="H34" s="32" t="inlineStr">
        <is>
          <t>legislative debate</t>
        </is>
      </c>
      <c r="I34" s="32" t="inlineStr">
        <is>
          <t>SFRC Western Hemisphere subcommittee hearing 'China's Role in Latin America and the Caribbean'</t>
        </is>
      </c>
      <c r="J34" s="32" t="inlineStr">
        <is>
          <t>In his opening statement Kaine said China continues its quest for natural resources and raw materials across Latin America, citing lithium in Argentina, Bolivia and Chile and copper in Peru.</t>
        </is>
      </c>
      <c r="K34" s="32" t="inlineStr">
        <is>
          <t>lithium, copper</t>
        </is>
      </c>
      <c r="L34" s="32" t="inlineStr">
        <is>
          <t>geopolitics security, foreign investment</t>
        </is>
      </c>
      <c r="M34" s="31" t="inlineStr">
        <is>
          <t>negative</t>
        </is>
      </c>
      <c r="N34" s="31" t="inlineStr">
        <is>
          <t>positive</t>
        </is>
      </c>
      <c r="O34" s="32" t="inlineStr">
        <is>
          <t>China continues its quest for natural resources and raw materials throughout the region, including lithium in places like Argentina, Bolivia, and Chile or copper in Peru.</t>
        </is>
      </c>
      <c r="P34" s="32" t="inlineStr">
        <is>
          <t>China continues its quest for natural resources and raw materials throughout the region, including lithium in places like Argentina, Bolivia, and Chile or copper in Peru.</t>
        </is>
      </c>
      <c r="Q34" s="31" t="inlineStr">
        <is>
          <t>en</t>
        </is>
      </c>
      <c r="R34" s="33" t="inlineStr">
        <is>
          <t>U.S. Senate Foreign Relations Committee (hearing transcript)</t>
        </is>
      </c>
      <c r="S34" s="32" t="inlineStr">
        <is>
          <t>legislative record</t>
        </is>
      </c>
      <c r="T34" s="32" t="inlineStr">
        <is>
          <t>primary verified</t>
        </is>
      </c>
      <c r="U34" s="32" t="inlineStr">
        <is>
          <t>Subcommittee chair role inferred (Kaine chaired the WH subcommittee in the 117th Congress).</t>
        </is>
      </c>
    </row>
    <row r="35" ht="45.75" customHeight="1" s="24">
      <c r="A35" s="31" t="inlineStr">
        <is>
          <t>PS-0034</t>
        </is>
      </c>
      <c r="B35" s="31" t="inlineStr">
        <is>
          <t>2022-04-18</t>
        </is>
      </c>
      <c r="C35" s="31" t="inlineStr">
        <is>
          <t>Mexico</t>
        </is>
      </c>
      <c r="D35" s="31" t="inlineStr">
        <is>
          <t>No</t>
        </is>
      </c>
      <c r="E35" s="32" t="inlineStr">
        <is>
          <t>Andrés Manuel López Obrador</t>
        </is>
      </c>
      <c r="F35" s="32" t="inlineStr">
        <is>
          <t>President of Mexico</t>
        </is>
      </c>
      <c r="G35" s="32" t="inlineStr">
        <is>
          <t>LatAm executive</t>
        </is>
      </c>
      <c r="H35" s="32" t="inlineStr">
        <is>
          <t>press conference</t>
        </is>
      </c>
      <c r="I35" s="32" t="inlineStr">
        <is>
          <t>Mañanera after failure of constitutional electricity reform; call to pass Mining Law reform</t>
        </is>
      </c>
      <c r="J35" s="32" t="inlineStr">
        <is>
          <t>AMLO urged legislators to approve his Mining Law reform nationalizing lithium, saying it should be used only for national development and that a state company would explore, extract, process and sell it.</t>
        </is>
      </c>
      <c r="K35" s="32" t="inlineStr">
        <is>
          <t>lithium</t>
        </is>
      </c>
      <c r="L35" s="32" t="inlineStr">
        <is>
          <t>state control nationalization, sovereignty, geopolitics security</t>
        </is>
      </c>
      <c r="M35" s="31" t="inlineStr">
        <is>
          <t>not mentioned</t>
        </is>
      </c>
      <c r="N35" s="31" t="inlineStr">
        <is>
          <t>not mentioned</t>
        </is>
      </c>
      <c r="O35" s="32" t="inlineStr">
        <is>
          <t>nacionalicemos el litio. Así de claro, que solo se utilice para el beneficio del desarrollo nacional.</t>
        </is>
      </c>
      <c r="P35" s="32" t="inlineStr">
        <is>
          <t>let's nationalize lithium. That clear, so that it is only used for the benefit of national development.</t>
        </is>
      </c>
      <c r="Q35" s="31" t="inlineStr">
        <is>
          <t>es</t>
        </is>
      </c>
      <c r="R35" s="33" t="inlineStr">
        <is>
          <t>El Financiero</t>
        </is>
      </c>
      <c r="S35" s="32" t="inlineStr">
        <is>
          <t>news media</t>
        </is>
      </c>
      <c r="T35" s="32" t="inlineStr">
        <is>
          <t>secondary reported</t>
        </is>
      </c>
      <c r="U35" s="32" t="inlineStr"/>
    </row>
    <row r="36" ht="45.75" customHeight="1" s="24">
      <c r="A36" s="31" t="inlineStr">
        <is>
          <t>PS-0035</t>
        </is>
      </c>
      <c r="B36" s="31" t="inlineStr">
        <is>
          <t>2022-04-18</t>
        </is>
      </c>
      <c r="C36" s="31" t="inlineStr">
        <is>
          <t>Mexico</t>
        </is>
      </c>
      <c r="D36" s="31" t="inlineStr">
        <is>
          <t>No</t>
        </is>
      </c>
      <c r="E36" s="32" t="inlineStr">
        <is>
          <t>Cámara de Diputados de México</t>
        </is>
      </c>
      <c r="F36" s="32" t="inlineStr">
        <is>
          <t>Chamber of Deputies</t>
        </is>
      </c>
      <c r="G36" s="32" t="inlineStr">
        <is>
          <t>LatAm legislature</t>
        </is>
      </c>
      <c r="H36" s="32" t="inlineStr">
        <is>
          <t>bill or law</t>
        </is>
      </c>
      <c r="I36" s="32" t="inlineStr">
        <is>
          <t>Vote on Mining Law reform declaring lithium of public utility</t>
        </is>
      </c>
      <c r="J36" s="32" t="inlineStr">
        <is>
          <t>The Chamber of Deputies approved in general the reform to the Mining Law nationalizing lithium by 298 votes in favour and 197 abstentions; PAN and PRI deputies abstained, while Movimiento Ciudadano voted against parts of it.</t>
        </is>
      </c>
      <c r="K36" s="32" t="inlineStr">
        <is>
          <t>lithium</t>
        </is>
      </c>
      <c r="L36" s="32" t="inlineStr">
        <is>
          <t>state control nationalization, sovereignty</t>
        </is>
      </c>
      <c r="M36" s="31" t="inlineStr">
        <is>
          <t>not mentioned</t>
        </is>
      </c>
      <c r="N36" s="31" t="inlineStr">
        <is>
          <t>not mentioned</t>
        </is>
      </c>
      <c r="O36" s="32" t="inlineStr"/>
      <c r="P36" s="32" t="inlineStr"/>
      <c r="Q36" s="31" t="inlineStr">
        <is>
          <t>es</t>
        </is>
      </c>
      <c r="R36" s="33" t="inlineStr">
        <is>
          <t>Expansión Política</t>
        </is>
      </c>
      <c r="S36" s="32" t="inlineStr">
        <is>
          <t>news media</t>
        </is>
      </c>
      <c r="T36" s="32" t="inlineStr">
        <is>
          <t>secondary reported</t>
        </is>
      </c>
      <c r="U36" s="32" t="inlineStr">
        <is>
          <t>In particular: 275 for, 187 abstentions, 24 against (MC).</t>
        </is>
      </c>
    </row>
    <row r="37" ht="45.75" customHeight="1" s="24">
      <c r="A37" s="31" t="inlineStr">
        <is>
          <t>PS-0036</t>
        </is>
      </c>
      <c r="B37" s="31" t="inlineStr">
        <is>
          <t>2022-04-18</t>
        </is>
      </c>
      <c r="C37" s="31" t="inlineStr">
        <is>
          <t>Mexico</t>
        </is>
      </c>
      <c r="D37" s="31" t="inlineStr">
        <is>
          <t>No</t>
        </is>
      </c>
      <c r="E37" s="32" t="inlineStr">
        <is>
          <t>Salomón Chertorivski</t>
        </is>
      </c>
      <c r="F37" s="32" t="inlineStr">
        <is>
          <t>Federal Deputy (Movimiento Ciudadano)</t>
        </is>
      </c>
      <c r="G37" s="32" t="inlineStr">
        <is>
          <t>LatAm legislature</t>
        </is>
      </c>
      <c r="H37" s="32" t="inlineStr">
        <is>
          <t>legislative debate</t>
        </is>
      </c>
      <c r="I37" s="32" t="inlineStr">
        <is>
          <t>Chamber of Deputies debate on lithium Mining Law reform</t>
        </is>
      </c>
      <c r="J37" s="32" t="inlineStr">
        <is>
          <t>Chertorivski argued that lithium concessions could not be prohibited by ordinary statute and that it had to be done through the Constitution.</t>
        </is>
      </c>
      <c r="K37" s="32" t="inlineStr">
        <is>
          <t>lithium</t>
        </is>
      </c>
      <c r="L37" s="32" t="inlineStr">
        <is>
          <t>state control nationalization, corruption governance</t>
        </is>
      </c>
      <c r="M37" s="31" t="inlineStr">
        <is>
          <t>not mentioned</t>
        </is>
      </c>
      <c r="N37" s="31" t="inlineStr">
        <is>
          <t>not mentioned</t>
        </is>
      </c>
      <c r="O37" s="32" t="inlineStr">
        <is>
          <t>No se puede prohibir en una ley una concesión, se tiene que hacer desde la Constitución</t>
        </is>
      </c>
      <c r="P37" s="32" t="inlineStr">
        <is>
          <t>A concession cannot be prohibited in a law, it has to be done from the Constitution</t>
        </is>
      </c>
      <c r="Q37" s="31" t="inlineStr">
        <is>
          <t>es</t>
        </is>
      </c>
      <c r="R37" s="33" t="inlineStr">
        <is>
          <t>Expansión Política</t>
        </is>
      </c>
      <c r="S37" s="32" t="inlineStr">
        <is>
          <t>news media</t>
        </is>
      </c>
      <c r="T37" s="32" t="inlineStr">
        <is>
          <t>secondary reported</t>
        </is>
      </c>
      <c r="U37" s="32" t="inlineStr"/>
    </row>
    <row r="38" ht="45.75" customHeight="1" s="24">
      <c r="A38" s="31" t="inlineStr">
        <is>
          <t>PS-0037</t>
        </is>
      </c>
      <c r="B38" s="31" t="inlineStr">
        <is>
          <t>2022-04-19</t>
        </is>
      </c>
      <c r="C38" s="31" t="inlineStr">
        <is>
          <t>Mexico</t>
        </is>
      </c>
      <c r="D38" s="31" t="inlineStr">
        <is>
          <t>No</t>
        </is>
      </c>
      <c r="E38" s="32" t="inlineStr">
        <is>
          <t>Alejandro Armenta</t>
        </is>
      </c>
      <c r="F38" s="32" t="inlineStr">
        <is>
          <t>Senator (Morena)</t>
        </is>
      </c>
      <c r="G38" s="32" t="inlineStr">
        <is>
          <t>LatAm legislature</t>
        </is>
      </c>
      <c r="H38" s="32" t="inlineStr">
        <is>
          <t>legislative debate</t>
        </is>
      </c>
      <c r="I38" s="32" t="inlineStr">
        <is>
          <t>Senate debate on lithium Mining Law reform</t>
        </is>
      </c>
      <c r="J38" s="32" t="inlineStr">
        <is>
          <t>Morena senator Armenta defended the reform, arguing that the private sector would still participate since the state company would sell lithium to private firms.</t>
        </is>
      </c>
      <c r="K38" s="32" t="inlineStr">
        <is>
          <t>lithium</t>
        </is>
      </c>
      <c r="L38" s="32" t="inlineStr">
        <is>
          <t>state control nationalization, foreign investment</t>
        </is>
      </c>
      <c r="M38" s="31" t="inlineStr">
        <is>
          <t>not mentioned</t>
        </is>
      </c>
      <c r="N38" s="31" t="inlineStr">
        <is>
          <t>not mentioned</t>
        </is>
      </c>
      <c r="O38" s="32" t="inlineStr">
        <is>
          <t>Se lo vende a los particulares</t>
        </is>
      </c>
      <c r="P38" s="32" t="inlineStr">
        <is>
          <t>It is sold to private parties</t>
        </is>
      </c>
      <c r="Q38" s="31" t="inlineStr">
        <is>
          <t>es</t>
        </is>
      </c>
      <c r="R38" s="33" t="inlineStr">
        <is>
          <t>Expansión Política</t>
        </is>
      </c>
      <c r="S38" s="32" t="inlineStr">
        <is>
          <t>news media</t>
        </is>
      </c>
      <c r="T38" s="32" t="inlineStr">
        <is>
          <t>secondary reported</t>
        </is>
      </c>
      <c r="U38" s="32" t="inlineStr"/>
    </row>
    <row r="39" ht="45.75" customHeight="1" s="24">
      <c r="A39" s="31" t="inlineStr">
        <is>
          <t>PS-0038</t>
        </is>
      </c>
      <c r="B39" s="31" t="inlineStr">
        <is>
          <t>2022-04-19</t>
        </is>
      </c>
      <c r="C39" s="31" t="inlineStr">
        <is>
          <t>Mexico</t>
        </is>
      </c>
      <c r="D39" s="31" t="inlineStr">
        <is>
          <t>No</t>
        </is>
      </c>
      <c r="E39" s="32" t="inlineStr">
        <is>
          <t>Damián Zepeda</t>
        </is>
      </c>
      <c r="F39" s="32" t="inlineStr">
        <is>
          <t>Senator (PAN)</t>
        </is>
      </c>
      <c r="G39" s="32" t="inlineStr">
        <is>
          <t>LatAm legislature</t>
        </is>
      </c>
      <c r="H39" s="32" t="inlineStr">
        <is>
          <t>legislative debate</t>
        </is>
      </c>
      <c r="I39" s="32" t="inlineStr">
        <is>
          <t>Senate debate on lithium Mining Law reform</t>
        </is>
      </c>
      <c r="J39" s="32" t="inlineStr">
        <is>
          <t>PAN senator Damián Zepeda opposed the lithium reform, arguing the government should not act as a businessman in lithium exploitation.</t>
        </is>
      </c>
      <c r="K39" s="32" t="inlineStr">
        <is>
          <t>lithium</t>
        </is>
      </c>
      <c r="L39" s="32" t="inlineStr">
        <is>
          <t>state control nationalization, foreign investment</t>
        </is>
      </c>
      <c r="M39" s="31" t="inlineStr">
        <is>
          <t>not mentioned</t>
        </is>
      </c>
      <c r="N39" s="31" t="inlineStr">
        <is>
          <t>not mentioned</t>
        </is>
      </c>
      <c r="O39" s="32" t="inlineStr">
        <is>
          <t>el gobierno es pésimo para ser empresario</t>
        </is>
      </c>
      <c r="P39" s="32" t="inlineStr">
        <is>
          <t>the government is terrible at being a businessman</t>
        </is>
      </c>
      <c r="Q39" s="31" t="inlineStr">
        <is>
          <t>es</t>
        </is>
      </c>
      <c r="R39" s="33" t="inlineStr">
        <is>
          <t>Expansión Política</t>
        </is>
      </c>
      <c r="S39" s="32" t="inlineStr">
        <is>
          <t>news media</t>
        </is>
      </c>
      <c r="T39" s="32" t="inlineStr">
        <is>
          <t>secondary reported</t>
        </is>
      </c>
      <c r="U39" s="32" t="inlineStr"/>
    </row>
    <row r="40" ht="45.75" customHeight="1" s="24">
      <c r="A40" s="31" t="inlineStr">
        <is>
          <t>PS-0039</t>
        </is>
      </c>
      <c r="B40" s="31" t="inlineStr">
        <is>
          <t>2022-04-19</t>
        </is>
      </c>
      <c r="C40" s="31" t="inlineStr">
        <is>
          <t>Mexico</t>
        </is>
      </c>
      <c r="D40" s="31" t="inlineStr">
        <is>
          <t>No</t>
        </is>
      </c>
      <c r="E40" s="32" t="inlineStr">
        <is>
          <t>José Erandi Bermúdez</t>
        </is>
      </c>
      <c r="F40" s="32" t="inlineStr">
        <is>
          <t>Senator (PAN)</t>
        </is>
      </c>
      <c r="G40" s="32" t="inlineStr">
        <is>
          <t>LatAm legislature</t>
        </is>
      </c>
      <c r="H40" s="32" t="inlineStr">
        <is>
          <t>legislative debate</t>
        </is>
      </c>
      <c r="I40" s="32" t="inlineStr">
        <is>
          <t>Senate debate on lithium Mining Law reform</t>
        </is>
      </c>
      <c r="J40" s="32" t="inlineStr">
        <is>
          <t>Bermúdez criticized the reform for lacking precision on which minerals would be considered 'strategic'.</t>
        </is>
      </c>
      <c r="K40" s="32" t="inlineStr">
        <is>
          <t>lithium, critical minerals general</t>
        </is>
      </c>
      <c r="L40" s="32" t="inlineStr">
        <is>
          <t>state control nationalization, corruption governance</t>
        </is>
      </c>
      <c r="M40" s="31" t="inlineStr">
        <is>
          <t>not mentioned</t>
        </is>
      </c>
      <c r="N40" s="31" t="inlineStr">
        <is>
          <t>not mentioned</t>
        </is>
      </c>
      <c r="O40" s="32" t="inlineStr"/>
      <c r="P40" s="32" t="inlineStr"/>
      <c r="Q40" s="31" t="inlineStr">
        <is>
          <t>es</t>
        </is>
      </c>
      <c r="R40" s="33" t="inlineStr">
        <is>
          <t>Expansión Política</t>
        </is>
      </c>
      <c r="S40" s="32" t="inlineStr">
        <is>
          <t>news media</t>
        </is>
      </c>
      <c r="T40" s="32" t="inlineStr">
        <is>
          <t>secondary reported</t>
        </is>
      </c>
      <c r="U40" s="32" t="inlineStr"/>
    </row>
    <row r="41" ht="45.75" customHeight="1" s="24">
      <c r="A41" s="31" t="inlineStr">
        <is>
          <t>PS-0040</t>
        </is>
      </c>
      <c r="B41" s="31" t="inlineStr">
        <is>
          <t>2022-04-19</t>
        </is>
      </c>
      <c r="C41" s="31" t="inlineStr">
        <is>
          <t>Mexico</t>
        </is>
      </c>
      <c r="D41" s="31" t="inlineStr">
        <is>
          <t>No</t>
        </is>
      </c>
      <c r="E41" s="32" t="inlineStr">
        <is>
          <t>Senado de la República</t>
        </is>
      </c>
      <c r="F41" s="32" t="inlineStr">
        <is>
          <t>Mexican Senate</t>
        </is>
      </c>
      <c r="G41" s="32" t="inlineStr">
        <is>
          <t>LatAm legislature</t>
        </is>
      </c>
      <c r="H41" s="32" t="inlineStr">
        <is>
          <t>bill or law</t>
        </is>
      </c>
      <c r="I41" s="32" t="inlineStr">
        <is>
          <t>Senate vote on lithium Mining Law reform</t>
        </is>
      </c>
      <c r="J41" s="32" t="inlineStr">
        <is>
          <t>The Senate approved in general the Mining Law reform reserving lithium exploration and exploitation to the state, by 87 votes to 20 with 16 abstentions.</t>
        </is>
      </c>
      <c r="K41" s="32" t="inlineStr">
        <is>
          <t>lithium</t>
        </is>
      </c>
      <c r="L41" s="32" t="inlineStr">
        <is>
          <t>state control nationalization, sovereignty</t>
        </is>
      </c>
      <c r="M41" s="31" t="inlineStr">
        <is>
          <t>not mentioned</t>
        </is>
      </c>
      <c r="N41" s="31" t="inlineStr">
        <is>
          <t>not mentioned</t>
        </is>
      </c>
      <c r="O41" s="32" t="inlineStr"/>
      <c r="P41" s="32" t="inlineStr"/>
      <c r="Q41" s="31" t="inlineStr">
        <is>
          <t>es</t>
        </is>
      </c>
      <c r="R41" s="33" t="inlineStr">
        <is>
          <t>Expansión Política</t>
        </is>
      </c>
      <c r="S41" s="32" t="inlineStr">
        <is>
          <t>news media</t>
        </is>
      </c>
      <c r="T41" s="32" t="inlineStr">
        <is>
          <t>secondary reported</t>
        </is>
      </c>
      <c r="U41" s="32" t="inlineStr">
        <is>
          <t>In particular: 76 for, 45 against.</t>
        </is>
      </c>
    </row>
    <row r="42" ht="45.75" customHeight="1" s="24">
      <c r="A42" s="31" t="inlineStr">
        <is>
          <t>PS-0041</t>
        </is>
      </c>
      <c r="B42" s="31" t="inlineStr">
        <is>
          <t>2022-05</t>
        </is>
      </c>
      <c r="C42" s="31" t="inlineStr">
        <is>
          <t>Brazil</t>
        </is>
      </c>
      <c r="D42" s="31" t="inlineStr">
        <is>
          <t>Yes</t>
        </is>
      </c>
      <c r="E42" s="32" t="inlineStr">
        <is>
          <t>Jair Bolsonaro</t>
        </is>
      </c>
      <c r="F42" s="32" t="inlineStr">
        <is>
          <t>President of Brazil</t>
        </is>
      </c>
      <c r="G42" s="32" t="inlineStr">
        <is>
          <t>LatAm executive</t>
        </is>
      </c>
      <c r="H42" s="32" t="inlineStr">
        <is>
          <t>speech</t>
        </is>
      </c>
      <c r="I42" s="32" t="inlineStr">
        <is>
          <t>Meeting with Elon Musk, São Paulo state</t>
        </is>
      </c>
      <c r="J42" s="32" t="inlineStr">
        <is>
          <t>Bolsonaro reportedly offered niobium to Elon Musk during their 2022 meeting, citing Brazil's 98% share of world reserves and studies on niobium batteries that Tesla could use.</t>
        </is>
      </c>
      <c r="K42" s="32" t="inlineStr">
        <is>
          <t>niobium</t>
        </is>
      </c>
      <c r="L42" s="32" t="inlineStr">
        <is>
          <t>foreign investment, technology transfer</t>
        </is>
      </c>
      <c r="M42" s="31" t="inlineStr">
        <is>
          <t>not mentioned</t>
        </is>
      </c>
      <c r="N42" s="31" t="inlineStr">
        <is>
          <t>positive</t>
        </is>
      </c>
      <c r="O42" s="32" t="inlineStr"/>
      <c r="P42" s="32" t="inlineStr"/>
      <c r="Q42" s="31" t="inlineStr">
        <is>
          <t>pt</t>
        </is>
      </c>
      <c r="R42" s="33" t="inlineStr">
        <is>
          <t>Portal Tela</t>
        </is>
      </c>
      <c r="S42" s="32" t="inlineStr">
        <is>
          <t>news media</t>
        </is>
      </c>
      <c r="T42" s="32" t="inlineStr">
        <is>
          <t>secondary reported</t>
        </is>
      </c>
      <c r="U42" s="32" t="inlineStr">
        <is>
          <t>Paraphrase only; month from known Musk visit (May 2022), source says only 2022</t>
        </is>
      </c>
    </row>
    <row r="43" ht="45.75" customHeight="1" s="24">
      <c r="A43" s="31" t="inlineStr">
        <is>
          <t>PS-0042</t>
        </is>
      </c>
      <c r="B43" s="31" t="inlineStr">
        <is>
          <t>2022-05-19</t>
        </is>
      </c>
      <c r="C43" s="31" t="inlineStr">
        <is>
          <t>Peru</t>
        </is>
      </c>
      <c r="D43" s="31" t="inlineStr">
        <is>
          <t>Yes</t>
        </is>
      </c>
      <c r="E43" s="32" t="inlineStr">
        <is>
          <t>Aníbal Torres</t>
        </is>
      </c>
      <c r="F43" s="32" t="inlineStr">
        <is>
          <t>President of the Council of Ministers of Peru</t>
        </is>
      </c>
      <c r="G43" s="32" t="inlineStr">
        <is>
          <t>LatAm executive</t>
        </is>
      </c>
      <c r="H43" s="32" t="inlineStr">
        <is>
          <t>speech</t>
        </is>
      </c>
      <c r="I43" s="32" t="inlineStr">
        <is>
          <t>Dialogue with communities in Pumamarca, Apurímac; state of emergency over Las Bambas</t>
        </is>
      </c>
      <c r="J43" s="32" t="inlineStr">
        <is>
          <t>Torres told community members that the state of emergency in Challhuahuacho and Coyllurqui would be lifted only once they abandoned forceful actions against Las Bambas and engaged in peaceful dialogue.</t>
        </is>
      </c>
      <c r="K43" s="32" t="inlineStr">
        <is>
          <t>copper</t>
        </is>
      </c>
      <c r="L43" s="32" t="inlineStr">
        <is>
          <t>labor social conflict, indigenous community rights</t>
        </is>
      </c>
      <c r="M43" s="31" t="inlineStr">
        <is>
          <t>not mentioned</t>
        </is>
      </c>
      <c r="N43" s="31" t="inlineStr">
        <is>
          <t>not mentioned</t>
        </is>
      </c>
      <c r="O43" s="32" t="inlineStr">
        <is>
          <t>El estado de emergencia se levanta simultáneamente con el levantamiento de las actitudes de fuerza y restableciendo la paz social.</t>
        </is>
      </c>
      <c r="P43" s="32" t="inlineStr">
        <is>
          <t>The state of emergency is lifted simultaneously with the lifting of forceful actions and the restoration of social peace.</t>
        </is>
      </c>
      <c r="Q43" s="31" t="inlineStr">
        <is>
          <t>es</t>
        </is>
      </c>
      <c r="R43" s="33" t="inlineStr">
        <is>
          <t>Panamericana</t>
        </is>
      </c>
      <c r="S43" s="32" t="inlineStr">
        <is>
          <t>news media</t>
        </is>
      </c>
      <c r="T43" s="32" t="inlineStr">
        <is>
          <t>secondary reported</t>
        </is>
      </c>
      <c r="U43" s="32" t="inlineStr"/>
    </row>
    <row r="44" ht="45.75" customHeight="1" s="24">
      <c r="A44" s="31" t="inlineStr">
        <is>
          <t>PS-0043</t>
        </is>
      </c>
      <c r="B44" s="31" t="inlineStr">
        <is>
          <t>2022-06</t>
        </is>
      </c>
      <c r="C44" s="31" t="inlineStr">
        <is>
          <t>Chile</t>
        </is>
      </c>
      <c r="D44" s="31" t="inlineStr">
        <is>
          <t>Yes</t>
        </is>
      </c>
      <c r="E44" s="32" t="inlineStr">
        <is>
          <t>Marcela Hernando</t>
        </is>
      </c>
      <c r="F44" s="32" t="inlineStr">
        <is>
          <t>Minister of Mining</t>
        </is>
      </c>
      <c r="G44" s="32" t="inlineStr">
        <is>
          <t>LatAm executive</t>
        </is>
      </c>
      <c r="H44" s="32" t="inlineStr">
        <is>
          <t>official statement</t>
        </is>
      </c>
      <c r="I44" s="32" t="inlineStr">
        <is>
          <t>Government reaction to Supreme Court annulment of lithium tender</t>
        </is>
      </c>
      <c r="J44" s="32" t="inlineStr">
        <is>
          <t>Mining minister said the Boric government would abide by the ruling, that it had warned the tender was badly designed, and that lithium would be developed through public-private partnerships with community dialogue.</t>
        </is>
      </c>
      <c r="K44" s="32" t="inlineStr">
        <is>
          <t>lithium</t>
        </is>
      </c>
      <c r="L44" s="32" t="inlineStr">
        <is>
          <t>indigenous community rights, state control nationalization</t>
        </is>
      </c>
      <c r="M44" s="31" t="inlineStr">
        <is>
          <t>not mentioned</t>
        </is>
      </c>
      <c r="N44" s="31" t="inlineStr">
        <is>
          <t>not mentioned</t>
        </is>
      </c>
      <c r="O44" s="32" t="inlineStr">
        <is>
          <t>ya habíamos advertido que la licitación estaba mal hecha</t>
        </is>
      </c>
      <c r="P44" s="32" t="inlineStr">
        <is>
          <t>we had already warned that the tender was badly done</t>
        </is>
      </c>
      <c r="Q44" s="31" t="inlineStr">
        <is>
          <t>es</t>
        </is>
      </c>
      <c r="R44" s="33" t="inlineStr">
        <is>
          <t>CNN Chile</t>
        </is>
      </c>
      <c r="S44" s="32" t="inlineStr">
        <is>
          <t>news media</t>
        </is>
      </c>
      <c r="T44" s="32" t="inlineStr">
        <is>
          <t>secondary reported</t>
        </is>
      </c>
      <c r="U44" s="32" t="inlineStr">
        <is>
          <t>Exact day not stated in source; early June 2022</t>
        </is>
      </c>
    </row>
    <row r="45" ht="45.75" customHeight="1" s="24">
      <c r="A45" s="31" t="inlineStr">
        <is>
          <t>PS-0044</t>
        </is>
      </c>
      <c r="B45" s="31" t="inlineStr">
        <is>
          <t>2022-06-01</t>
        </is>
      </c>
      <c r="C45" s="31" t="inlineStr">
        <is>
          <t>Chile</t>
        </is>
      </c>
      <c r="D45" s="31" t="inlineStr">
        <is>
          <t>Yes</t>
        </is>
      </c>
      <c r="E45" s="32" t="inlineStr">
        <is>
          <t>Supreme Court of Chile (Third Chamber)</t>
        </is>
      </c>
      <c r="F45" s="32" t="inlineStr">
        <is>
          <t>Supreme Court</t>
        </is>
      </c>
      <c r="G45" s="32" t="inlineStr">
        <is>
          <t>LatAm judiciary</t>
        </is>
      </c>
      <c r="H45" s="32" t="inlineStr">
        <is>
          <t>court ruling</t>
        </is>
      </c>
      <c r="I45" s="32" t="inlineStr">
        <is>
          <t>Ruling on appeal by Colla communities against 2021 lithium tender</t>
        </is>
      </c>
      <c r="J45" s="32" t="inlineStr">
        <is>
          <t>The Supreme Court annulled the Piñera-era lithium tender awarding 80,000 t each to BYD and Servicios y Operaciones Mineras del Norte, finding no specific area was set, which prevented prior indigenous consultation.</t>
        </is>
      </c>
      <c r="K45" s="32" t="inlineStr">
        <is>
          <t>lithium</t>
        </is>
      </c>
      <c r="L45" s="32" t="inlineStr">
        <is>
          <t>indigenous community rights, corruption governance</t>
        </is>
      </c>
      <c r="M45" s="31" t="inlineStr">
        <is>
          <t>not mentioned</t>
        </is>
      </c>
      <c r="N45" s="31" t="inlineStr">
        <is>
          <t>not mentioned</t>
        </is>
      </c>
      <c r="O45" s="32" t="inlineStr">
        <is>
          <t>no se cumplió con el requisito de fijar un área específica</t>
        </is>
      </c>
      <c r="P45" s="32" t="inlineStr">
        <is>
          <t>the requirement to set a specific area was not met</t>
        </is>
      </c>
      <c r="Q45" s="31" t="inlineStr">
        <is>
          <t>es</t>
        </is>
      </c>
      <c r="R45" s="33" t="inlineStr">
        <is>
          <t>24 Horas (TVN)</t>
        </is>
      </c>
      <c r="S45" s="32" t="inlineStr">
        <is>
          <t>news media</t>
        </is>
      </c>
      <c r="T45" s="32" t="inlineStr">
        <is>
          <t>secondary reported</t>
        </is>
      </c>
      <c r="U45" s="32" t="inlineStr">
        <is>
          <t>Ruling reported 1 June 2022, article 2 June</t>
        </is>
      </c>
    </row>
    <row r="46" ht="45.75" customHeight="1" s="24">
      <c r="A46" s="31" t="inlineStr">
        <is>
          <t>PS-0045</t>
        </is>
      </c>
      <c r="B46" s="31" t="inlineStr">
        <is>
          <t>2022-06-03</t>
        </is>
      </c>
      <c r="C46" s="31" t="inlineStr">
        <is>
          <t>Peru</t>
        </is>
      </c>
      <c r="D46" s="31" t="inlineStr">
        <is>
          <t>Yes</t>
        </is>
      </c>
      <c r="E46" s="32" t="inlineStr">
        <is>
          <t>Margot Palacios</t>
        </is>
      </c>
      <c r="F46" s="32" t="inlineStr">
        <is>
          <t>Congresswoman (Perú Libre)</t>
        </is>
      </c>
      <c r="G46" s="32" t="inlineStr">
        <is>
          <t>LatAm legislature</t>
        </is>
      </c>
      <c r="H46" s="32" t="inlineStr">
        <is>
          <t>bill or law</t>
        </is>
      </c>
      <c r="I46" s="32" t="inlineStr">
        <is>
          <t>Bill PL 2259 to nationalize copper exploitation</t>
        </is>
      </c>
      <c r="J46" s="32" t="inlineStr">
        <is>
          <t>Palacios filed bill 2259 to create a National Copper Corporation with exclusive rights over copper exploration, extraction and initial processing, including a state company to operate the MMG-controlled Las Bambas mine.</t>
        </is>
      </c>
      <c r="K46" s="32" t="inlineStr">
        <is>
          <t>copper</t>
        </is>
      </c>
      <c r="L46" s="32" t="inlineStr">
        <is>
          <t>state control nationalization</t>
        </is>
      </c>
      <c r="M46" s="31" t="inlineStr">
        <is>
          <t>not mentioned</t>
        </is>
      </c>
      <c r="N46" s="31" t="inlineStr">
        <is>
          <t>not mentioned</t>
        </is>
      </c>
      <c r="O46" s="32" t="inlineStr">
        <is>
          <t>crear una empresa nacional para operar la mina cuprífera Las Bambas</t>
        </is>
      </c>
      <c r="P46" s="32" t="inlineStr">
        <is>
          <t>create a national company to operate the Las Bambas copper mine</t>
        </is>
      </c>
      <c r="Q46" s="31" t="inlineStr">
        <is>
          <t>es</t>
        </is>
      </c>
      <c r="R46" s="33" t="inlineStr">
        <is>
          <t>Forbes Perú</t>
        </is>
      </c>
      <c r="S46" s="32" t="inlineStr">
        <is>
          <t>news media</t>
        </is>
      </c>
      <c r="T46" s="32" t="inlineStr">
        <is>
          <t>secondary reported</t>
        </is>
      </c>
      <c r="U46" s="32" t="inlineStr">
        <is>
          <t>Quote may be Forbes' paraphrase of the bill's objective</t>
        </is>
      </c>
    </row>
    <row r="47" ht="45.75" customHeight="1" s="24">
      <c r="A47" s="31" t="inlineStr">
        <is>
          <t>PS-0046</t>
        </is>
      </c>
      <c r="B47" s="31" t="inlineStr">
        <is>
          <t>2022-07-14</t>
        </is>
      </c>
      <c r="C47" s="31" t="inlineStr">
        <is>
          <t>Regional</t>
        </is>
      </c>
      <c r="D47" s="31" t="inlineStr">
        <is>
          <t>No</t>
        </is>
      </c>
      <c r="E47" s="32" t="inlineStr">
        <is>
          <t>Laura Richardson</t>
        </is>
      </c>
      <c r="F47" s="32" t="inlineStr">
        <is>
          <t>Commander, U.S. Southern Command</t>
        </is>
      </c>
      <c r="G47" s="32" t="inlineStr">
        <is>
          <t>United States</t>
        </is>
      </c>
      <c r="H47" s="32" t="inlineStr">
        <is>
          <t>speech</t>
        </is>
      </c>
      <c r="I47" s="32" t="inlineStr">
        <is>
          <t>Concordia Americas Summit (Miami)</t>
        </is>
      </c>
      <c r="J47" s="32" t="inlineStr">
        <is>
          <t>Richardson described the region as rich in resources, rare earth minerals and lithium, noting the lithium triangle lies in the hemisphere.</t>
        </is>
      </c>
      <c r="K47" s="32" t="inlineStr">
        <is>
          <t>lithium, rare earths</t>
        </is>
      </c>
      <c r="L47" s="32" t="inlineStr">
        <is>
          <t>geopolitics security</t>
        </is>
      </c>
      <c r="M47" s="31" t="inlineStr">
        <is>
          <t>not mentioned</t>
        </is>
      </c>
      <c r="N47" s="31" t="inlineStr">
        <is>
          <t>positive</t>
        </is>
      </c>
      <c r="O47" s="32" t="inlineStr">
        <is>
          <t>This region is so rich in resources, rare earth minerals, lithium — the lithium triangle is in this region.</t>
        </is>
      </c>
      <c r="P47" s="32" t="inlineStr">
        <is>
          <t>This region is so rich in resources, rare earth minerals, lithium — the lithium triangle is in this region.</t>
        </is>
      </c>
      <c r="Q47" s="31" t="inlineStr">
        <is>
          <t>en</t>
        </is>
      </c>
      <c r="R47" s="33" t="inlineStr">
        <is>
          <t>Ludditus (blog compiling livestream quotes)</t>
        </is>
      </c>
      <c r="S47" s="32" t="inlineStr">
        <is>
          <t>think tank or ngo</t>
        </is>
      </c>
      <c r="T47" s="32" t="inlineStr">
        <is>
          <t>unverified</t>
        </is>
      </c>
      <c r="U47" s="32" t="inlineStr">
        <is>
          <t>Quote transcribed by a blog from Concordia livestream; not checked against video</t>
        </is>
      </c>
    </row>
    <row r="48" ht="45.75" customHeight="1" s="24">
      <c r="A48" s="31" t="inlineStr">
        <is>
          <t>PS-0047</t>
        </is>
      </c>
      <c r="B48" s="31" t="inlineStr">
        <is>
          <t>2022-09-01</t>
        </is>
      </c>
      <c r="C48" s="31" t="inlineStr">
        <is>
          <t>Mexico</t>
        </is>
      </c>
      <c r="D48" s="31" t="inlineStr">
        <is>
          <t>No</t>
        </is>
      </c>
      <c r="E48" s="32" t="inlineStr">
        <is>
          <t>Alfonso Durazo</t>
        </is>
      </c>
      <c r="F48" s="32" t="inlineStr">
        <is>
          <t>Governor of Sonora; coordinator of Litio para México</t>
        </is>
      </c>
      <c r="G48" s="32" t="inlineStr">
        <is>
          <t>LatAm executive</t>
        </is>
      </c>
      <c r="H48" s="32" t="inlineStr">
        <is>
          <t>interview</t>
        </is>
      </c>
      <c r="I48" s="32" t="inlineStr">
        <is>
          <t>Appointment as coordinator of LitioMx</t>
        </is>
      </c>
      <c r="J48" s="32" t="inlineStr">
        <is>
          <t>Durazo said that if lithium exploitation becomes a profitable business its benefits must be shared with local people, and that the Sonora government would hold a stake in LitioMx.</t>
        </is>
      </c>
      <c r="K48" s="32" t="inlineStr">
        <is>
          <t>lithium</t>
        </is>
      </c>
      <c r="L48" s="32" t="inlineStr">
        <is>
          <t>state control nationalization, labor social conflict, value added industrialization</t>
        </is>
      </c>
      <c r="M48" s="31" t="inlineStr">
        <is>
          <t>not mentioned</t>
        </is>
      </c>
      <c r="N48" s="31" t="inlineStr">
        <is>
          <t>not mentioned</t>
        </is>
      </c>
      <c r="O48" s="32" t="inlineStr">
        <is>
          <t>esos beneficios tienen que ser compartidos con la gente local, si no, para mí francamente no tendría ningún sentido</t>
        </is>
      </c>
      <c r="P48" s="32" t="inlineStr">
        <is>
          <t>those benefits have to be shared with local people; otherwise, frankly, it would make no sense to me</t>
        </is>
      </c>
      <c r="Q48" s="31" t="inlineStr">
        <is>
          <t>es</t>
        </is>
      </c>
      <c r="R48" s="33" t="inlineStr">
        <is>
          <t>Expansión Política</t>
        </is>
      </c>
      <c r="S48" s="32" t="inlineStr">
        <is>
          <t>news media</t>
        </is>
      </c>
      <c r="T48" s="32" t="inlineStr">
        <is>
          <t>secondary reported</t>
        </is>
      </c>
      <c r="U48" s="32" t="inlineStr"/>
    </row>
    <row r="49" ht="45.75" customHeight="1" s="24">
      <c r="A49" s="31" t="inlineStr">
        <is>
          <t>PS-0048</t>
        </is>
      </c>
      <c r="B49" s="31" t="inlineStr">
        <is>
          <t>2022-09-02</t>
        </is>
      </c>
      <c r="C49" s="31" t="inlineStr">
        <is>
          <t>Colombia</t>
        </is>
      </c>
      <c r="D49" s="31" t="inlineStr">
        <is>
          <t>Yes</t>
        </is>
      </c>
      <c r="E49" s="32" t="inlineStr">
        <is>
          <t>Gustavo Petro</t>
        </is>
      </c>
      <c r="F49" s="32" t="inlineStr">
        <is>
          <t>President of Colombia</t>
        </is>
      </c>
      <c r="G49" s="32" t="inlineStr">
        <is>
          <t>LatAm executive</t>
        </is>
      </c>
      <c r="H49" s="32" t="inlineStr">
        <is>
          <t>speech</t>
        </is>
      </c>
      <c r="I49" s="32" t="inlineStr">
        <is>
          <t>Closing of national mining congress, Cartagena</t>
        </is>
      </c>
      <c r="J49" s="32" t="inlineStr">
        <is>
          <t>Petro told the mining industry that exploration should shift toward minerals for clean energy and fertilizers, and defended taxing coal and oil export windfall profits as world demand for hydrocarbons declines.</t>
        </is>
      </c>
      <c r="K49" s="32" t="inlineStr">
        <is>
          <t>critical minerals general, mining general</t>
        </is>
      </c>
      <c r="L49" s="32" t="inlineStr">
        <is>
          <t>energy transition, royalties taxation</t>
        </is>
      </c>
      <c r="M49" s="31" t="inlineStr">
        <is>
          <t>not mentioned</t>
        </is>
      </c>
      <c r="N49" s="31" t="inlineStr">
        <is>
          <t>not mentioned</t>
        </is>
      </c>
      <c r="O49" s="32" t="inlineStr">
        <is>
          <t>En las áreas en donde se puede explorar busquemos los minerales para las energías limpias. Busquemos los minerales para fertilizar las tierras</t>
        </is>
      </c>
      <c r="P49" s="32" t="inlineStr">
        <is>
          <t>In the areas where exploration is possible, let us look for minerals for clean energy. Let us look for minerals to fertilize the land</t>
        </is>
      </c>
      <c r="Q49" s="31" t="inlineStr">
        <is>
          <t>es</t>
        </is>
      </c>
      <c r="R49" s="33" t="inlineStr">
        <is>
          <t>Forbes Perú (EFE)</t>
        </is>
      </c>
      <c r="S49" s="32" t="inlineStr">
        <is>
          <t>news media</t>
        </is>
      </c>
      <c r="T49" s="32" t="inlineStr">
        <is>
          <t>secondary reported</t>
        </is>
      </c>
      <c r="U49" s="32" t="inlineStr">
        <is>
          <t>Also reported by Mining Weekly 2022-09-04.</t>
        </is>
      </c>
    </row>
    <row r="50" ht="45.75" customHeight="1" s="24">
      <c r="A50" s="31" t="inlineStr">
        <is>
          <t>PS-0049</t>
        </is>
      </c>
      <c r="B50" s="31" t="inlineStr">
        <is>
          <t>2022-09-14</t>
        </is>
      </c>
      <c r="C50" s="31" t="inlineStr">
        <is>
          <t>Ecuador</t>
        </is>
      </c>
      <c r="D50" s="31" t="inlineStr">
        <is>
          <t>Yes</t>
        </is>
      </c>
      <c r="E50" s="32" t="inlineStr">
        <is>
          <t>Embassy of the People's Republic of China in Ecuador</t>
        </is>
      </c>
      <c r="F50" s="32" t="inlineStr">
        <is>
          <t>Embassy spokesperson</t>
        </is>
      </c>
      <c r="G50" s="32" t="inlineStr">
        <is>
          <t>China</t>
        </is>
      </c>
      <c r="H50" s="32" t="inlineStr">
        <is>
          <t>official statement</t>
        </is>
      </c>
      <c r="I50" s="32" t="inlineStr">
        <is>
          <t>Rebuttal of SOUTHCOM Commander Laura Richardson's remarks at the South American Defense Conference (Southdec)</t>
        </is>
      </c>
      <c r="J50" s="32" t="inlineStr">
        <is>
          <t>The Chinese embassy in Ecuador called Gen. Laura Richardson's claim that large Chinese mining projects were eroding Ecuadorian water sources 'ridiculous', saying Chinese firms follow strict environmental standards and contribute to local development. It accused the US of double standards and of seeking to sow discord between China and Ecuador.</t>
        </is>
      </c>
      <c r="K50" s="32" t="inlineStr">
        <is>
          <t>mining general</t>
        </is>
      </c>
      <c r="L50" s="32" t="inlineStr">
        <is>
          <t>environment water, geopolitics security, foreign investment, diplomatic relations</t>
        </is>
      </c>
      <c r="M50" s="31" t="inlineStr">
        <is>
          <t>positive</t>
        </is>
      </c>
      <c r="N50" s="31" t="inlineStr">
        <is>
          <t>negative</t>
        </is>
      </c>
      <c r="O50" s="32" t="inlineStr">
        <is>
          <t>sus difamaciones no muestran el mínimo respeto a Ecuador</t>
        </is>
      </c>
      <c r="P50" s="32" t="inlineStr">
        <is>
          <t>her defamations show not the slightest respect for Ecuador</t>
        </is>
      </c>
      <c r="Q50" s="31" t="inlineStr">
        <is>
          <t>es</t>
        </is>
      </c>
      <c r="R50" s="33" t="inlineStr">
        <is>
          <t>Vistazo</t>
        </is>
      </c>
      <c r="S50" s="32" t="inlineStr">
        <is>
          <t>news media</t>
        </is>
      </c>
      <c r="T50" s="32" t="inlineStr">
        <is>
          <t>secondary reported</t>
        </is>
      </c>
      <c r="U50" s="32" t="inlineStr">
        <is>
          <t>Date per Vistazo report (Wednesday 14 Sep 2022); embassy statement itself not seen.</t>
        </is>
      </c>
    </row>
    <row r="51" ht="45.75" customHeight="1" s="24">
      <c r="A51" s="31" t="inlineStr">
        <is>
          <t>PS-0050</t>
        </is>
      </c>
      <c r="B51" s="31" t="inlineStr">
        <is>
          <t>2022-09-20</t>
        </is>
      </c>
      <c r="C51" s="31" t="inlineStr">
        <is>
          <t>Bolivia</t>
        </is>
      </c>
      <c r="D51" s="31" t="inlineStr">
        <is>
          <t>Yes</t>
        </is>
      </c>
      <c r="E51" s="32" t="inlineStr">
        <is>
          <t>Luis Arce</t>
        </is>
      </c>
      <c r="F51" s="32" t="inlineStr">
        <is>
          <t>President of Bolivia</t>
        </is>
      </c>
      <c r="G51" s="32" t="inlineStr">
        <is>
          <t>LatAm executive</t>
        </is>
      </c>
      <c r="H51" s="32" t="inlineStr">
        <is>
          <t>speech</t>
        </is>
      </c>
      <c r="I51" s="32" t="inlineStr">
        <is>
          <t>77th UN General Assembly, New York</t>
        </is>
      </c>
      <c r="J51" s="32" t="inlineStr">
        <is>
          <t>At the UN General Assembly, Arce reaffirmed sovereignty over natural resources such as lithium and rejected interference and destabilization attempts aimed at controlling lithium, urging UN action against countries that do not respect non-interference.</t>
        </is>
      </c>
      <c r="K51" s="32" t="inlineStr">
        <is>
          <t>lithium</t>
        </is>
      </c>
      <c r="L51" s="32" t="inlineStr">
        <is>
          <t>sovereignty, geopolitics security, value added industrialization</t>
        </is>
      </c>
      <c r="M51" s="31" t="inlineStr">
        <is>
          <t>not mentioned</t>
        </is>
      </c>
      <c r="N51" s="31" t="inlineStr">
        <is>
          <t>not mentioned</t>
        </is>
      </c>
      <c r="O51" s="32" t="inlineStr">
        <is>
          <t>Rechazamos todo tipo de injerencias y afanes de desestabilización de las democracia en nuestro país, con el afán de controlar el litio</t>
        </is>
      </c>
      <c r="P51" s="32" t="inlineStr">
        <is>
          <t>We reject all kinds of interference and attempts to destabilize democracy in our country with the aim of controlling lithium</t>
        </is>
      </c>
      <c r="Q51" s="31" t="inlineStr">
        <is>
          <t>es</t>
        </is>
      </c>
      <c r="R51" s="33" t="inlineStr">
        <is>
          <t>Emol</t>
        </is>
      </c>
      <c r="S51" s="32" t="inlineStr">
        <is>
          <t>news media</t>
        </is>
      </c>
      <c r="T51" s="32" t="inlineStr">
        <is>
          <t>secondary reported</t>
        </is>
      </c>
      <c r="U51" s="32" t="inlineStr"/>
    </row>
    <row r="52" ht="45.75" customHeight="1" s="24">
      <c r="A52" s="31" t="inlineStr">
        <is>
          <t>PS-0051</t>
        </is>
      </c>
      <c r="B52" s="31" t="inlineStr">
        <is>
          <t>2022-09-21</t>
        </is>
      </c>
      <c r="C52" s="31" t="inlineStr">
        <is>
          <t>Argentina</t>
        </is>
      </c>
      <c r="D52" s="31" t="inlineStr">
        <is>
          <t>Yes</t>
        </is>
      </c>
      <c r="E52" s="32" t="inlineStr">
        <is>
          <t>Sabino Vaca Narvaja</t>
        </is>
      </c>
      <c r="F52" s="32" t="inlineStr">
        <is>
          <t>Argentine Ambassador to China</t>
        </is>
      </c>
      <c r="G52" s="32" t="inlineStr">
        <is>
          <t>LatAm executive</t>
        </is>
      </c>
      <c r="H52" s="32" t="inlineStr">
        <is>
          <t>speech</t>
        </is>
      </c>
      <c r="I52" s="32" t="inlineStr">
        <is>
          <t>China Mining fair opening, Tianjin</t>
        </is>
      </c>
      <c r="J52" s="32" t="inlineStr">
        <is>
          <t>Vaca Narvaja, the only foreign speaker at the ceremony, promoted Argentina as a land of mining opportunity with clear rules and said China will play a key role in Argentine mining development.</t>
        </is>
      </c>
      <c r="K52" s="32" t="inlineStr">
        <is>
          <t>mining general, lithium</t>
        </is>
      </c>
      <c r="L52" s="32" t="inlineStr">
        <is>
          <t>foreign investment, diplomatic relations</t>
        </is>
      </c>
      <c r="M52" s="31" t="inlineStr">
        <is>
          <t>positive</t>
        </is>
      </c>
      <c r="N52" s="31" t="inlineStr">
        <is>
          <t>not mentioned</t>
        </is>
      </c>
      <c r="O52" s="32" t="inlineStr">
        <is>
          <t>China jugará un papel clave en el desarrollo minero argentino</t>
        </is>
      </c>
      <c r="P52" s="32" t="inlineStr">
        <is>
          <t>China will play a key role in Argentine mining development</t>
        </is>
      </c>
      <c r="Q52" s="31" t="inlineStr">
        <is>
          <t>es</t>
        </is>
      </c>
      <c r="R52" s="33" t="inlineStr">
        <is>
          <t>Tiempo Argentino</t>
        </is>
      </c>
      <c r="S52" s="32" t="inlineStr">
        <is>
          <t>news media</t>
        </is>
      </c>
      <c r="T52" s="32" t="inlineStr">
        <is>
          <t>secondary reported</t>
        </is>
      </c>
      <c r="U52" s="32" t="inlineStr"/>
    </row>
    <row r="53" ht="45.75" customHeight="1" s="24">
      <c r="A53" s="31" t="inlineStr">
        <is>
          <t>PS-0052</t>
        </is>
      </c>
      <c r="B53" s="31" t="inlineStr">
        <is>
          <t>2022-09-22</t>
        </is>
      </c>
      <c r="C53" s="31" t="inlineStr">
        <is>
          <t>Argentina</t>
        </is>
      </c>
      <c r="D53" s="31" t="inlineStr">
        <is>
          <t>Yes</t>
        </is>
      </c>
      <c r="E53" s="32" t="inlineStr">
        <is>
          <t>Alberto Fernández</t>
        </is>
      </c>
      <c r="F53" s="32" t="inlineStr">
        <is>
          <t>President of Argentina</t>
        </is>
      </c>
      <c r="G53" s="32" t="inlineStr">
        <is>
          <t>LatAm executive</t>
        </is>
      </c>
      <c r="H53" s="32" t="inlineStr">
        <is>
          <t>speech</t>
        </is>
      </c>
      <c r="I53" s="32" t="inlineStr">
        <is>
          <t>Talk at The New School, New York</t>
        </is>
      </c>
      <c r="J53" s="32" t="inlineStr">
        <is>
          <t>Fernández said lithium should be considered a strategic resource while respecting that it belongs to the provinces under Argentina's federal system, contrasting Chile's and Bolivia's models.</t>
        </is>
      </c>
      <c r="K53" s="32" t="inlineStr">
        <is>
          <t>lithium</t>
        </is>
      </c>
      <c r="L53" s="32" t="inlineStr">
        <is>
          <t>state control nationalization, sovereignty</t>
        </is>
      </c>
      <c r="M53" s="31" t="inlineStr">
        <is>
          <t>not mentioned</t>
        </is>
      </c>
      <c r="N53" s="31" t="inlineStr">
        <is>
          <t>not mentioned</t>
        </is>
      </c>
      <c r="O53" s="32" t="inlineStr">
        <is>
          <t>Debemos considerar el litio como un recurso estratégico</t>
        </is>
      </c>
      <c r="P53" s="32" t="inlineStr">
        <is>
          <t>We must consider lithium a strategic resource</t>
        </is>
      </c>
      <c r="Q53" s="31" t="inlineStr">
        <is>
          <t>es</t>
        </is>
      </c>
      <c r="R53" s="33" t="inlineStr">
        <is>
          <t>Reporte Minero</t>
        </is>
      </c>
      <c r="S53" s="32" t="inlineStr">
        <is>
          <t>news media</t>
        </is>
      </c>
      <c r="T53" s="32" t="inlineStr">
        <is>
          <t>secondary reported</t>
        </is>
      </c>
      <c r="U53" s="32" t="inlineStr"/>
    </row>
    <row r="54" ht="45.75" customHeight="1" s="24">
      <c r="A54" s="31" t="inlineStr">
        <is>
          <t>PS-0053</t>
        </is>
      </c>
      <c r="B54" s="31" t="inlineStr">
        <is>
          <t>2022-09-23</t>
        </is>
      </c>
      <c r="C54" s="31" t="inlineStr">
        <is>
          <t>Bolivia</t>
        </is>
      </c>
      <c r="D54" s="31" t="inlineStr">
        <is>
          <t>Yes</t>
        </is>
      </c>
      <c r="E54" s="32" t="inlineStr">
        <is>
          <t>Evo Morales</t>
        </is>
      </c>
      <c r="F54" s="32" t="inlineStr">
        <is>
          <t>Former President of Bolivia; MAS leader</t>
        </is>
      </c>
      <c r="G54" s="32" t="inlineStr">
        <is>
          <t>Other (business, civil society, third countries)</t>
        </is>
      </c>
      <c r="H54" s="32" t="inlineStr">
        <is>
          <t>social media post</t>
        </is>
      </c>
      <c r="I54" s="32" t="inlineStr">
        <is>
          <t>Claims about UK role in 2019 crisis</t>
        </is>
      </c>
      <c r="J54" s="32" t="inlineStr">
        <is>
          <t>Morales tweeted that evidence showed the 2019 'coup' was financed by the United Kingdom and its ambassador Jeff Glekin to take control of Bolivian lithium.</t>
        </is>
      </c>
      <c r="K54" s="32" t="inlineStr">
        <is>
          <t>lithium</t>
        </is>
      </c>
      <c r="L54" s="32" t="inlineStr">
        <is>
          <t>sovereignty, geopolitics security, diplomatic relations</t>
        </is>
      </c>
      <c r="M54" s="31" t="inlineStr">
        <is>
          <t>not mentioned</t>
        </is>
      </c>
      <c r="N54" s="31" t="inlineStr">
        <is>
          <t>not mentioned</t>
        </is>
      </c>
      <c r="O54" s="32" t="inlineStr">
        <is>
          <t>Ante la evidencia de que el golpe de Estado fue financiado por el Reino Unido y su embajador @jeffglekin para adueñarse del litio boliviano</t>
        </is>
      </c>
      <c r="P54" s="32" t="inlineStr">
        <is>
          <t>Given the evidence that the coup d'état was financed by the United Kingdom and its ambassador @jeffglekin to take over Bolivian lithium</t>
        </is>
      </c>
      <c r="Q54" s="31" t="inlineStr">
        <is>
          <t>es</t>
        </is>
      </c>
      <c r="R54" s="33" t="inlineStr">
        <is>
          <t>Correo del Sur</t>
        </is>
      </c>
      <c r="S54" s="32" t="inlineStr">
        <is>
          <t>news media</t>
        </is>
      </c>
      <c r="T54" s="32" t="inlineStr">
        <is>
          <t>secondary reported</t>
        </is>
      </c>
      <c r="U54" s="32" t="inlineStr"/>
    </row>
    <row r="55" ht="45.75" customHeight="1" s="24">
      <c r="A55" s="31" t="inlineStr">
        <is>
          <t>PS-0054</t>
        </is>
      </c>
      <c r="B55" s="31" t="inlineStr">
        <is>
          <t>2022-09-30</t>
        </is>
      </c>
      <c r="C55" s="31" t="inlineStr">
        <is>
          <t>Argentina</t>
        </is>
      </c>
      <c r="D55" s="31" t="inlineStr">
        <is>
          <t>Yes</t>
        </is>
      </c>
      <c r="E55" s="32" t="inlineStr">
        <is>
          <t>Gerardo Morales</t>
        </is>
      </c>
      <c r="F55" s="32" t="inlineStr">
        <is>
          <t>Governor of Jujuy</t>
        </is>
      </c>
      <c r="G55" s="32" t="inlineStr">
        <is>
          <t>LatAm executive</t>
        </is>
      </c>
      <c r="H55" s="32" t="inlineStr">
        <is>
          <t>speech</t>
        </is>
      </c>
      <c r="I55" s="32" t="inlineStr">
        <is>
          <t>Presentation to US State Department and Department of Energy with governors Sáenz and Jalil</t>
        </is>
      </c>
      <c r="J55" s="32" t="inlineStr">
        <is>
          <t>Morales told US officials it is very important to deepen ties with the US and hoped more US companies would invest in the lithium provinces, calling lithium a strategic and critical mineral for the energy transition.</t>
        </is>
      </c>
      <c r="K55" s="32" t="inlineStr">
        <is>
          <t>lithium</t>
        </is>
      </c>
      <c r="L55" s="32" t="inlineStr">
        <is>
          <t>foreign investment, energy transition, diplomatic relations</t>
        </is>
      </c>
      <c r="M55" s="31" t="inlineStr">
        <is>
          <t>not mentioned</t>
        </is>
      </c>
      <c r="N55" s="31" t="inlineStr">
        <is>
          <t>positive</t>
        </is>
      </c>
      <c r="O55" s="32" t="inlineStr">
        <is>
          <t>Para nosotros es sumamente importante profundizar la relación bilateral con Estados Unidos y esperar así que más empresas norteamericanas inviertan en nuestras provincias</t>
        </is>
      </c>
      <c r="P55" s="32" t="inlineStr">
        <is>
          <t>For us it is extremely important to deepen the bilateral relationship with the United States and thus hope more American companies invest in our provinces</t>
        </is>
      </c>
      <c r="Q55" s="31" t="inlineStr">
        <is>
          <t>es</t>
        </is>
      </c>
      <c r="R55" s="33" t="inlineStr">
        <is>
          <t>TodoJujuy</t>
        </is>
      </c>
      <c r="S55" s="32" t="inlineStr">
        <is>
          <t>news media</t>
        </is>
      </c>
      <c r="T55" s="32" t="inlineStr">
        <is>
          <t>secondary reported</t>
        </is>
      </c>
      <c r="U55" s="32" t="inlineStr"/>
    </row>
    <row r="56" ht="45.75" customHeight="1" s="24">
      <c r="A56" s="31" t="inlineStr">
        <is>
          <t>PS-0055</t>
        </is>
      </c>
      <c r="B56" s="31" t="inlineStr">
        <is>
          <t>2022-10-24</t>
        </is>
      </c>
      <c r="C56" s="31" t="inlineStr">
        <is>
          <t>Peru</t>
        </is>
      </c>
      <c r="D56" s="31" t="inlineStr">
        <is>
          <t>Yes</t>
        </is>
      </c>
      <c r="E56" s="32" t="inlineStr">
        <is>
          <t>Song Yang</t>
        </is>
      </c>
      <c r="F56" s="32" t="inlineStr">
        <is>
          <t>Chinese Ambassador to Peru</t>
        </is>
      </c>
      <c r="G56" s="32" t="inlineStr">
        <is>
          <t>China</t>
        </is>
      </c>
      <c r="H56" s="32" t="inlineStr">
        <is>
          <t>interview</t>
        </is>
      </c>
      <c r="I56" s="32" t="inlineStr">
        <is>
          <t>Interview with El Peruano on bilateral relations</t>
        </is>
      </c>
      <c r="J56" s="32" t="inlineStr">
        <is>
          <t>Song Yang said more than 10 Chinese mining companies had invested over US$23.1 billion in Peru, paying taxes and creating jobs, and presented Chancay port as a future integrated maritime hub for Latin America.</t>
        </is>
      </c>
      <c r="K56" s="32" t="inlineStr">
        <is>
          <t>mining general, copper</t>
        </is>
      </c>
      <c r="L56" s="32" t="inlineStr">
        <is>
          <t>foreign investment, infrastructure ports, diplomatic relations</t>
        </is>
      </c>
      <c r="M56" s="31" t="inlineStr">
        <is>
          <t>positive</t>
        </is>
      </c>
      <c r="N56" s="31" t="inlineStr">
        <is>
          <t>not mentioned</t>
        </is>
      </c>
      <c r="O56" s="32" t="inlineStr">
        <is>
          <t>Más de 10 empresas mineras chinas han invertido en el Perú, con una inversión total de más de 23.1 mil millones de dólares.</t>
        </is>
      </c>
      <c r="P56" s="32" t="inlineStr">
        <is>
          <t>More than 10 Chinese mining companies have invested in Peru, with total investment of over 23.1 billion dollars.</t>
        </is>
      </c>
      <c r="Q56" s="31" t="inlineStr">
        <is>
          <t>es</t>
        </is>
      </c>
      <c r="R56" s="33" t="inlineStr">
        <is>
          <t>El Peruano</t>
        </is>
      </c>
      <c r="S56" s="32" t="inlineStr">
        <is>
          <t>primary official</t>
        </is>
      </c>
      <c r="T56" s="32" t="inlineStr">
        <is>
          <t>primary verified</t>
        </is>
      </c>
      <c r="U56" s="32" t="inlineStr">
        <is>
          <t>El Peruano is the state gazette/newspaper</t>
        </is>
      </c>
    </row>
    <row r="57" ht="45.75" customHeight="1" s="24">
      <c r="A57" s="31" t="inlineStr">
        <is>
          <t>PS-0056</t>
        </is>
      </c>
      <c r="B57" s="31" t="inlineStr">
        <is>
          <t>2022-11-04</t>
        </is>
      </c>
      <c r="C57" s="31" t="inlineStr">
        <is>
          <t>Argentina</t>
        </is>
      </c>
      <c r="D57" s="31" t="inlineStr">
        <is>
          <t>Yes</t>
        </is>
      </c>
      <c r="E57" s="32" t="inlineStr">
        <is>
          <t>Sabino Vaca Narvaja</t>
        </is>
      </c>
      <c r="F57" s="32" t="inlineStr">
        <is>
          <t>Argentine Ambassador to China</t>
        </is>
      </c>
      <c r="G57" s="32" t="inlineStr">
        <is>
          <t>LatAm executive</t>
        </is>
      </c>
      <c r="H57" s="32" t="inlineStr">
        <is>
          <t>speech</t>
        </is>
      </c>
      <c r="I57" s="32" t="inlineStr">
        <is>
          <t>China International Import Expo, Shanghai; Tibet Summit lithium announcement</t>
        </is>
      </c>
      <c r="J57" s="32" t="inlineStr">
        <is>
          <t>At the CIIE, where Tibet Summit announced over US$2bn of lithium investment in Salta, Vaca Narvaja said China dominates the entire lithium chain and Argentina should exploit its privileged position hand in hand with China.</t>
        </is>
      </c>
      <c r="K57" s="32" t="inlineStr">
        <is>
          <t>lithium</t>
        </is>
      </c>
      <c r="L57" s="32" t="inlineStr">
        <is>
          <t>foreign investment, value added industrialization</t>
        </is>
      </c>
      <c r="M57" s="31" t="inlineStr">
        <is>
          <t>positive</t>
        </is>
      </c>
      <c r="N57" s="31" t="inlineStr">
        <is>
          <t>not mentioned</t>
        </is>
      </c>
      <c r="O57" s="32" t="inlineStr">
        <is>
          <t>Nuestro país tiene una posición privilegiada y debemos, explotarla al máximo de la mano de China</t>
        </is>
      </c>
      <c r="P57" s="32" t="inlineStr">
        <is>
          <t>Our country has a privileged position and we must exploit it to the fullest hand in hand with China</t>
        </is>
      </c>
      <c r="Q57" s="31" t="inlineStr">
        <is>
          <t>es</t>
        </is>
      </c>
      <c r="R57" s="33" t="inlineStr">
        <is>
          <t>La Voz de San Justo</t>
        </is>
      </c>
      <c r="S57" s="32" t="inlineStr">
        <is>
          <t>news media</t>
        </is>
      </c>
      <c r="T57" s="32" t="inlineStr">
        <is>
          <t>secondary reported</t>
        </is>
      </c>
      <c r="U57" s="32" t="inlineStr">
        <is>
          <t>Also reported by Cancillería (fetch timed out).</t>
        </is>
      </c>
    </row>
    <row r="58" ht="45.75" customHeight="1" s="24">
      <c r="A58" s="31" t="inlineStr">
        <is>
          <t>PS-0057</t>
        </is>
      </c>
      <c r="B58" s="31" t="inlineStr">
        <is>
          <t>2022-12-16</t>
        </is>
      </c>
      <c r="C58" s="31" t="inlineStr">
        <is>
          <t>Panama</t>
        </is>
      </c>
      <c r="D58" s="31" t="inlineStr">
        <is>
          <t>No</t>
        </is>
      </c>
      <c r="E58" s="32" t="inlineStr">
        <is>
          <t>Government of Panama</t>
        </is>
      </c>
      <c r="F58" s="32" t="inlineStr">
        <is>
          <t>Executive (Cortizo administration)</t>
        </is>
      </c>
      <c r="G58" s="32" t="inlineStr">
        <is>
          <t>LatAm executive</t>
        </is>
      </c>
      <c r="H58" s="32" t="inlineStr">
        <is>
          <t>official statement</t>
        </is>
      </c>
      <c r="I58" s="32" t="inlineStr">
        <is>
          <t>Breakdown of Cobre Panamá contract negotiations</t>
        </is>
      </c>
      <c r="J58" s="32" t="inlineStr">
        <is>
          <t>Panama's government halted talks with First Quantum and announced it would order suspension of Cobre Panamá operations, seeking a new contract with at least USD 375 million a year in taxes and royalties.</t>
        </is>
      </c>
      <c r="K58" s="32" t="inlineStr">
        <is>
          <t>copper</t>
        </is>
      </c>
      <c r="L58" s="32" t="inlineStr">
        <is>
          <t>royalties taxation, foreign investment, sovereignty</t>
        </is>
      </c>
      <c r="M58" s="31" t="inlineStr">
        <is>
          <t>not mentioned</t>
        </is>
      </c>
      <c r="N58" s="31" t="inlineStr">
        <is>
          <t>not mentioned</t>
        </is>
      </c>
      <c r="O58" s="32" t="inlineStr"/>
      <c r="P58" s="32" t="inlineStr"/>
      <c r="Q58" s="31" t="inlineStr">
        <is>
          <t>en</t>
        </is>
      </c>
      <c r="R58" s="33" t="inlineStr">
        <is>
          <t>First Quantum Minerals (company release)</t>
        </is>
      </c>
      <c r="S58" s="32" t="inlineStr">
        <is>
          <t>news media</t>
        </is>
      </c>
      <c r="T58" s="32" t="inlineStr">
        <is>
          <t>secondary reported</t>
        </is>
      </c>
      <c r="U58" s="32" t="inlineStr">
        <is>
          <t>Government position as described by the company; source is corporate.</t>
        </is>
      </c>
    </row>
    <row r="59" ht="45.75" customHeight="1" s="24">
      <c r="A59" s="31" t="inlineStr">
        <is>
          <t>PS-0058</t>
        </is>
      </c>
      <c r="B59" s="31" t="inlineStr">
        <is>
          <t>2023-01-16</t>
        </is>
      </c>
      <c r="C59" s="31" t="inlineStr">
        <is>
          <t>Colombia</t>
        </is>
      </c>
      <c r="D59" s="31" t="inlineStr">
        <is>
          <t>Yes</t>
        </is>
      </c>
      <c r="E59" s="32" t="inlineStr">
        <is>
          <t>Gustavo Petro</t>
        </is>
      </c>
      <c r="F59" s="32" t="inlineStr">
        <is>
          <t>President of Colombia</t>
        </is>
      </c>
      <c r="G59" s="32" t="inlineStr">
        <is>
          <t>LatAm executive</t>
        </is>
      </c>
      <c r="H59" s="32" t="inlineStr">
        <is>
          <t>speech</t>
        </is>
      </c>
      <c r="I59" s="32" t="inlineStr">
        <is>
          <t>Public event in Jericó, Antioquia</t>
        </is>
      </c>
      <c r="J59" s="32" t="inlineStr">
        <is>
          <t>Petro announced a ban on mining in Jericó, where AngloGold Ashanti's Quebradona copper project awaits licensing, said all mining titles would be reviewed against water protection, and announced a reform of the Mining Code.</t>
        </is>
      </c>
      <c r="K59" s="32" t="inlineStr">
        <is>
          <t>copper</t>
        </is>
      </c>
      <c r="L59" s="32" t="inlineStr">
        <is>
          <t>environment water, labor social conflict</t>
        </is>
      </c>
      <c r="M59" s="31" t="inlineStr">
        <is>
          <t>not mentioned</t>
        </is>
      </c>
      <c r="N59" s="31" t="inlineStr">
        <is>
          <t>not mentioned</t>
        </is>
      </c>
      <c r="O59" s="32" t="inlineStr">
        <is>
          <t>Entonces, nosotros escogemos el agua</t>
        </is>
      </c>
      <c r="P59" s="32" t="inlineStr">
        <is>
          <t>So we choose water</t>
        </is>
      </c>
      <c r="Q59" s="31" t="inlineStr">
        <is>
          <t>es</t>
        </is>
      </c>
      <c r="R59" s="33" t="inlineStr">
        <is>
          <t>Valora Analitik</t>
        </is>
      </c>
      <c r="S59" s="32" t="inlineStr">
        <is>
          <t>news media</t>
        </is>
      </c>
      <c r="T59" s="32" t="inlineStr">
        <is>
          <t>secondary reported</t>
        </is>
      </c>
      <c r="U59" s="32" t="inlineStr"/>
    </row>
    <row r="60" ht="45.75" customHeight="1" s="24">
      <c r="A60" s="31" t="inlineStr">
        <is>
          <t>PS-0059</t>
        </is>
      </c>
      <c r="B60" s="31" t="inlineStr">
        <is>
          <t>2023-01-19</t>
        </is>
      </c>
      <c r="C60" s="31" t="inlineStr">
        <is>
          <t>Regional</t>
        </is>
      </c>
      <c r="D60" s="31" t="inlineStr">
        <is>
          <t>No</t>
        </is>
      </c>
      <c r="E60" s="32" t="inlineStr">
        <is>
          <t>Laura Richardson</t>
        </is>
      </c>
      <c r="F60" s="32" t="inlineStr">
        <is>
          <t>Commander, U.S. Southern Command</t>
        </is>
      </c>
      <c r="G60" s="32" t="inlineStr">
        <is>
          <t>United States</t>
        </is>
      </c>
      <c r="H60" s="32" t="inlineStr">
        <is>
          <t>interview</t>
        </is>
      </c>
      <c r="I60" s="32" t="inlineStr">
        <is>
          <t>Atlantic Council video conversation</t>
        </is>
      </c>
      <c r="J60" s="32" t="inlineStr">
        <is>
          <t>SOUTHCOM commander said Latin America matters to US security because of its resources, citing the 'lithium triangle' of Argentina, Bolivia and Chile with about 60% of world lithium, plus rare earth elements, oil and fresh water, and said the US must step up its game against adversaries.</t>
        </is>
      </c>
      <c r="K60" s="32" t="inlineStr">
        <is>
          <t>lithium, rare earths, copper</t>
        </is>
      </c>
      <c r="L60" s="32" t="inlineStr">
        <is>
          <t>geopolitics security</t>
        </is>
      </c>
      <c r="M60" s="31" t="inlineStr">
        <is>
          <t>negative</t>
        </is>
      </c>
      <c r="N60" s="31" t="inlineStr">
        <is>
          <t>positive</t>
        </is>
      </c>
      <c r="O60" s="32" t="inlineStr">
        <is>
          <t>Why this region matters with all its rich resource and rare earth elements, you've got the lithium triangle which is needed for technology today.</t>
        </is>
      </c>
      <c r="P60" s="32" t="inlineStr">
        <is>
          <t>Why this region matters with all its rich resource and rare earth elements, you've got the lithium triangle which is needed for technology today.</t>
        </is>
      </c>
      <c r="Q60" s="31" t="inlineStr">
        <is>
          <t>en</t>
        </is>
      </c>
      <c r="R60" s="33" t="inlineStr">
        <is>
          <t>Buenos Aires Herald</t>
        </is>
      </c>
      <c r="S60" s="32" t="inlineStr">
        <is>
          <t>news media</t>
        </is>
      </c>
      <c r="T60" s="32" t="inlineStr">
        <is>
          <t>secondary reported</t>
        </is>
      </c>
      <c r="U60" s="32" t="inlineStr">
        <is>
          <t>Quote as reported by Buenos Aires Herald; Spanish coverage (Conclusión https://www.conclusion.com.ar/?p=985547) adds '60% of the world's lithium is in the lithium triangle'.</t>
        </is>
      </c>
    </row>
    <row r="61" ht="45.75" customHeight="1" s="24">
      <c r="A61" s="31" t="inlineStr">
        <is>
          <t>PS-0060</t>
        </is>
      </c>
      <c r="B61" s="31" t="inlineStr">
        <is>
          <t>2023-01-20</t>
        </is>
      </c>
      <c r="C61" s="31" t="inlineStr">
        <is>
          <t>Bolivia</t>
        </is>
      </c>
      <c r="D61" s="31" t="inlineStr">
        <is>
          <t>Yes</t>
        </is>
      </c>
      <c r="E61" s="32" t="inlineStr">
        <is>
          <t>Luis Arce</t>
        </is>
      </c>
      <c r="F61" s="32" t="inlineStr">
        <is>
          <t>President of Bolivia</t>
        </is>
      </c>
      <c r="G61" s="32" t="inlineStr">
        <is>
          <t>LatAm executive</t>
        </is>
      </c>
      <c r="H61" s="32" t="inlineStr">
        <is>
          <t>speech</t>
        </is>
      </c>
      <c r="I61" s="32" t="inlineStr">
        <is>
          <t>Signing of DLE agreement between YLB and CBC consortium, La Paz</t>
        </is>
      </c>
      <c r="J61" s="32" t="inlineStr">
        <is>
          <t>Arce announced a US$1bn+ agreement with the Chinese CBC consortium (CATL, BRUNP, CMOC) to apply direct lithium extraction in Potosí and Oruro, targeting lithium battery exports by early 2025.</t>
        </is>
      </c>
      <c r="K61" s="32" t="inlineStr">
        <is>
          <t>lithium</t>
        </is>
      </c>
      <c r="L61" s="32" t="inlineStr">
        <is>
          <t>foreign investment, value added industrialization, technology transfer</t>
        </is>
      </c>
      <c r="M61" s="31" t="inlineStr">
        <is>
          <t>positive</t>
        </is>
      </c>
      <c r="N61" s="31" t="inlineStr">
        <is>
          <t>not mentioned</t>
        </is>
      </c>
      <c r="O61" s="32" t="inlineStr">
        <is>
          <t>Hoy hemos decidido darle un giro con industria con la extracción directa de litio</t>
        </is>
      </c>
      <c r="P61" s="32" t="inlineStr">
        <is>
          <t>Today we have decided to make a turn toward industry with direct lithium extraction</t>
        </is>
      </c>
      <c r="Q61" s="31" t="inlineStr">
        <is>
          <t>es</t>
        </is>
      </c>
      <c r="R61" s="33" t="inlineStr">
        <is>
          <t>Correo del Sur</t>
        </is>
      </c>
      <c r="S61" s="32" t="inlineStr">
        <is>
          <t>news media</t>
        </is>
      </c>
      <c r="T61" s="32" t="inlineStr">
        <is>
          <t>secondary reported</t>
        </is>
      </c>
      <c r="U61" s="32" t="inlineStr"/>
    </row>
    <row r="62" ht="45.75" customHeight="1" s="24">
      <c r="A62" s="31" t="inlineStr">
        <is>
          <t>PS-0061</t>
        </is>
      </c>
      <c r="B62" s="31" t="inlineStr">
        <is>
          <t>2023-01-22</t>
        </is>
      </c>
      <c r="C62" s="31" t="inlineStr">
        <is>
          <t>Bolivia</t>
        </is>
      </c>
      <c r="D62" s="31" t="inlineStr">
        <is>
          <t>Yes</t>
        </is>
      </c>
      <c r="E62" s="32" t="inlineStr">
        <is>
          <t>Franklin Molina</t>
        </is>
      </c>
      <c r="F62" s="32" t="inlineStr">
        <is>
          <t>Minister of Hydrocarbons and Energy</t>
        </is>
      </c>
      <c r="G62" s="32" t="inlineStr">
        <is>
          <t>LatAm executive</t>
        </is>
      </c>
      <c r="H62" s="32" t="inlineStr">
        <is>
          <t>interview</t>
        </is>
      </c>
      <c r="I62" s="32" t="inlineStr">
        <is>
          <t>Interview on CBC lithium agreement</t>
        </is>
      </c>
      <c r="J62" s="32" t="inlineStr">
        <is>
          <t>Molina said the CBC deal involves joint investment in two lithium carbonate plants of 25,000 t each, with YLB retaining 100% ownership, and would generate over US$5bn in revenue.</t>
        </is>
      </c>
      <c r="K62" s="32" t="inlineStr">
        <is>
          <t>lithium</t>
        </is>
      </c>
      <c r="L62" s="32" t="inlineStr">
        <is>
          <t>foreign investment, state control nationalization, processing refining, technology transfer</t>
        </is>
      </c>
      <c r="M62" s="31" t="inlineStr">
        <is>
          <t>positive</t>
        </is>
      </c>
      <c r="N62" s="31" t="inlineStr">
        <is>
          <t>not mentioned</t>
        </is>
      </c>
      <c r="O62" s="32" t="inlineStr">
        <is>
          <t>nos va a permitir generar ingresos importantísimos para el país, que superarían los 5.000 millones de dólares</t>
        </is>
      </c>
      <c r="P62" s="32" t="inlineStr">
        <is>
          <t>it will allow us to generate very important revenues for the country, exceeding 5 billion dollars</t>
        </is>
      </c>
      <c r="Q62" s="31" t="inlineStr">
        <is>
          <t>es</t>
        </is>
      </c>
      <c r="R62" s="33" t="inlineStr">
        <is>
          <t>Correo del Sur</t>
        </is>
      </c>
      <c r="S62" s="32" t="inlineStr">
        <is>
          <t>news media</t>
        </is>
      </c>
      <c r="T62" s="32" t="inlineStr">
        <is>
          <t>secondary reported</t>
        </is>
      </c>
      <c r="U62" s="32" t="inlineStr"/>
    </row>
    <row r="63" ht="45.75" customHeight="1" s="24">
      <c r="A63" s="31" t="inlineStr">
        <is>
          <t>PS-0062</t>
        </is>
      </c>
      <c r="B63" s="31" t="inlineStr">
        <is>
          <t>2023-01-23</t>
        </is>
      </c>
      <c r="C63" s="31" t="inlineStr">
        <is>
          <t>Regional</t>
        </is>
      </c>
      <c r="D63" s="31" t="inlineStr">
        <is>
          <t>No</t>
        </is>
      </c>
      <c r="E63" s="32" t="inlineStr">
        <is>
          <t>Laura Richardson</t>
        </is>
      </c>
      <c r="F63" s="32" t="inlineStr">
        <is>
          <t>Commander, US Southern Command</t>
        </is>
      </c>
      <c r="G63" s="32" t="inlineStr">
        <is>
          <t>United States</t>
        </is>
      </c>
      <c r="H63" s="32" t="inlineStr">
        <is>
          <t>speech</t>
        </is>
      </c>
      <c r="I63" s="32" t="inlineStr">
        <is>
          <t>Atlantic Council event, Washington</t>
        </is>
      </c>
      <c r="J63" s="32" t="inlineStr">
        <is>
          <t>The SOUTHCOM commander highlighted that about 60% of the world's lithium lies in the 'lithium triangle' of Argentina, Bolivia and Chile, framing the region's resources as strategically important to the US.</t>
        </is>
      </c>
      <c r="K63" s="32" t="inlineStr">
        <is>
          <t>lithium, rare earths</t>
        </is>
      </c>
      <c r="L63" s="32" t="inlineStr">
        <is>
          <t>geopolitics security</t>
        </is>
      </c>
      <c r="M63" s="31" t="inlineStr">
        <is>
          <t>not mentioned</t>
        </is>
      </c>
      <c r="N63" s="31" t="inlineStr">
        <is>
          <t>not mentioned</t>
        </is>
      </c>
      <c r="O63" s="32" t="inlineStr"/>
      <c r="P63" s="32" t="inlineStr"/>
      <c r="Q63" s="31" t="inlineStr">
        <is>
          <t>en</t>
        </is>
      </c>
      <c r="R63" s="33" t="inlineStr">
        <is>
          <t>Economía Sustentable</t>
        </is>
      </c>
      <c r="S63" s="32" t="inlineStr">
        <is>
          <t>news media</t>
        </is>
      </c>
      <c r="T63" s="32" t="inlineStr">
        <is>
          <t>secondary reported</t>
        </is>
      </c>
      <c r="U63" s="32" t="inlineStr">
        <is>
          <t>Quote as rendered by secondary source (may be back-translated); region-wide statement naming Bolivia. Quote cleared: only translated wording seen.</t>
        </is>
      </c>
    </row>
    <row r="64" ht="45.75" customHeight="1" s="24">
      <c r="A64" s="31" t="inlineStr">
        <is>
          <t>PS-0063</t>
        </is>
      </c>
      <c r="B64" s="31" t="inlineStr">
        <is>
          <t>2023-02-18</t>
        </is>
      </c>
      <c r="C64" s="31" t="inlineStr">
        <is>
          <t>Mexico</t>
        </is>
      </c>
      <c r="D64" s="31" t="inlineStr">
        <is>
          <t>No</t>
        </is>
      </c>
      <c r="E64" s="32" t="inlineStr">
        <is>
          <t>Andrés Manuel López Obrador</t>
        </is>
      </c>
      <c r="F64" s="32" t="inlineStr">
        <is>
          <t>President of Mexico</t>
        </is>
      </c>
      <c r="G64" s="32" t="inlineStr">
        <is>
          <t>LatAm executive</t>
        </is>
      </c>
      <c r="H64" s="32" t="inlineStr">
        <is>
          <t>decree or regulation</t>
        </is>
      </c>
      <c r="I64" s="32" t="inlineStr">
        <is>
          <t>Signing of lithium nationalization decree, Bacadéhuachi, Sonora</t>
        </is>
      </c>
      <c r="J64" s="32" t="inlineStr">
        <is>
          <t>In Bacadéhuachi, Sonora, AMLO signed a decree transferring lithium reserve areas to the Energy Ministry, saying lithium would be nationalized so that foreigners from Russia, China or the US could not exploit it.</t>
        </is>
      </c>
      <c r="K64" s="32" t="inlineStr">
        <is>
          <t>lithium</t>
        </is>
      </c>
      <c r="L64" s="32" t="inlineStr">
        <is>
          <t>state control nationalization, sovereignty, geopolitics security</t>
        </is>
      </c>
      <c r="M64" s="31" t="inlineStr">
        <is>
          <t>negative</t>
        </is>
      </c>
      <c r="N64" s="31" t="inlineStr">
        <is>
          <t>negative</t>
        </is>
      </c>
      <c r="O64" s="32" t="inlineStr">
        <is>
          <t>Vamos a nacionalizar el litio para que no lo puedan explotar los extranjeros ni de Rusia, ni de China, ni de Estados Unidos</t>
        </is>
      </c>
      <c r="P64" s="32" t="inlineStr">
        <is>
          <t>We are going to nationalize lithium so that foreigners from Russia, China or the United States cannot exploit it</t>
        </is>
      </c>
      <c r="Q64" s="31" t="inlineStr">
        <is>
          <t>es</t>
        </is>
      </c>
      <c r="R64" s="33" t="inlineStr">
        <is>
          <t>N+</t>
        </is>
      </c>
      <c r="S64" s="32" t="inlineStr">
        <is>
          <t>news media</t>
        </is>
      </c>
      <c r="T64" s="32" t="inlineStr">
        <is>
          <t>secondary reported</t>
        </is>
      </c>
      <c r="U64" s="32" t="inlineStr">
        <is>
          <t>Stance toward CHN/USA coded negative regarding their exploitation of Mexican lithium.</t>
        </is>
      </c>
    </row>
    <row r="65" ht="45.75" customHeight="1" s="24">
      <c r="A65" s="31" t="inlineStr">
        <is>
          <t>PS-0064</t>
        </is>
      </c>
      <c r="B65" s="31" t="inlineStr">
        <is>
          <t>2023-03</t>
        </is>
      </c>
      <c r="C65" s="31" t="inlineStr">
        <is>
          <t>Ecuador</t>
        </is>
      </c>
      <c r="D65" s="31" t="inlineStr">
        <is>
          <t>Yes</t>
        </is>
      </c>
      <c r="E65" s="32" t="inlineStr">
        <is>
          <t>Corte Provincial de Justicia de Imbabura</t>
        </is>
      </c>
      <c r="F65" s="32" t="inlineStr">
        <is>
          <t>Provincial Court of Imbabura</t>
        </is>
      </c>
      <c r="G65" s="32" t="inlineStr">
        <is>
          <t>LatAm judiciary</t>
        </is>
      </c>
      <c r="H65" s="32" t="inlineStr">
        <is>
          <t>court ruling</t>
        </is>
      </c>
      <c r="I65" s="32" t="inlineStr">
        <is>
          <t>Protection action against Llurimagua copper project</t>
        </is>
      </c>
      <c r="J65" s="32" t="inlineStr">
        <is>
          <t>The Imbabura provincial court upheld a 2020 first-instance ruling, revoking the Llurimagua copper project's environmental license over violations of environmental rights and consultation obligations.</t>
        </is>
      </c>
      <c r="K65" s="32" t="inlineStr">
        <is>
          <t>copper</t>
        </is>
      </c>
      <c r="L65" s="32" t="inlineStr">
        <is>
          <t>environment water, indigenous community rights</t>
        </is>
      </c>
      <c r="M65" s="31" t="inlineStr">
        <is>
          <t>not mentioned</t>
        </is>
      </c>
      <c r="N65" s="31" t="inlineStr">
        <is>
          <t>not mentioned</t>
        </is>
      </c>
      <c r="O65" s="32" t="inlineStr"/>
      <c r="P65" s="32" t="inlineStr"/>
      <c r="Q65" s="31" t="inlineStr">
        <is>
          <t>es</t>
        </is>
      </c>
      <c r="R65" s="33" t="inlineStr">
        <is>
          <t>Primicias</t>
        </is>
      </c>
      <c r="S65" s="32" t="inlineStr">
        <is>
          <t>news media</t>
        </is>
      </c>
      <c r="T65" s="32" t="inlineStr">
        <is>
          <t>secondary reported</t>
        </is>
      </c>
      <c r="U65" s="32" t="inlineStr">
        <is>
          <t>Reported retrospectively in 2026 article; day unknown.</t>
        </is>
      </c>
    </row>
    <row r="66" ht="45.75" customHeight="1" s="24">
      <c r="A66" s="31" t="inlineStr">
        <is>
          <t>PS-0065</t>
        </is>
      </c>
      <c r="B66" s="31" t="inlineStr">
        <is>
          <t>2023-03-08</t>
        </is>
      </c>
      <c r="C66" s="31" t="inlineStr">
        <is>
          <t>Regional</t>
        </is>
      </c>
      <c r="D66" s="31" t="inlineStr">
        <is>
          <t>No</t>
        </is>
      </c>
      <c r="E66" s="32" t="inlineStr">
        <is>
          <t>Laura Richardson</t>
        </is>
      </c>
      <c r="F66" s="32" t="inlineStr">
        <is>
          <t>Commander, U.S. Southern Command</t>
        </is>
      </c>
      <c r="G66" s="32" t="inlineStr">
        <is>
          <t>United States</t>
        </is>
      </c>
      <c r="H66" s="32" t="inlineStr">
        <is>
          <t>report</t>
        </is>
      </c>
      <c r="I66" s="32" t="inlineStr">
        <is>
          <t>SOUTHCOM 2023 Posture Statement to Congress</t>
        </is>
      </c>
      <c r="J66" s="32" t="inlineStr">
        <is>
          <t>The 2023 posture statement warned that the PRC has expanded its ability to extract resources, establish ports and manipulate governments through predatory investment in the region.</t>
        </is>
      </c>
      <c r="K66" s="32" t="inlineStr">
        <is>
          <t>mining general</t>
        </is>
      </c>
      <c r="L66" s="32" t="inlineStr">
        <is>
          <t>geopolitics security, foreign investment, infrastructure ports</t>
        </is>
      </c>
      <c r="M66" s="31" t="inlineStr">
        <is>
          <t>negative</t>
        </is>
      </c>
      <c r="N66" s="31" t="inlineStr">
        <is>
          <t>positive</t>
        </is>
      </c>
      <c r="O66" s="32" t="inlineStr">
        <is>
          <t>The PRC has expanded its ability to extract resources, establish ports, manipulate governments through predatory investment practices</t>
        </is>
      </c>
      <c r="P66" s="32" t="inlineStr">
        <is>
          <t>The PRC has expanded its ability to extract resources, establish ports, manipulate governments through predatory investment practices</t>
        </is>
      </c>
      <c r="Q66" s="31" t="inlineStr">
        <is>
          <t>en</t>
        </is>
      </c>
      <c r="R66" s="33" t="inlineStr">
        <is>
          <t>U.S. Southern Command</t>
        </is>
      </c>
      <c r="S66" s="32" t="inlineStr">
        <is>
          <t>primary official</t>
        </is>
      </c>
      <c r="T66" s="32" t="inlineStr">
        <is>
          <t>primary verified</t>
        </is>
      </c>
      <c r="U66" s="32" t="inlineStr"/>
    </row>
    <row r="67" ht="45.75" customHeight="1" s="24">
      <c r="A67" s="31" t="inlineStr">
        <is>
          <t>PS-0066</t>
        </is>
      </c>
      <c r="B67" s="31" t="inlineStr">
        <is>
          <t>2023-03-08</t>
        </is>
      </c>
      <c r="C67" s="31" t="inlineStr">
        <is>
          <t>Regional</t>
        </is>
      </c>
      <c r="D67" s="31" t="inlineStr">
        <is>
          <t>No</t>
        </is>
      </c>
      <c r="E67" s="32" t="inlineStr">
        <is>
          <t>Laura Richardson</t>
        </is>
      </c>
      <c r="F67" s="32" t="inlineStr">
        <is>
          <t>Commander, U.S. Southern Command</t>
        </is>
      </c>
      <c r="G67" s="32" t="inlineStr">
        <is>
          <t>United States</t>
        </is>
      </c>
      <c r="H67" s="32" t="inlineStr">
        <is>
          <t>legislative debate</t>
        </is>
      </c>
      <c r="I67" s="32" t="inlineStr">
        <is>
          <t>House Armed Services Committee hearing on SOUTHCOM posture</t>
        </is>
      </c>
      <c r="J67" s="32" t="inlineStr">
        <is>
          <t>Testifying to the House, Richardson said the region is full of resources exploited by adversaries who appear to invest but actually extract, and described China's lithium game in the region as very advanced and aggressive.</t>
        </is>
      </c>
      <c r="K67" s="32" t="inlineStr">
        <is>
          <t>lithium</t>
        </is>
      </c>
      <c r="L67" s="32" t="inlineStr">
        <is>
          <t>geopolitics security, foreign investment</t>
        </is>
      </c>
      <c r="M67" s="31" t="inlineStr">
        <is>
          <t>negative</t>
        </is>
      </c>
      <c r="N67" s="31" t="inlineStr">
        <is>
          <t>positive</t>
        </is>
      </c>
      <c r="O67" s="32" t="inlineStr">
        <is>
          <t>la agresividad de China y su juego en el terreno con el litio, es muy avanzado y muy agresivo</t>
        </is>
      </c>
      <c r="P67" s="32" t="inlineStr">
        <is>
          <t>China's aggressiveness and its game on the ground with lithium is very advanced and very aggressive</t>
        </is>
      </c>
      <c r="Q67" s="31" t="inlineStr">
        <is>
          <t>es</t>
        </is>
      </c>
      <c r="R67" s="33" t="inlineStr">
        <is>
          <t>El Observador (Uruguay)</t>
        </is>
      </c>
      <c r="S67" s="32" t="inlineStr">
        <is>
          <t>news media</t>
        </is>
      </c>
      <c r="T67" s="32" t="inlineStr">
        <is>
          <t>secondary reported</t>
        </is>
      </c>
      <c r="U67" s="32" t="inlineStr">
        <is>
          <t>Spanish rendering of English testimony; also reported by El Ciudadano https://www.elciudadano.com/?p=942911 (dated 10 Mar 2023)</t>
        </is>
      </c>
    </row>
    <row r="68" ht="45.75" customHeight="1" s="24">
      <c r="A68" s="31" t="inlineStr">
        <is>
          <t>PS-0067</t>
        </is>
      </c>
      <c r="B68" s="31" t="inlineStr">
        <is>
          <t>2023-03-23</t>
        </is>
      </c>
      <c r="C68" s="31" t="inlineStr">
        <is>
          <t>Regional</t>
        </is>
      </c>
      <c r="D68" s="31" t="inlineStr">
        <is>
          <t>No</t>
        </is>
      </c>
      <c r="E68" s="32" t="inlineStr">
        <is>
          <t>Laura Richardson</t>
        </is>
      </c>
      <c r="F68" s="32" t="inlineStr">
        <is>
          <t>Commander, U.S. Southern Command</t>
        </is>
      </c>
      <c r="G68" s="32" t="inlineStr">
        <is>
          <t>United States</t>
        </is>
      </c>
      <c r="H68" s="32" t="inlineStr">
        <is>
          <t>legislative debate</t>
        </is>
      </c>
      <c r="I68" s="32" t="inlineStr">
        <is>
          <t>Senate Armed Services Committee hearing on NORTHCOM/SOUTHCOM posture</t>
        </is>
      </c>
      <c r="J68" s="32" t="inlineStr">
        <is>
          <t>Testifying to the Senate, Richardson said the PRC has expanded its ability to extract resources from the region and gets 75 percent of its lithium from South America.</t>
        </is>
      </c>
      <c r="K68" s="32" t="inlineStr">
        <is>
          <t>lithium</t>
        </is>
      </c>
      <c r="L68" s="32" t="inlineStr">
        <is>
          <t>geopolitics security</t>
        </is>
      </c>
      <c r="M68" s="31" t="inlineStr">
        <is>
          <t>negative</t>
        </is>
      </c>
      <c r="N68" s="31" t="inlineStr">
        <is>
          <t>positive</t>
        </is>
      </c>
      <c r="O68" s="32" t="inlineStr">
        <is>
          <t>The PRC has expanded its ability to extract resources, and gets 36 percent of its food imports from the region and 75 percent of its lithium from South America.</t>
        </is>
      </c>
      <c r="P68" s="32" t="inlineStr">
        <is>
          <t>The PRC has expanded its ability to extract resources, and gets 36 percent of its food imports from the region and 75 percent of its lithium from South America.</t>
        </is>
      </c>
      <c r="Q68" s="31" t="inlineStr">
        <is>
          <t>en</t>
        </is>
      </c>
      <c r="R68" s="33" t="inlineStr">
        <is>
          <t>Senate Armed Services Committee transcript</t>
        </is>
      </c>
      <c r="S68" s="32" t="inlineStr">
        <is>
          <t>legislative record</t>
        </is>
      </c>
      <c r="T68" s="32" t="inlineStr">
        <is>
          <t>primary verified</t>
        </is>
      </c>
      <c r="U68" s="32" t="inlineStr"/>
    </row>
    <row r="69" ht="45.75" customHeight="1" s="24">
      <c r="A69" s="31" t="inlineStr">
        <is>
          <t>PS-0068</t>
        </is>
      </c>
      <c r="B69" s="31" t="inlineStr">
        <is>
          <t>2023-03-24</t>
        </is>
      </c>
      <c r="C69" s="31" t="inlineStr">
        <is>
          <t>Bolivia</t>
        </is>
      </c>
      <c r="D69" s="31" t="inlineStr">
        <is>
          <t>Yes</t>
        </is>
      </c>
      <c r="E69" s="32" t="inlineStr">
        <is>
          <t>Luis Arce</t>
        </is>
      </c>
      <c r="F69" s="32" t="inlineStr">
        <is>
          <t>President of Bolivia</t>
        </is>
      </c>
      <c r="G69" s="32" t="inlineStr">
        <is>
          <t>LatAm executive</t>
        </is>
      </c>
      <c r="H69" s="32" t="inlineStr">
        <is>
          <t>speech</t>
        </is>
      </c>
      <c r="I69" s="32" t="inlineStr">
        <is>
          <t>Speech in La Paz proposing joint Latin American lithium policy</t>
        </is>
      </c>
      <c r="J69" s="32" t="inlineStr">
        <is>
          <t>Arce called for a common, sovereign Latin American lithium market policy and said Bolivia did not want its lithium in the US Southern Command's crosshairs or used to destabilize elected governments.</t>
        </is>
      </c>
      <c r="K69" s="32" t="inlineStr">
        <is>
          <t>lithium</t>
        </is>
      </c>
      <c r="L69" s="32" t="inlineStr">
        <is>
          <t>geopolitics security, sovereignty, trade deals offtake</t>
        </is>
      </c>
      <c r="M69" s="31" t="inlineStr">
        <is>
          <t>not mentioned</t>
        </is>
      </c>
      <c r="N69" s="31" t="inlineStr">
        <is>
          <t>negative</t>
        </is>
      </c>
      <c r="O69" s="32" t="inlineStr"/>
      <c r="P69" s="32" t="inlineStr"/>
      <c r="Q69" s="31" t="inlineStr">
        <is>
          <t>en</t>
        </is>
      </c>
      <c r="R69" s="33" t="inlineStr">
        <is>
          <t>Mining Weekly (Reuters)</t>
        </is>
      </c>
      <c r="S69" s="32" t="inlineStr">
        <is>
          <t>news media</t>
        </is>
      </c>
      <c r="T69" s="32" t="inlineStr">
        <is>
          <t>secondary reported</t>
        </is>
      </c>
      <c r="U69" s="32" t="inlineStr">
        <is>
          <t>Quote is English translation by Reuters; Spanish original not seen. Quote cleared: only translated wording seen.</t>
        </is>
      </c>
    </row>
    <row r="70" ht="45.75" customHeight="1" s="24">
      <c r="A70" s="31" t="inlineStr">
        <is>
          <t>PS-0069</t>
        </is>
      </c>
      <c r="B70" s="31" t="inlineStr">
        <is>
          <t>2023-03-31</t>
        </is>
      </c>
      <c r="C70" s="31" t="inlineStr">
        <is>
          <t>Regional</t>
        </is>
      </c>
      <c r="D70" s="31" t="inlineStr">
        <is>
          <t>No</t>
        </is>
      </c>
      <c r="E70" s="32" t="inlineStr">
        <is>
          <t>U.S. Department of the Treasury</t>
        </is>
      </c>
      <c r="F70" s="32" t="inlineStr">
        <is>
          <t>Treasury (Sec. Janet Yellen)</t>
        </is>
      </c>
      <c r="G70" s="32" t="inlineStr">
        <is>
          <t>United States</t>
        </is>
      </c>
      <c r="H70" s="32" t="inlineStr">
        <is>
          <t>decree or regulation</t>
        </is>
      </c>
      <c r="I70" s="32" t="inlineStr">
        <is>
          <t>Proposed guidance on IRA clean vehicle credit (Section 30D) critical minerals requirement</t>
        </is>
      </c>
      <c r="J70" s="32" t="inlineStr">
        <is>
          <t>Treasury's proposed IRA guidance listed free-trade-agreement countries, including Chile, Colombia, Mexico, Panama and Peru, whose extracted or processed critical minerals count toward the EV credit's rising sourcing thresholds (40% in 2023 to 80% from 2027).</t>
        </is>
      </c>
      <c r="K70" s="32" t="inlineStr">
        <is>
          <t>critical minerals general, lithium, nickel, cobalt, graphite</t>
        </is>
      </c>
      <c r="L70" s="32" t="inlineStr">
        <is>
          <t>tariffs trade policy, energy transition, trade deals offtake</t>
        </is>
      </c>
      <c r="M70" s="31" t="inlineStr">
        <is>
          <t>not mentioned</t>
        </is>
      </c>
      <c r="N70" s="31" t="inlineStr">
        <is>
          <t>positive</t>
        </is>
      </c>
      <c r="O70" s="32" t="inlineStr"/>
      <c r="P70" s="32" t="inlineStr"/>
      <c r="Q70" s="31" t="inlineStr">
        <is>
          <t>en</t>
        </is>
      </c>
      <c r="R70" s="33" t="inlineStr">
        <is>
          <t>U.S. Department of the Treasury</t>
        </is>
      </c>
      <c r="S70" s="32" t="inlineStr">
        <is>
          <t>primary official</t>
        </is>
      </c>
      <c r="T70" s="32" t="inlineStr">
        <is>
          <t>primary verified</t>
        </is>
      </c>
      <c r="U70" s="32" t="inlineStr">
        <is>
          <t>Argentina, Bolivia, Brazil not FTA partners (excluded unless new critical minerals agreement)</t>
        </is>
      </c>
    </row>
    <row r="71" ht="45.75" customHeight="1" s="24">
      <c r="A71" s="31" t="inlineStr">
        <is>
          <t>PS-0070</t>
        </is>
      </c>
      <c r="B71" s="31" t="inlineStr">
        <is>
          <t>2023-04-06</t>
        </is>
      </c>
      <c r="C71" s="31" t="inlineStr">
        <is>
          <t>Argentina</t>
        </is>
      </c>
      <c r="D71" s="31" t="inlineStr">
        <is>
          <t>Yes</t>
        </is>
      </c>
      <c r="E71" s="32" t="inlineStr">
        <is>
          <t>Sabino Vaca Narvaja</t>
        </is>
      </c>
      <c r="F71" s="32" t="inlineStr">
        <is>
          <t>Argentine Ambassador to China</t>
        </is>
      </c>
      <c r="G71" s="32" t="inlineStr">
        <is>
          <t>LatAm executive</t>
        </is>
      </c>
      <c r="H71" s="32" t="inlineStr">
        <is>
          <t>speech</t>
        </is>
      </c>
      <c r="I71" s="32" t="inlineStr">
        <is>
          <t>Tour of Fujian province with Catamarca governor Jalil</t>
        </is>
      </c>
      <c r="J71" s="32" t="inlineStr">
        <is>
          <t>Vaca Narvaja said mining has the potential to solve Argentina's recurrent foreign-currency crises, noting a single lithium project could account for up to 5% of national exports.</t>
        </is>
      </c>
      <c r="K71" s="32" t="inlineStr">
        <is>
          <t>lithium, mining general</t>
        </is>
      </c>
      <c r="L71" s="32" t="inlineStr">
        <is>
          <t>foreign investment, trade deals offtake</t>
        </is>
      </c>
      <c r="M71" s="31" t="inlineStr">
        <is>
          <t>positive</t>
        </is>
      </c>
      <c r="N71" s="31" t="inlineStr">
        <is>
          <t>not mentioned</t>
        </is>
      </c>
      <c r="O71" s="32" t="inlineStr">
        <is>
          <t>la minería tiene el potencial para solucionar nuestras recurrentes crisis de divisas</t>
        </is>
      </c>
      <c r="P71" s="32" t="inlineStr">
        <is>
          <t>mining has the potential to solve our recurrent foreign-currency crises</t>
        </is>
      </c>
      <c r="Q71" s="31" t="inlineStr">
        <is>
          <t>es</t>
        </is>
      </c>
      <c r="R71" s="33" t="inlineStr">
        <is>
          <t>El Economista</t>
        </is>
      </c>
      <c r="S71" s="32" t="inlineStr">
        <is>
          <t>news media</t>
        </is>
      </c>
      <c r="T71" s="32" t="inlineStr">
        <is>
          <t>secondary reported</t>
        </is>
      </c>
      <c r="U71" s="32" t="inlineStr">
        <is>
          <t>Trip followed Jalil's China visit seeking lithium investment (Zijin).</t>
        </is>
      </c>
    </row>
    <row r="72" ht="45.75" customHeight="1" s="24">
      <c r="A72" s="31" t="inlineStr">
        <is>
          <t>PS-0071</t>
        </is>
      </c>
      <c r="B72" s="31" t="inlineStr">
        <is>
          <t>2023-04-09</t>
        </is>
      </c>
      <c r="C72" s="31" t="inlineStr">
        <is>
          <t>Chile</t>
        </is>
      </c>
      <c r="D72" s="31" t="inlineStr">
        <is>
          <t>Yes</t>
        </is>
      </c>
      <c r="E72" s="32" t="inlineStr">
        <is>
          <t>Bob Menendez</t>
        </is>
      </c>
      <c r="F72" s="32" t="inlineStr">
        <is>
          <t>U.S. Senator, Chair of Senate Foreign Relations Committee</t>
        </is>
      </c>
      <c r="G72" s="32" t="inlineStr">
        <is>
          <t>United States</t>
        </is>
      </c>
      <c r="H72" s="32" t="inlineStr">
        <is>
          <t>interview</t>
        </is>
      </c>
      <c r="I72" s="32" t="inlineStr">
        <is>
          <t>Visit to Chile, April 2023</t>
        </is>
      </c>
      <c r="J72" s="32" t="inlineStr">
        <is>
          <t>During a visit to Chile, Senator Menendez said China lacked environmental standards and sought the easiest way to extract lithium, contrasting it with US standards and China's state-controlled model.</t>
        </is>
      </c>
      <c r="K72" s="32" t="inlineStr">
        <is>
          <t>lithium</t>
        </is>
      </c>
      <c r="L72" s="32" t="inlineStr">
        <is>
          <t>geopolitics security, environment water</t>
        </is>
      </c>
      <c r="M72" s="31" t="inlineStr">
        <is>
          <t>negative</t>
        </is>
      </c>
      <c r="N72" s="31" t="inlineStr">
        <is>
          <t>positive</t>
        </is>
      </c>
      <c r="O72" s="32" t="inlineStr"/>
      <c r="P72" s="32" t="inlineStr"/>
      <c r="Q72" s="31" t="inlineStr">
        <is>
          <t>en</t>
        </is>
      </c>
      <c r="R72" s="33" t="inlineStr">
        <is>
          <t>Ex-Ante</t>
        </is>
      </c>
      <c r="S72" s="32" t="inlineStr">
        <is>
          <t>news media</t>
        </is>
      </c>
      <c r="T72" s="32" t="inlineStr">
        <is>
          <t>secondary reported</t>
        </is>
      </c>
      <c r="U72" s="32" t="inlineStr">
        <is>
          <t>Paraphrase; quotes reported in Spanish translation via Chinese ambassador rebuttal article</t>
        </is>
      </c>
    </row>
    <row r="73" ht="45.75" customHeight="1" s="24">
      <c r="A73" s="31" t="inlineStr">
        <is>
          <t>PS-0072</t>
        </is>
      </c>
      <c r="B73" s="31" t="inlineStr">
        <is>
          <t>2023-04-09</t>
        </is>
      </c>
      <c r="C73" s="31" t="inlineStr">
        <is>
          <t>Chile</t>
        </is>
      </c>
      <c r="D73" s="31" t="inlineStr">
        <is>
          <t>Yes</t>
        </is>
      </c>
      <c r="E73" s="32" t="inlineStr">
        <is>
          <t>Niu Qingbao</t>
        </is>
      </c>
      <c r="F73" s="32" t="inlineStr">
        <is>
          <t>Chinese Ambassador to Chile</t>
        </is>
      </c>
      <c r="G73" s="32" t="inlineStr">
        <is>
          <t>China</t>
        </is>
      </c>
      <c r="H73" s="32" t="inlineStr">
        <is>
          <t>op ed</t>
        </is>
      </c>
      <c r="I73" s="32" t="inlineStr">
        <is>
          <t>Rebuttal to Senator Menendez's remarks on Chinese lithium extraction</t>
        </is>
      </c>
      <c r="J73" s="32" t="inlineStr">
        <is>
          <t>The Chinese ambassador published a rebuttal titled "Double standards are Mr. Bob Menendez's trademark", defending China as the largest clean-energy producer and accusing the US of coercing countries through coups, threats and sanctions.</t>
        </is>
      </c>
      <c r="K73" s="32" t="inlineStr">
        <is>
          <t>lithium</t>
        </is>
      </c>
      <c r="L73" s="32" t="inlineStr">
        <is>
          <t>geopolitics security, environment water, diplomatic relations</t>
        </is>
      </c>
      <c r="M73" s="31" t="inlineStr">
        <is>
          <t>positive</t>
        </is>
      </c>
      <c r="N73" s="31" t="inlineStr">
        <is>
          <t>negative</t>
        </is>
      </c>
      <c r="O73" s="32" t="inlineStr"/>
      <c r="P73" s="32" t="inlineStr"/>
      <c r="Q73" s="31" t="inlineStr">
        <is>
          <t>es</t>
        </is>
      </c>
      <c r="R73" s="33" t="inlineStr">
        <is>
          <t>Ex-Ante</t>
        </is>
      </c>
      <c r="S73" s="32" t="inlineStr">
        <is>
          <t>news media</t>
        </is>
      </c>
      <c r="T73" s="32" t="inlineStr">
        <is>
          <t>secondary reported</t>
        </is>
      </c>
      <c r="U73" s="32" t="inlineStr">
        <is>
          <t>Paraphrase; article date 9 Apr 2023</t>
        </is>
      </c>
    </row>
    <row r="74" ht="45.75" customHeight="1" s="24">
      <c r="A74" s="31" t="inlineStr">
        <is>
          <t>PS-0073</t>
        </is>
      </c>
      <c r="B74" s="31" t="inlineStr">
        <is>
          <t>2023-04-14</t>
        </is>
      </c>
      <c r="C74" s="31" t="inlineStr">
        <is>
          <t>Brazil</t>
        </is>
      </c>
      <c r="D74" s="31" t="inlineStr">
        <is>
          <t>Yes</t>
        </is>
      </c>
      <c r="E74" s="32" t="inlineStr">
        <is>
          <t>Xi Jinping</t>
        </is>
      </c>
      <c r="F74" s="32" t="inlineStr">
        <is>
          <t>President of the People's Republic of China</t>
        </is>
      </c>
      <c r="G74" s="32" t="inlineStr">
        <is>
          <t>China</t>
        </is>
      </c>
      <c r="H74" s="32" t="inlineStr">
        <is>
          <t>joint declaration or mou</t>
        </is>
      </c>
      <c r="I74" s="32" t="inlineStr">
        <is>
          <t>Lula state visit to Beijing; joint statement on deepening comprehensive strategic partnership</t>
        </is>
      </c>
      <c r="J74" s="32" t="inlineStr">
        <is>
          <t>The China-Brazil joint statement issued during Lula's state visit says both sides will actively encourage their companies to invest in each other's countries, particularly in infrastructure, energy transition, logistics, energy, mining, agriculture, industry and high technology. It names no specific minerals.</t>
        </is>
      </c>
      <c r="K74" s="32" t="inlineStr">
        <is>
          <t>mining general</t>
        </is>
      </c>
      <c r="L74" s="32" t="inlineStr">
        <is>
          <t>foreign investment, energy transition, diplomatic relations</t>
        </is>
      </c>
      <c r="M74" s="31" t="inlineStr">
        <is>
          <t>positive</t>
        </is>
      </c>
      <c r="N74" s="31" t="inlineStr">
        <is>
          <t>not mentioned</t>
        </is>
      </c>
      <c r="O74" s="32" t="inlineStr">
        <is>
          <t>双方同意积极鼓励两国企业到对方国家开展投资，特别是在基础设施、能源转型、物流、能源、矿业、农业、工业以及高科技领域。</t>
        </is>
      </c>
      <c r="P74" s="32" t="inlineStr">
        <is>
          <t>The two sides agree to actively encourage their enterprises to invest in each other's countries, especially in infrastructure, energy transition, logistics, energy, mining, agriculture, industry and high-tech fields.</t>
        </is>
      </c>
      <c r="Q74" s="31" t="inlineStr">
        <is>
          <t>zh</t>
        </is>
      </c>
      <c r="R74" s="33" t="inlineStr">
        <is>
          <t>Ministry of Foreign Affairs of the PRC</t>
        </is>
      </c>
      <c r="S74" s="32" t="inlineStr">
        <is>
          <t>primary official</t>
        </is>
      </c>
      <c r="T74" s="32" t="inlineStr">
        <is>
          <t>primary verified</t>
        </is>
      </c>
      <c r="U74" s="32" t="inlineStr">
        <is>
          <t>Paragraph 21 of the joint statement. Joint China-Brazil text attributed to Xi as China's head of state, following the existing China-Peru joint statement record. Mining is one sector in a list; weak mineral content.</t>
        </is>
      </c>
    </row>
    <row r="75" ht="45.75" customHeight="1" s="24">
      <c r="A75" s="31" t="inlineStr">
        <is>
          <t>PS-0074</t>
        </is>
      </c>
      <c r="B75" s="31" t="inlineStr">
        <is>
          <t>2023-04-17</t>
        </is>
      </c>
      <c r="C75" s="31" t="inlineStr">
        <is>
          <t>Argentina</t>
        </is>
      </c>
      <c r="D75" s="31" t="inlineStr">
        <is>
          <t>Yes</t>
        </is>
      </c>
      <c r="E75" s="32" t="inlineStr">
        <is>
          <t>Laura Richardson</t>
        </is>
      </c>
      <c r="F75" s="32" t="inlineStr">
        <is>
          <t>Commander, U.S. Southern Command</t>
        </is>
      </c>
      <c r="G75" s="32" t="inlineStr">
        <is>
          <t>United States</t>
        </is>
      </c>
      <c r="H75" s="32" t="inlineStr">
        <is>
          <t>official statement</t>
        </is>
      </c>
      <c r="I75" s="32" t="inlineStr">
        <is>
          <t>SOUTHCOM commander visit to Argentina (Patagonia, Ushuaia)</t>
        </is>
      </c>
      <c r="J75" s="32" t="inlineStr">
        <is>
          <t>Richardson's visit to Argentina and the Southern Cone was reported as having lithium and concern over China on the agenda, following her earlier public emphasis on the lithium triangle as a US security interest.</t>
        </is>
      </c>
      <c r="K75" s="32" t="inlineStr">
        <is>
          <t>lithium</t>
        </is>
      </c>
      <c r="L75" s="32" t="inlineStr">
        <is>
          <t>geopolitics security, diplomatic relations</t>
        </is>
      </c>
      <c r="M75" s="31" t="inlineStr">
        <is>
          <t>negative</t>
        </is>
      </c>
      <c r="N75" s="31" t="inlineStr">
        <is>
          <t>positive</t>
        </is>
      </c>
      <c r="O75" s="32" t="inlineStr"/>
      <c r="P75" s="32" t="inlineStr"/>
      <c r="Q75" s="31" t="inlineStr">
        <is>
          <t>en</t>
        </is>
      </c>
      <c r="R75" s="33" t="inlineStr">
        <is>
          <t>Buenos Aires Times</t>
        </is>
      </c>
      <c r="S75" s="32" t="inlineStr">
        <is>
          <t>news media</t>
        </is>
      </c>
      <c r="T75" s="32" t="inlineStr">
        <is>
          <t>secondary reported</t>
        </is>
      </c>
      <c r="U75" s="32" t="inlineStr">
        <is>
          <t>Visit-level record; no direct quote on lithium during visit</t>
        </is>
      </c>
    </row>
    <row r="76" ht="45.75" customHeight="1" s="24">
      <c r="A76" s="31" t="inlineStr">
        <is>
          <t>PS-0075</t>
        </is>
      </c>
      <c r="B76" s="31" t="inlineStr">
        <is>
          <t>2023-04-20</t>
        </is>
      </c>
      <c r="C76" s="31" t="inlineStr">
        <is>
          <t>Chile</t>
        </is>
      </c>
      <c r="D76" s="31" t="inlineStr">
        <is>
          <t>Yes</t>
        </is>
      </c>
      <c r="E76" s="32" t="inlineStr">
        <is>
          <t>Gabriel Boric</t>
        </is>
      </c>
      <c r="F76" s="32" t="inlineStr">
        <is>
          <t>President of Chile</t>
        </is>
      </c>
      <c r="G76" s="32" t="inlineStr">
        <is>
          <t>LatAm executive</t>
        </is>
      </c>
      <c r="H76" s="32" t="inlineStr">
        <is>
          <t>speech</t>
        </is>
      </c>
      <c r="I76" s="32" t="inlineStr">
        <is>
          <t>National broadcast announcing the National Lithium Strategy</t>
        </is>
      </c>
      <c r="J76" s="32" t="inlineStr">
        <is>
          <t>Boric announced the National Lithium Strategy with the state as central actor, a future National Lithium Company seeking private partners, a salt-flat protection network and community involvement.</t>
        </is>
      </c>
      <c r="K76" s="32" t="inlineStr">
        <is>
          <t>lithium</t>
        </is>
      </c>
      <c r="L76" s="32" t="inlineStr">
        <is>
          <t>state control nationalization, value added industrialization, environment water, indigenous community rights</t>
        </is>
      </c>
      <c r="M76" s="31" t="inlineStr">
        <is>
          <t>not mentioned</t>
        </is>
      </c>
      <c r="N76" s="31" t="inlineStr">
        <is>
          <t>not mentioned</t>
        </is>
      </c>
      <c r="O76" s="32" t="inlineStr">
        <is>
          <t>nuestro desafío es que nuestro país se convierta en el principal productor de litio en el mundo</t>
        </is>
      </c>
      <c r="P76" s="32" t="inlineStr">
        <is>
          <t>our challenge is for our country to become the main lithium producer in the world</t>
        </is>
      </c>
      <c r="Q76" s="31" t="inlineStr">
        <is>
          <t>es</t>
        </is>
      </c>
      <c r="R76" s="33" t="inlineStr">
        <is>
          <t>El Dínamo</t>
        </is>
      </c>
      <c r="S76" s="32" t="inlineStr">
        <is>
          <t>news media</t>
        </is>
      </c>
      <c r="T76" s="32" t="inlineStr">
        <is>
          <t>secondary reported</t>
        </is>
      </c>
      <c r="U76" s="32" t="inlineStr"/>
    </row>
    <row r="77" ht="45.75" customHeight="1" s="24">
      <c r="A77" s="31" t="inlineStr">
        <is>
          <t>PS-0076</t>
        </is>
      </c>
      <c r="B77" s="31" t="inlineStr">
        <is>
          <t>2023-04-20</t>
        </is>
      </c>
      <c r="C77" s="31" t="inlineStr">
        <is>
          <t>Chile</t>
        </is>
      </c>
      <c r="D77" s="31" t="inlineStr">
        <is>
          <t>Yes</t>
        </is>
      </c>
      <c r="E77" s="32" t="inlineStr">
        <is>
          <t>Ricardo Díaz</t>
        </is>
      </c>
      <c r="F77" s="32" t="inlineStr">
        <is>
          <t>Governor of Antofagasta Region</t>
        </is>
      </c>
      <c r="G77" s="32" t="inlineStr">
        <is>
          <t>LatAm executive</t>
        </is>
      </c>
      <c r="H77" s="32" t="inlineStr">
        <is>
          <t>interview</t>
        </is>
      </c>
      <c r="I77" s="32" t="inlineStr">
        <is>
          <t>Reaction to National Lithium Strategy</t>
        </is>
      </c>
      <c r="J77" s="32" t="inlineStr">
        <is>
          <t>Antofagasta governor welcomed the president's view that value could be added in the region but criticised the absence of indigenous communities and regional participation in the strategy's launch.</t>
        </is>
      </c>
      <c r="K77" s="32" t="inlineStr">
        <is>
          <t>lithium</t>
        </is>
      </c>
      <c r="L77" s="32" t="inlineStr">
        <is>
          <t>value added industrialization, indigenous community rights</t>
        </is>
      </c>
      <c r="M77" s="31" t="inlineStr">
        <is>
          <t>not mentioned</t>
        </is>
      </c>
      <c r="N77" s="31" t="inlineStr">
        <is>
          <t>not mentioned</t>
        </is>
      </c>
      <c r="O77" s="32" t="inlineStr">
        <is>
          <t>El Presidente vio que se puede agregar valor acá en la región con personal de la región.</t>
        </is>
      </c>
      <c r="P77" s="32" t="inlineStr">
        <is>
          <t>The President saw that value can be added here in the region with people from the region.</t>
        </is>
      </c>
      <c r="Q77" s="31" t="inlineStr">
        <is>
          <t>es</t>
        </is>
      </c>
      <c r="R77" s="33" t="inlineStr">
        <is>
          <t>El Desconcierto</t>
        </is>
      </c>
      <c r="S77" s="32" t="inlineStr">
        <is>
          <t>news media</t>
        </is>
      </c>
      <c r="T77" s="32" t="inlineStr">
        <is>
          <t>secondary reported</t>
        </is>
      </c>
      <c r="U77" s="32" t="inlineStr"/>
    </row>
    <row r="78" ht="45.75" customHeight="1" s="24">
      <c r="A78" s="31" t="inlineStr">
        <is>
          <t>PS-0077</t>
        </is>
      </c>
      <c r="B78" s="31" t="inlineStr">
        <is>
          <t>2023-04-20</t>
        </is>
      </c>
      <c r="C78" s="31" t="inlineStr">
        <is>
          <t>Mexico</t>
        </is>
      </c>
      <c r="D78" s="31" t="inlineStr">
        <is>
          <t>No</t>
        </is>
      </c>
      <c r="E78" s="32" t="inlineStr">
        <is>
          <t>Ildefonso Guajardo</t>
        </is>
      </c>
      <c r="F78" s="32" t="inlineStr">
        <is>
          <t>Federal Deputy (PRI)</t>
        </is>
      </c>
      <c r="G78" s="32" t="inlineStr">
        <is>
          <t>LatAm legislature</t>
        </is>
      </c>
      <c r="H78" s="32" t="inlineStr">
        <is>
          <t>legislative debate</t>
        </is>
      </c>
      <c r="I78" s="32" t="inlineStr">
        <is>
          <t>Chamber of Deputies debate on 2023 Mining Law reform</t>
        </is>
      </c>
      <c r="J78" s="32" t="inlineStr">
        <is>
          <t>Former economy minister Guajardo opposed the reform, arguing that articles 10 and 10 bis would cause Mexican mining to lose its potential.</t>
        </is>
      </c>
      <c r="K78" s="32" t="inlineStr">
        <is>
          <t>mining general</t>
        </is>
      </c>
      <c r="L78" s="32" t="inlineStr">
        <is>
          <t>foreign investment, state control nationalization</t>
        </is>
      </c>
      <c r="M78" s="31" t="inlineStr">
        <is>
          <t>not mentioned</t>
        </is>
      </c>
      <c r="N78" s="31" t="inlineStr">
        <is>
          <t>not mentioned</t>
        </is>
      </c>
      <c r="O78" s="32" t="inlineStr">
        <is>
          <t>con los artículos 10 y 10 bis de la reforma, la minería mexicana perderá su potencial</t>
        </is>
      </c>
      <c r="P78" s="32" t="inlineStr">
        <is>
          <t>with articles 10 and 10 bis of the reform, Mexican mining will lose its potential</t>
        </is>
      </c>
      <c r="Q78" s="31" t="inlineStr">
        <is>
          <t>es</t>
        </is>
      </c>
      <c r="R78" s="33" t="inlineStr">
        <is>
          <t>Excélsior</t>
        </is>
      </c>
      <c r="S78" s="32" t="inlineStr">
        <is>
          <t>news media</t>
        </is>
      </c>
      <c r="T78" s="32" t="inlineStr">
        <is>
          <t>secondary reported</t>
        </is>
      </c>
      <c r="U78" s="32" t="inlineStr">
        <is>
          <t>Debate ran overnight 20-21 April 2023.</t>
        </is>
      </c>
    </row>
    <row r="79" ht="45.75" customHeight="1" s="24">
      <c r="A79" s="31" t="inlineStr">
        <is>
          <t>PS-0078</t>
        </is>
      </c>
      <c r="B79" s="31" t="inlineStr">
        <is>
          <t>2023-04-20</t>
        </is>
      </c>
      <c r="C79" s="31" t="inlineStr">
        <is>
          <t>Mexico</t>
        </is>
      </c>
      <c r="D79" s="31" t="inlineStr">
        <is>
          <t>No</t>
        </is>
      </c>
      <c r="E79" s="32" t="inlineStr">
        <is>
          <t>Manuel Rodríguez González</t>
        </is>
      </c>
      <c r="F79" s="32" t="inlineStr">
        <is>
          <t>Federal Deputy (Morena); President of the Energy Commission</t>
        </is>
      </c>
      <c r="G79" s="32" t="inlineStr">
        <is>
          <t>LatAm legislature</t>
        </is>
      </c>
      <c r="H79" s="32" t="inlineStr">
        <is>
          <t>legislative debate</t>
        </is>
      </c>
      <c r="I79" s="32" t="inlineStr">
        <is>
          <t>Chamber of Deputies debate on 2023 Mining Law and water concessions reform</t>
        </is>
      </c>
      <c r="J79" s="32" t="inlineStr">
        <is>
          <t>Presenting the reform, Rodríguez said its central aim was to recover state stewardship over mineral and water resources; the bill shortened mining concessions and water concessions for mining.</t>
        </is>
      </c>
      <c r="K79" s="32" t="inlineStr">
        <is>
          <t>mining general</t>
        </is>
      </c>
      <c r="L79" s="32" t="inlineStr">
        <is>
          <t>state control nationalization, environment water, sovereignty</t>
        </is>
      </c>
      <c r="M79" s="31" t="inlineStr">
        <is>
          <t>not mentioned</t>
        </is>
      </c>
      <c r="N79" s="31" t="inlineStr">
        <is>
          <t>not mentioned</t>
        </is>
      </c>
      <c r="O79" s="32" t="inlineStr">
        <is>
          <t>La esencia y objetivo central es recuperar la rectoría del Estado sobre los recursos minerales e hídricos del subsuelo mexicano</t>
        </is>
      </c>
      <c r="P79" s="32" t="inlineStr">
        <is>
          <t>The essence and central objective is to recover the State's stewardship over the mineral and water resources of the Mexican subsoil</t>
        </is>
      </c>
      <c r="Q79" s="31" t="inlineStr">
        <is>
          <t>es</t>
        </is>
      </c>
      <c r="R79" s="33" t="inlineStr">
        <is>
          <t>Zeta Tijuana</t>
        </is>
      </c>
      <c r="S79" s="32" t="inlineStr">
        <is>
          <t>news media</t>
        </is>
      </c>
      <c r="T79" s="32" t="inlineStr">
        <is>
          <t>secondary reported</t>
        </is>
      </c>
      <c r="U79" s="32" t="inlineStr">
        <is>
          <t>Debate ran overnight 20-21 April 2023.</t>
        </is>
      </c>
    </row>
    <row r="80" ht="45.75" customHeight="1" s="24">
      <c r="A80" s="31" t="inlineStr">
        <is>
          <t>PS-0079</t>
        </is>
      </c>
      <c r="B80" s="31" t="inlineStr">
        <is>
          <t>2023-04-21</t>
        </is>
      </c>
      <c r="C80" s="31" t="inlineStr">
        <is>
          <t>Mexico</t>
        </is>
      </c>
      <c r="D80" s="31" t="inlineStr">
        <is>
          <t>No</t>
        </is>
      </c>
      <c r="E80" s="32" t="inlineStr">
        <is>
          <t>Cámara de Diputados de México</t>
        </is>
      </c>
      <c r="F80" s="32" t="inlineStr">
        <is>
          <t>Chamber of Deputies</t>
        </is>
      </c>
      <c r="G80" s="32" t="inlineStr">
        <is>
          <t>LatAm legislature</t>
        </is>
      </c>
      <c r="H80" s="32" t="inlineStr">
        <is>
          <t>bill or law</t>
        </is>
      </c>
      <c r="I80" s="32" t="inlineStr">
        <is>
          <t>Vote on 2023 Mining Law and water concessions reform</t>
        </is>
      </c>
      <c r="J80" s="32" t="inlineStr">
        <is>
          <t>The Chamber of Deputies approved in general the AMLO-backed reform of the Mining Law, National Waters Law and environmental laws by 290 votes to 186 with 1 abstention; Morena, PT, PVEM and MC supported it while PAN, PRI and PRD opposed.</t>
        </is>
      </c>
      <c r="K80" s="32" t="inlineStr">
        <is>
          <t>mining general</t>
        </is>
      </c>
      <c r="L80" s="32" t="inlineStr">
        <is>
          <t>state control nationalization, environment water</t>
        </is>
      </c>
      <c r="M80" s="31" t="inlineStr">
        <is>
          <t>not mentioned</t>
        </is>
      </c>
      <c r="N80" s="31" t="inlineStr">
        <is>
          <t>not mentioned</t>
        </is>
      </c>
      <c r="O80" s="32" t="inlineStr"/>
      <c r="P80" s="32" t="inlineStr"/>
      <c r="Q80" s="31" t="inlineStr">
        <is>
          <t>es</t>
        </is>
      </c>
      <c r="R80" s="33" t="inlineStr">
        <is>
          <t>Excélsior</t>
        </is>
      </c>
      <c r="S80" s="32" t="inlineStr">
        <is>
          <t>news media</t>
        </is>
      </c>
      <c r="T80" s="32" t="inlineStr">
        <is>
          <t>secondary reported</t>
        </is>
      </c>
      <c r="U80" s="32" t="inlineStr">
        <is>
          <t>In particular: 251-209-1 (Infobae via Cámara síntesis).</t>
        </is>
      </c>
    </row>
    <row r="81" ht="45.75" customHeight="1" s="24">
      <c r="A81" s="31" t="inlineStr">
        <is>
          <t>PS-0080</t>
        </is>
      </c>
      <c r="B81" s="31" t="inlineStr">
        <is>
          <t>2023-04-22</t>
        </is>
      </c>
      <c r="C81" s="31" t="inlineStr">
        <is>
          <t>Mexico</t>
        </is>
      </c>
      <c r="D81" s="31" t="inlineStr">
        <is>
          <t>No</t>
        </is>
      </c>
      <c r="E81" s="32" t="inlineStr">
        <is>
          <t>Asociación de Ingenieros de Minas, Metalurgistas y Geólogos de México (AIMMGM)</t>
        </is>
      </c>
      <c r="F81" s="32" t="inlineStr">
        <is>
          <t>Mining professional association</t>
        </is>
      </c>
      <c r="G81" s="32" t="inlineStr">
        <is>
          <t>Other (business, civil society, third countries)</t>
        </is>
      </c>
      <c r="H81" s="32" t="inlineStr">
        <is>
          <t>official statement</t>
        </is>
      </c>
      <c r="I81" s="32" t="inlineStr">
        <is>
          <t>Reaction to Chamber approval of Mining Law reform</t>
        </is>
      </c>
      <c r="J81" s="32" t="inlineStr">
        <is>
          <t>The mining engineers' association urged the Senate to hold an open parliament before ratifying the fast-tracked reform, warning of provisions on exploration, payments and restrictions affecting the industry.</t>
        </is>
      </c>
      <c r="K81" s="32" t="inlineStr">
        <is>
          <t>mining general</t>
        </is>
      </c>
      <c r="L81" s="32" t="inlineStr">
        <is>
          <t>foreign investment, corruption governance</t>
        </is>
      </c>
      <c r="M81" s="31" t="inlineStr">
        <is>
          <t>not mentioned</t>
        </is>
      </c>
      <c r="N81" s="31" t="inlineStr">
        <is>
          <t>not mentioned</t>
        </is>
      </c>
      <c r="O81" s="32" t="inlineStr">
        <is>
          <t>Antes de ratificar la reforma aprobada por la Cámara de Diputados, el Senado de la República debe convocar a un parlamento abierto</t>
        </is>
      </c>
      <c r="P81" s="32" t="inlineStr">
        <is>
          <t>Before ratifying the reform approved by the Chamber of Deputies, the Senate must convene an open parliament</t>
        </is>
      </c>
      <c r="Q81" s="31" t="inlineStr">
        <is>
          <t>es</t>
        </is>
      </c>
      <c r="R81" s="33" t="inlineStr">
        <is>
          <t>Forbes México (via Cámara de Diputados síntesis)</t>
        </is>
      </c>
      <c r="S81" s="32" t="inlineStr">
        <is>
          <t>news media</t>
        </is>
      </c>
      <c r="T81" s="32" t="inlineStr">
        <is>
          <t>secondary reported</t>
        </is>
      </c>
      <c r="U81" s="32" t="inlineStr">
        <is>
          <t>Industry actor.</t>
        </is>
      </c>
    </row>
    <row r="82" ht="45.75" customHeight="1" s="24">
      <c r="A82" s="31" t="inlineStr">
        <is>
          <t>PS-0081</t>
        </is>
      </c>
      <c r="B82" s="31" t="inlineStr">
        <is>
          <t>2023-04-23</t>
        </is>
      </c>
      <c r="C82" s="31" t="inlineStr">
        <is>
          <t>Mexico</t>
        </is>
      </c>
      <c r="D82" s="31" t="inlineStr">
        <is>
          <t>No</t>
        </is>
      </c>
      <c r="E82" s="32" t="inlineStr">
        <is>
          <t>COPARMEX</t>
        </is>
      </c>
      <c r="F82" s="32" t="inlineStr">
        <is>
          <t>Employers' confederation</t>
        </is>
      </c>
      <c r="G82" s="32" t="inlineStr">
        <is>
          <t>Other (business, civil society, third countries)</t>
        </is>
      </c>
      <c r="H82" s="32" t="inlineStr">
        <is>
          <t>official statement</t>
        </is>
      </c>
      <c r="I82" s="32" t="inlineStr">
        <is>
          <t>Press release on Mining Law reform</t>
        </is>
      </c>
      <c r="J82" s="32" t="inlineStr">
        <is>
          <t>COPARMEX asked the Senate not to fast-track the mining reform, calling for an open parliament with experts and firms, investment certainty, and postponing approval until September.</t>
        </is>
      </c>
      <c r="K82" s="32" t="inlineStr">
        <is>
          <t>mining general</t>
        </is>
      </c>
      <c r="L82" s="32" t="inlineStr">
        <is>
          <t>foreign investment, corruption governance</t>
        </is>
      </c>
      <c r="M82" s="31" t="inlineStr">
        <is>
          <t>not mentioned</t>
        </is>
      </c>
      <c r="N82" s="31" t="inlineStr">
        <is>
          <t>not mentioned</t>
        </is>
      </c>
      <c r="O82" s="32" t="inlineStr">
        <is>
          <t>es necesario escuchar a expertos y a las empresas mediante un parlamento abierto</t>
        </is>
      </c>
      <c r="P82" s="32" t="inlineStr">
        <is>
          <t>it is necessary to listen to experts and companies through an open parliament</t>
        </is>
      </c>
      <c r="Q82" s="31" t="inlineStr">
        <is>
          <t>es</t>
        </is>
      </c>
      <c r="R82" s="33" t="inlineStr">
        <is>
          <t>COPARMEX</t>
        </is>
      </c>
      <c r="S82" s="32" t="inlineStr">
        <is>
          <t>primary official</t>
        </is>
      </c>
      <c r="T82" s="32" t="inlineStr">
        <is>
          <t>primary verified</t>
        </is>
      </c>
      <c r="U82" s="32" t="inlineStr">
        <is>
          <t>Business association, not government.</t>
        </is>
      </c>
    </row>
    <row r="83" ht="45.75" customHeight="1" s="24">
      <c r="A83" s="31" t="inlineStr">
        <is>
          <t>PS-0082</t>
        </is>
      </c>
      <c r="B83" s="31" t="inlineStr">
        <is>
          <t>2023-04-26</t>
        </is>
      </c>
      <c r="C83" s="31" t="inlineStr">
        <is>
          <t>Argentina</t>
        </is>
      </c>
      <c r="D83" s="31" t="inlineStr">
        <is>
          <t>Yes</t>
        </is>
      </c>
      <c r="E83" s="32" t="inlineStr">
        <is>
          <t>Juan Carlos Alderete</t>
        </is>
      </c>
      <c r="F83" s="32" t="inlineStr">
        <is>
          <t>National Deputy (Frente de Todos - CCC)</t>
        </is>
      </c>
      <c r="G83" s="32" t="inlineStr">
        <is>
          <t>LatAm legislature</t>
        </is>
      </c>
      <c r="H83" s="32" t="inlineStr">
        <is>
          <t>bill or law</t>
        </is>
      </c>
      <c r="I83" s="32" t="inlineStr">
        <is>
          <t>Bill declaring lithium a strategic resource (with Dep. Verónica Caliva)</t>
        </is>
      </c>
      <c r="J83" s="32" t="inlineStr">
        <is>
          <t>Alderete and Caliva promoted a bill declaring lithium a strategic natural resource, stressing sovereignty, industrialization, environmental protection and indigenous rights.</t>
        </is>
      </c>
      <c r="K83" s="32" t="inlineStr">
        <is>
          <t>lithium</t>
        </is>
      </c>
      <c r="L83" s="32" t="inlineStr">
        <is>
          <t>state control nationalization, sovereignty, value added industrialization, indigenous community rights</t>
        </is>
      </c>
      <c r="M83" s="31" t="inlineStr">
        <is>
          <t>not mentioned</t>
        </is>
      </c>
      <c r="N83" s="31" t="inlineStr">
        <is>
          <t>not mentioned</t>
        </is>
      </c>
      <c r="O83" s="32" t="inlineStr">
        <is>
          <t>Es imprescindible que tomemos la defensa de nuestra soberanía, y protejamos los intereses nacionales referidos a este recurso natural estratégico</t>
        </is>
      </c>
      <c r="P83" s="32" t="inlineStr">
        <is>
          <t>It is essential that we defend our sovereignty and protect national interests regarding this strategic natural resource</t>
        </is>
      </c>
      <c r="Q83" s="31" t="inlineStr">
        <is>
          <t>es</t>
        </is>
      </c>
      <c r="R83" s="33" t="inlineStr">
        <is>
          <t>Diario de Cuyo</t>
        </is>
      </c>
      <c r="S83" s="32" t="inlineStr">
        <is>
          <t>news media</t>
        </is>
      </c>
      <c r="T83" s="32" t="inlineStr">
        <is>
          <t>secondary reported</t>
        </is>
      </c>
      <c r="U83" s="32" t="inlineStr"/>
    </row>
    <row r="84" ht="45.75" customHeight="1" s="24">
      <c r="A84" s="31" t="inlineStr">
        <is>
          <t>PS-0083</t>
        </is>
      </c>
      <c r="B84" s="31" t="inlineStr">
        <is>
          <t>2023-04-28</t>
        </is>
      </c>
      <c r="C84" s="31" t="inlineStr">
        <is>
          <t>Mexico</t>
        </is>
      </c>
      <c r="D84" s="31" t="inlineStr">
        <is>
          <t>No</t>
        </is>
      </c>
      <c r="E84" s="32" t="inlineStr">
        <is>
          <t>Grupo México (Leonardo Contreras)</t>
        </is>
      </c>
      <c r="F84" s="32" t="inlineStr">
        <is>
          <t>Director of Administration and Finance, Mining Division, Grupo México</t>
        </is>
      </c>
      <c r="G84" s="32" t="inlineStr">
        <is>
          <t>Other (business, civil society, third countries)</t>
        </is>
      </c>
      <c r="H84" s="32" t="inlineStr">
        <is>
          <t>press conference</t>
        </is>
      </c>
      <c r="I84" s="32" t="inlineStr">
        <is>
          <t>Analyst/investor call during Senate debate on Mining Law reform</t>
        </is>
      </c>
      <c r="J84" s="32" t="inlineStr">
        <is>
          <t>A Grupo México executive told analysts the company saw no effect of the proposed Mining Law reform on its current business and was awaiting the outcome.</t>
        </is>
      </c>
      <c r="K84" s="32" t="inlineStr">
        <is>
          <t>copper, mining general</t>
        </is>
      </c>
      <c r="L84" s="32" t="inlineStr">
        <is>
          <t>foreign investment</t>
        </is>
      </c>
      <c r="M84" s="31" t="inlineStr">
        <is>
          <t>not mentioned</t>
        </is>
      </c>
      <c r="N84" s="31" t="inlineStr">
        <is>
          <t>not mentioned</t>
        </is>
      </c>
      <c r="O84" s="32" t="inlineStr">
        <is>
          <t>No vemos ningún efecto en nuestro negocio actual, estamos esperando las resoluciones</t>
        </is>
      </c>
      <c r="P84" s="32" t="inlineStr">
        <is>
          <t>We see no effect on our current business, we are waiting for the resolutions</t>
        </is>
      </c>
      <c r="Q84" s="31" t="inlineStr">
        <is>
          <t>es</t>
        </is>
      </c>
      <c r="R84" s="33" t="inlineStr">
        <is>
          <t>Bloomberg (via Cámara de Diputados síntesis)</t>
        </is>
      </c>
      <c r="S84" s="32" t="inlineStr">
        <is>
          <t>news media</t>
        </is>
      </c>
      <c r="T84" s="32" t="inlineStr">
        <is>
          <t>secondary reported</t>
        </is>
      </c>
      <c r="U84" s="32" t="inlineStr">
        <is>
          <t>Corporate actor.</t>
        </is>
      </c>
    </row>
    <row r="85" ht="45.75" customHeight="1" s="24">
      <c r="A85" s="31" t="inlineStr">
        <is>
          <t>PS-0084</t>
        </is>
      </c>
      <c r="B85" s="31" t="inlineStr">
        <is>
          <t>2023-04-29</t>
        </is>
      </c>
      <c r="C85" s="31" t="inlineStr">
        <is>
          <t>Mexico</t>
        </is>
      </c>
      <c r="D85" s="31" t="inlineStr">
        <is>
          <t>No</t>
        </is>
      </c>
      <c r="E85" s="32" t="inlineStr">
        <is>
          <t>Senado de la República</t>
        </is>
      </c>
      <c r="F85" s="32" t="inlineStr">
        <is>
          <t>Mexican Senate</t>
        </is>
      </c>
      <c r="G85" s="32" t="inlineStr">
        <is>
          <t>LatAm legislature</t>
        </is>
      </c>
      <c r="H85" s="32" t="inlineStr">
        <is>
          <t>bill or law</t>
        </is>
      </c>
      <c r="I85" s="32" t="inlineStr">
        <is>
          <t>Senate vote on 2023 Mining Law and water concessions reform</t>
        </is>
      </c>
      <c r="J85" s="32" t="inlineStr">
        <is>
          <t>The Senate approved the Mining Law, National Waters Law and environmental law reforms with 66 votes in a session held at an alternate venue without the opposition, sending them to the executive.</t>
        </is>
      </c>
      <c r="K85" s="32" t="inlineStr">
        <is>
          <t>mining general</t>
        </is>
      </c>
      <c r="L85" s="32" t="inlineStr">
        <is>
          <t>state control nationalization, environment water</t>
        </is>
      </c>
      <c r="M85" s="31" t="inlineStr">
        <is>
          <t>not mentioned</t>
        </is>
      </c>
      <c r="N85" s="31" t="inlineStr">
        <is>
          <t>not mentioned</t>
        </is>
      </c>
      <c r="O85" s="32" t="inlineStr"/>
      <c r="P85" s="32" t="inlineStr"/>
      <c r="Q85" s="31" t="inlineStr">
        <is>
          <t>es</t>
        </is>
      </c>
      <c r="R85" s="33" t="inlineStr">
        <is>
          <t>Bloomberg Línea</t>
        </is>
      </c>
      <c r="S85" s="32" t="inlineStr">
        <is>
          <t>news media</t>
        </is>
      </c>
      <c r="T85" s="32" t="inlineStr">
        <is>
          <t>secondary reported</t>
        </is>
      </c>
      <c r="U85" s="32" t="inlineStr">
        <is>
          <t>Session ran late 28 April into 29 April; date of report used.</t>
        </is>
      </c>
    </row>
    <row r="86" ht="45.75" customHeight="1" s="24">
      <c r="A86" s="31" t="inlineStr">
        <is>
          <t>PS-0085</t>
        </is>
      </c>
      <c r="B86" s="31" t="inlineStr">
        <is>
          <t>2023-05</t>
        </is>
      </c>
      <c r="C86" s="31" t="inlineStr">
        <is>
          <t>Chile</t>
        </is>
      </c>
      <c r="D86" s="31" t="inlineStr">
        <is>
          <t>Yes</t>
        </is>
      </c>
      <c r="E86" s="32" t="inlineStr">
        <is>
          <t>Senate of Chile</t>
        </is>
      </c>
      <c r="F86" s="32" t="inlineStr">
        <is>
          <t>Senate (plenary)</t>
        </is>
      </c>
      <c r="G86" s="32" t="inlineStr">
        <is>
          <t>LatAm legislature</t>
        </is>
      </c>
      <c r="H86" s="32" t="inlineStr">
        <is>
          <t>bill or law</t>
        </is>
      </c>
      <c r="I86" s="32" t="inlineStr">
        <is>
          <t>Senate vote on mining royalty bill (second constitutional stage)</t>
        </is>
      </c>
      <c r="J86" s="32" t="inlineStr">
        <is>
          <t>The Senate approved the mining royalty bill on large copper and lithium producers 38-2 with one abstention, sending it to the Chamber for the third stage; Republican senators Rojo Edwards and Aravena voted against.</t>
        </is>
      </c>
      <c r="K86" s="32" t="inlineStr">
        <is>
          <t>copper, lithium</t>
        </is>
      </c>
      <c r="L86" s="32" t="inlineStr">
        <is>
          <t>royalties taxation</t>
        </is>
      </c>
      <c r="M86" s="31" t="inlineStr">
        <is>
          <t>not mentioned</t>
        </is>
      </c>
      <c r="N86" s="31" t="inlineStr">
        <is>
          <t>not mentioned</t>
        </is>
      </c>
      <c r="O86" s="32" t="inlineStr"/>
      <c r="P86" s="32" t="inlineStr"/>
      <c r="Q86" s="31" t="inlineStr">
        <is>
          <t>es</t>
        </is>
      </c>
      <c r="R86" s="33" t="inlineStr">
        <is>
          <t>Radio Agricultura</t>
        </is>
      </c>
      <c r="S86" s="32" t="inlineStr">
        <is>
          <t>news media</t>
        </is>
      </c>
      <c r="T86" s="32" t="inlineStr">
        <is>
          <t>secondary reported</t>
        </is>
      </c>
      <c r="U86" s="32" t="inlineStr">
        <is>
          <t>Vote 10-11 May 2023; article dated 11 May</t>
        </is>
      </c>
    </row>
    <row r="87" ht="45.75" customHeight="1" s="24">
      <c r="A87" s="31" t="inlineStr">
        <is>
          <t>PS-0086</t>
        </is>
      </c>
      <c r="B87" s="31" t="inlineStr">
        <is>
          <t>2023-05-02</t>
        </is>
      </c>
      <c r="C87" s="31" t="inlineStr">
        <is>
          <t>Mexico</t>
        </is>
      </c>
      <c r="D87" s="31" t="inlineStr">
        <is>
          <t>No</t>
        </is>
      </c>
      <c r="E87" s="32" t="inlineStr">
        <is>
          <t>Andrés Guevara Cárdenas</t>
        </is>
      </c>
      <c r="F87" s="32" t="inlineStr">
        <is>
          <t>Local Deputy, Congress of Guerrero</t>
        </is>
      </c>
      <c r="G87" s="32" t="inlineStr">
        <is>
          <t>LatAm legislature</t>
        </is>
      </c>
      <c r="H87" s="32" t="inlineStr">
        <is>
          <t>legislative debate</t>
        </is>
      </c>
      <c r="I87" s="32" t="inlineStr">
        <is>
          <t>Guerrero state congress session commenting on federal Mining Law reform</t>
        </is>
      </c>
      <c r="J87" s="32" t="inlineStr">
        <is>
          <t>In the Guerrero state congress, Guevara praised the federal mining reform as putting citizens, environment and national territory at the centre and respecting natural resources and communities.</t>
        </is>
      </c>
      <c r="K87" s="32" t="inlineStr">
        <is>
          <t>mining general</t>
        </is>
      </c>
      <c r="L87" s="32" t="inlineStr">
        <is>
          <t>environment water, indigenous community rights, state control nationalization</t>
        </is>
      </c>
      <c r="M87" s="31" t="inlineStr">
        <is>
          <t>not mentioned</t>
        </is>
      </c>
      <c r="N87" s="31" t="inlineStr">
        <is>
          <t>not mentioned</t>
        </is>
      </c>
      <c r="O87" s="32" t="inlineStr">
        <is>
          <t>Hoy estamos ante una reforma que representa el respeto a nuestros recursos naturales y a la población de las comunidades</t>
        </is>
      </c>
      <c r="P87" s="32" t="inlineStr">
        <is>
          <t>Today we are facing a reform that represents respect for our natural resources and for the population of the communities</t>
        </is>
      </c>
      <c r="Q87" s="31" t="inlineStr">
        <is>
          <t>es</t>
        </is>
      </c>
      <c r="R87" s="33" t="inlineStr">
        <is>
          <t>Congreso del Estado de Guerrero</t>
        </is>
      </c>
      <c r="S87" s="32" t="inlineStr">
        <is>
          <t>legislative record</t>
        </is>
      </c>
      <c r="T87" s="32" t="inlineStr">
        <is>
          <t>primary verified</t>
        </is>
      </c>
      <c r="U87" s="32" t="inlineStr">
        <is>
          <t>Party affiliation inferred from content of the intervention; verify.</t>
        </is>
      </c>
    </row>
    <row r="88" ht="45.75" customHeight="1" s="24">
      <c r="A88" s="31" t="inlineStr">
        <is>
          <t>PS-0087</t>
        </is>
      </c>
      <c r="B88" s="31" t="inlineStr">
        <is>
          <t>2023-05-03</t>
        </is>
      </c>
      <c r="C88" s="31" t="inlineStr">
        <is>
          <t>Argentina</t>
        </is>
      </c>
      <c r="D88" s="31" t="inlineStr">
        <is>
          <t>Yes</t>
        </is>
      </c>
      <c r="E88" s="32" t="inlineStr">
        <is>
          <t>Marc Stanley</t>
        </is>
      </c>
      <c r="F88" s="32" t="inlineStr">
        <is>
          <t>US Ambassador to Argentina</t>
        </is>
      </c>
      <c r="G88" s="32" t="inlineStr">
        <is>
          <t>United States</t>
        </is>
      </c>
      <c r="H88" s="32" t="inlineStr">
        <is>
          <t>speech</t>
        </is>
      </c>
      <c r="I88" s="32" t="inlineStr">
        <is>
          <t>Event at Inter-American Dialogue, Washington</t>
        </is>
      </c>
      <c r="J88" s="32" t="inlineStr">
        <is>
          <t>Stanley said the US needs more tools to compete with China in the region, citing a lithium trade initiative among planned US-Argentina efforts.</t>
        </is>
      </c>
      <c r="K88" s="32" t="inlineStr">
        <is>
          <t>lithium</t>
        </is>
      </c>
      <c r="L88" s="32" t="inlineStr">
        <is>
          <t>geopolitics security, trade deals offtake</t>
        </is>
      </c>
      <c r="M88" s="31" t="inlineStr">
        <is>
          <t>negative</t>
        </is>
      </c>
      <c r="N88" s="31" t="inlineStr">
        <is>
          <t>positive</t>
        </is>
      </c>
      <c r="O88" s="32" t="inlineStr"/>
      <c r="P88" s="32" t="inlineStr"/>
      <c r="Q88" s="31" t="inlineStr">
        <is>
          <t>es</t>
        </is>
      </c>
      <c r="R88" s="33" t="inlineStr">
        <is>
          <t>Inter-American Dialogue (reprinting Clarín)</t>
        </is>
      </c>
      <c r="S88" s="32" t="inlineStr">
        <is>
          <t>think tank or ngo</t>
        </is>
      </c>
      <c r="T88" s="32" t="inlineStr">
        <is>
          <t>secondary reported</t>
        </is>
      </c>
      <c r="U88" s="32" t="inlineStr">
        <is>
          <t>Only partial quote ('más herramientas') available; paraphrased.</t>
        </is>
      </c>
    </row>
    <row r="89" ht="45.75" customHeight="1" s="24">
      <c r="A89" s="31" t="inlineStr">
        <is>
          <t>PS-0088</t>
        </is>
      </c>
      <c r="B89" s="31" t="inlineStr">
        <is>
          <t>2023-05-04</t>
        </is>
      </c>
      <c r="C89" s="31" t="inlineStr">
        <is>
          <t>Mexico</t>
        </is>
      </c>
      <c r="D89" s="31" t="inlineStr">
        <is>
          <t>No</t>
        </is>
      </c>
      <c r="E89" s="32" t="inlineStr">
        <is>
          <t>Andrés Manuel López Obrador</t>
        </is>
      </c>
      <c r="F89" s="32" t="inlineStr">
        <is>
          <t>President of Mexico</t>
        </is>
      </c>
      <c r="G89" s="32" t="inlineStr">
        <is>
          <t>LatAm executive</t>
        </is>
      </c>
      <c r="H89" s="32" t="inlineStr">
        <is>
          <t>press conference</t>
        </is>
      </c>
      <c r="I89" s="32" t="inlineStr">
        <is>
          <t>Mañanera after Congress approved 2023 Mining Law reform</t>
        </is>
      </c>
      <c r="J89" s="32" t="inlineStr">
        <is>
          <t>AMLO said the newly approved Mining Law would apply to future concessions and that his government would not grant any new concessions, recalling environmental damage from gold mining at Cerro de San Pedro.</t>
        </is>
      </c>
      <c r="K89" s="32" t="inlineStr">
        <is>
          <t>mining general</t>
        </is>
      </c>
      <c r="L89" s="32" t="inlineStr">
        <is>
          <t>state control nationalization, environment water</t>
        </is>
      </c>
      <c r="M89" s="31" t="inlineStr">
        <is>
          <t>not mentioned</t>
        </is>
      </c>
      <c r="N89" s="31" t="inlineStr">
        <is>
          <t>not mentioned</t>
        </is>
      </c>
      <c r="O89" s="32" t="inlineStr">
        <is>
          <t>una ley para aplicarse en el futuro cuando se entreguen concesiones, si es que van a entregar concesiones, en el caso de nosotros no vamos a entregar concesiones</t>
        </is>
      </c>
      <c r="P89" s="32" t="inlineStr">
        <is>
          <t>a law to be applied in the future when concessions are granted, if they are granted; in our case we will not grant concessions</t>
        </is>
      </c>
      <c r="Q89" s="31" t="inlineStr">
        <is>
          <t>es</t>
        </is>
      </c>
      <c r="R89" s="33" t="inlineStr">
        <is>
          <t>N+</t>
        </is>
      </c>
      <c r="S89" s="32" t="inlineStr">
        <is>
          <t>news media</t>
        </is>
      </c>
      <c r="T89" s="32" t="inlineStr">
        <is>
          <t>secondary reported</t>
        </is>
      </c>
      <c r="U89" s="32" t="inlineStr"/>
    </row>
    <row r="90" ht="45.75" customHeight="1" s="24">
      <c r="A90" s="31" t="inlineStr">
        <is>
          <t>PS-0089</t>
        </is>
      </c>
      <c r="B90" s="31" t="inlineStr">
        <is>
          <t>2023-05-08</t>
        </is>
      </c>
      <c r="C90" s="31" t="inlineStr">
        <is>
          <t>Mexico</t>
        </is>
      </c>
      <c r="D90" s="31" t="inlineStr">
        <is>
          <t>No</t>
        </is>
      </c>
      <c r="E90" s="32" t="inlineStr">
        <is>
          <t>Andrés Manuel López Obrador</t>
        </is>
      </c>
      <c r="F90" s="32" t="inlineStr">
        <is>
          <t>President of Mexico</t>
        </is>
      </c>
      <c r="G90" s="32" t="inlineStr">
        <is>
          <t>LatAm executive</t>
        </is>
      </c>
      <c r="H90" s="32" t="inlineStr">
        <is>
          <t>bill or law</t>
        </is>
      </c>
      <c r="I90" s="32" t="inlineStr">
        <is>
          <t>Promulgation of Mining Law reform in Diario Oficial</t>
        </is>
      </c>
      <c r="J90" s="32" t="inlineStr">
        <is>
          <t>The reform package cutting mining concessions to up to 80 years and water concessions to 30 years was published in the official gazette; AMLO argued it did not harm investors, noting miners had earned record profits.</t>
        </is>
      </c>
      <c r="K90" s="32" t="inlineStr">
        <is>
          <t>mining general</t>
        </is>
      </c>
      <c r="L90" s="32" t="inlineStr">
        <is>
          <t>state control nationalization, environment water, royalties taxation</t>
        </is>
      </c>
      <c r="M90" s="31" t="inlineStr">
        <is>
          <t>not mentioned</t>
        </is>
      </c>
      <c r="N90" s="31" t="inlineStr">
        <is>
          <t>not mentioned</t>
        </is>
      </c>
      <c r="O90" s="32" t="inlineStr">
        <is>
          <t>han obtenido utilidades y en algunos casos, como nunca</t>
        </is>
      </c>
      <c r="P90" s="32" t="inlineStr">
        <is>
          <t>they have obtained profits, and in some cases like never before</t>
        </is>
      </c>
      <c r="Q90" s="31" t="inlineStr">
        <is>
          <t>es</t>
        </is>
      </c>
      <c r="R90" s="33" t="inlineStr">
        <is>
          <t>Zeta Tijuana</t>
        </is>
      </c>
      <c r="S90" s="32" t="inlineStr">
        <is>
          <t>news media</t>
        </is>
      </c>
      <c r="T90" s="32" t="inlineStr">
        <is>
          <t>secondary reported</t>
        </is>
      </c>
      <c r="U90" s="32" t="inlineStr">
        <is>
          <t>Quote date approximate (reported with promulgation).</t>
        </is>
      </c>
    </row>
    <row r="91" ht="45.75" customHeight="1" s="24">
      <c r="A91" s="31" t="inlineStr">
        <is>
          <t>PS-0090</t>
        </is>
      </c>
      <c r="B91" s="31" t="inlineStr">
        <is>
          <t>2023-05-08</t>
        </is>
      </c>
      <c r="C91" s="31" t="inlineStr">
        <is>
          <t>Mexico</t>
        </is>
      </c>
      <c r="D91" s="31" t="inlineStr">
        <is>
          <t>No</t>
        </is>
      </c>
      <c r="E91" s="32" t="inlineStr">
        <is>
          <t>Raquel Buenrostro</t>
        </is>
      </c>
      <c r="F91" s="32" t="inlineStr">
        <is>
          <t>Secretary of Economy of Mexico</t>
        </is>
      </c>
      <c r="G91" s="32" t="inlineStr">
        <is>
          <t>LatAm executive</t>
        </is>
      </c>
      <c r="H91" s="32" t="inlineStr">
        <is>
          <t>press conference</t>
        </is>
      </c>
      <c r="I91" s="32" t="inlineStr">
        <is>
          <t>Explaining new Mining Law</t>
        </is>
      </c>
      <c r="J91" s="32" t="inlineStr">
        <is>
          <t>Buenrostro said that under the new law concessions in water-scarce areas would only be granted with presidential authorization and that there would be no new concessions because people have priority over water.</t>
        </is>
      </c>
      <c r="K91" s="32" t="inlineStr">
        <is>
          <t>mining general</t>
        </is>
      </c>
      <c r="L91" s="32" t="inlineStr">
        <is>
          <t>environment water, state control nationalization</t>
        </is>
      </c>
      <c r="M91" s="31" t="inlineStr">
        <is>
          <t>not mentioned</t>
        </is>
      </c>
      <c r="N91" s="31" t="inlineStr">
        <is>
          <t>not mentioned</t>
        </is>
      </c>
      <c r="O91" s="32" t="inlineStr">
        <is>
          <t>No habrá concesiones nuevas porque no hay agua y la prioridad la tiene la gente</t>
        </is>
      </c>
      <c r="P91" s="32" t="inlineStr">
        <is>
          <t>There will be no new concessions because there is no water and people have priority</t>
        </is>
      </c>
      <c r="Q91" s="31" t="inlineStr">
        <is>
          <t>es</t>
        </is>
      </c>
      <c r="R91" s="33" t="inlineStr">
        <is>
          <t>El Financiero</t>
        </is>
      </c>
      <c r="S91" s="32" t="inlineStr">
        <is>
          <t>news media</t>
        </is>
      </c>
      <c r="T91" s="32" t="inlineStr">
        <is>
          <t>secondary reported</t>
        </is>
      </c>
      <c r="U91" s="32" t="inlineStr">
        <is>
          <t>Exact date of remark approximate (article date).</t>
        </is>
      </c>
    </row>
    <row r="92" ht="45.75" customHeight="1" s="24">
      <c r="A92" s="31" t="inlineStr">
        <is>
          <t>PS-0091</t>
        </is>
      </c>
      <c r="B92" s="31" t="inlineStr">
        <is>
          <t>2023-05-09</t>
        </is>
      </c>
      <c r="C92" s="31" t="inlineStr">
        <is>
          <t>Brazil</t>
        </is>
      </c>
      <c r="D92" s="31" t="inlineStr">
        <is>
          <t>Yes</t>
        </is>
      </c>
      <c r="E92" s="32" t="inlineStr">
        <is>
          <t>Romeu Zema</t>
        </is>
      </c>
      <c r="F92" s="32" t="inlineStr">
        <is>
          <t>Governor of Minas Gerais</t>
        </is>
      </c>
      <c r="G92" s="32" t="inlineStr">
        <is>
          <t>LatAm executive</t>
        </is>
      </c>
      <c r="H92" s="32" t="inlineStr">
        <is>
          <t>speech</t>
        </is>
      </c>
      <c r="I92" s="32" t="inlineStr">
        <is>
          <t>Launch of 'Vale do Lítio' project at Nasdaq, New York</t>
        </is>
      </c>
      <c r="J92" s="32" t="inlineStr">
        <is>
          <t>Launching the Lithium Valley initiative at Nasdaq, Zema said Minas Gerais would proceed in stages from extraction to processing and purification and had begun contacts with battery makers, pledging careful but solution-oriented environmental licensing.</t>
        </is>
      </c>
      <c r="K92" s="32" t="inlineStr">
        <is>
          <t>lithium</t>
        </is>
      </c>
      <c r="L92" s="32" t="inlineStr">
        <is>
          <t>foreign investment, value added industrialization, environment water, energy transition</t>
        </is>
      </c>
      <c r="M92" s="31" t="inlineStr">
        <is>
          <t>not mentioned</t>
        </is>
      </c>
      <c r="N92" s="31" t="inlineStr">
        <is>
          <t>not mentioned</t>
        </is>
      </c>
      <c r="O92" s="32" t="inlineStr">
        <is>
          <t>Estamos começando já acima do básico, não estamos vendendo o minério sem beneficiamento</t>
        </is>
      </c>
      <c r="P92" s="32" t="inlineStr">
        <is>
          <t>We are already starting above the basics; we are not selling the ore without processing</t>
        </is>
      </c>
      <c r="Q92" s="31" t="inlineStr">
        <is>
          <t>pt</t>
        </is>
      </c>
      <c r="R92" s="33" t="inlineStr">
        <is>
          <t>Itatiaia</t>
        </is>
      </c>
      <c r="S92" s="32" t="inlineStr">
        <is>
          <t>news media</t>
        </is>
      </c>
      <c r="T92" s="32" t="inlineStr">
        <is>
          <t>secondary reported</t>
        </is>
      </c>
      <c r="U92" s="32" t="inlineStr"/>
    </row>
    <row r="93" ht="45.75" customHeight="1" s="24">
      <c r="A93" s="31" t="inlineStr">
        <is>
          <t>PS-0092</t>
        </is>
      </c>
      <c r="B93" s="31" t="inlineStr">
        <is>
          <t>2023-05-09</t>
        </is>
      </c>
      <c r="C93" s="31" t="inlineStr">
        <is>
          <t>Mexico</t>
        </is>
      </c>
      <c r="D93" s="31" t="inlineStr">
        <is>
          <t>No</t>
        </is>
      </c>
      <c r="E93" s="32" t="inlineStr">
        <is>
          <t>Pablo Taddei</t>
        </is>
      </c>
      <c r="F93" s="32" t="inlineStr">
        <is>
          <t>Director General of LitioMx</t>
        </is>
      </c>
      <c r="G93" s="32" t="inlineStr">
        <is>
          <t>LatAm state company</t>
        </is>
      </c>
      <c r="H93" s="32" t="inlineStr">
        <is>
          <t>interview</t>
        </is>
      </c>
      <c r="I93" s="32" t="inlineStr">
        <is>
          <t>Interview on LitioMx plans</t>
        </is>
      </c>
      <c r="J93" s="32" t="inlineStr">
        <is>
          <t>Taddei said existing concessions would be respected, that the state's role vis-a-vis private participation had been misinterpreted, and that his duty was to obtain lithium in the most economically viable way.</t>
        </is>
      </c>
      <c r="K93" s="32" t="inlineStr">
        <is>
          <t>lithium</t>
        </is>
      </c>
      <c r="L93" s="32" t="inlineStr">
        <is>
          <t>state control nationalization, foreign investment, technology transfer</t>
        </is>
      </c>
      <c r="M93" s="31" t="inlineStr">
        <is>
          <t>not mentioned</t>
        </is>
      </c>
      <c r="N93" s="31" t="inlineStr">
        <is>
          <t>not mentioned</t>
        </is>
      </c>
      <c r="O93" s="32" t="inlineStr">
        <is>
          <t>El Estado mexicano, aunque suene trillado, es respetuoso de la ley y eso ha sido una orden del presidente desde el inicio. Se respetarán las concesiones</t>
        </is>
      </c>
      <c r="P93" s="32" t="inlineStr">
        <is>
          <t>The Mexican state, trite as it sounds, respects the law and that has been the president's order from the start. Concessions will be respected</t>
        </is>
      </c>
      <c r="Q93" s="31" t="inlineStr">
        <is>
          <t>es</t>
        </is>
      </c>
      <c r="R93" s="33" t="inlineStr">
        <is>
          <t>Expansión</t>
        </is>
      </c>
      <c r="S93" s="32" t="inlineStr">
        <is>
          <t>news media</t>
        </is>
      </c>
      <c r="T93" s="32" t="inlineStr">
        <is>
          <t>secondary reported</t>
        </is>
      </c>
      <c r="U93" s="32" t="inlineStr">
        <is>
          <t>Article reports first production expected around 2028.</t>
        </is>
      </c>
    </row>
    <row r="94" ht="45.75" customHeight="1" s="24">
      <c r="A94" s="31" t="inlineStr">
        <is>
          <t>PS-0093</t>
        </is>
      </c>
      <c r="B94" s="31" t="inlineStr">
        <is>
          <t>2023-05-10</t>
        </is>
      </c>
      <c r="C94" s="31" t="inlineStr">
        <is>
          <t>Brazil</t>
        </is>
      </c>
      <c r="D94" s="31" t="inlineStr">
        <is>
          <t>Yes</t>
        </is>
      </c>
      <c r="E94" s="32" t="inlineStr">
        <is>
          <t>Alexandre Silveira</t>
        </is>
      </c>
      <c r="F94" s="32" t="inlineStr">
        <is>
          <t>Minister of Mines and Energy of Brazil</t>
        </is>
      </c>
      <c r="G94" s="32" t="inlineStr">
        <is>
          <t>LatAm executive</t>
        </is>
      </c>
      <c r="H94" s="32" t="inlineStr">
        <is>
          <t>speech</t>
        </is>
      </c>
      <c r="I94" s="32" t="inlineStr">
        <is>
          <t>Event on Vale do Lítio / mining in Minas Gerais</t>
        </is>
      </c>
      <c r="J94" s="32" t="inlineStr">
        <is>
          <t>Silveira stressed that Minas Gerais's economy depends on mining beyond iron ore, citing Jequitinhonha lithium, niobium and potash as strategic minerals for the energy transition, as his ministry engaged in Zema's Lithium Valley investor talks.</t>
        </is>
      </c>
      <c r="K94" s="32" t="inlineStr">
        <is>
          <t>lithium, niobium, iron ore</t>
        </is>
      </c>
      <c r="L94" s="32" t="inlineStr">
        <is>
          <t>energy transition, foreign investment</t>
        </is>
      </c>
      <c r="M94" s="31" t="inlineStr">
        <is>
          <t>not mentioned</t>
        </is>
      </c>
      <c r="N94" s="31" t="inlineStr">
        <is>
          <t>not mentioned</t>
        </is>
      </c>
      <c r="O94" s="32" t="inlineStr">
        <is>
          <t>Não é só a questão do minério de ferro. Os minerais estratégicos (também): o lítio do Vale do Jequitinhonha, o nióbio, o potássio</t>
        </is>
      </c>
      <c r="P94" s="32" t="inlineStr">
        <is>
          <t>It is not only about iron ore. Strategic minerals too: Jequitinhonha Valley lithium, niobium, potash</t>
        </is>
      </c>
      <c r="Q94" s="31" t="inlineStr">
        <is>
          <t>pt</t>
        </is>
      </c>
      <c r="R94" s="33" t="inlineStr">
        <is>
          <t>Itatiaia</t>
        </is>
      </c>
      <c r="S94" s="32" t="inlineStr">
        <is>
          <t>news media</t>
        </is>
      </c>
      <c r="T94" s="32" t="inlineStr">
        <is>
          <t>secondary reported</t>
        </is>
      </c>
      <c r="U94" s="32" t="inlineStr">
        <is>
          <t>Date = article date; statement may be earlier</t>
        </is>
      </c>
    </row>
    <row r="95" ht="45.75" customHeight="1" s="24">
      <c r="A95" s="31" t="inlineStr">
        <is>
          <t>PS-0094</t>
        </is>
      </c>
      <c r="B95" s="31" t="inlineStr">
        <is>
          <t>2023-05-15</t>
        </is>
      </c>
      <c r="C95" s="31" t="inlineStr">
        <is>
          <t>Chile</t>
        </is>
      </c>
      <c r="D95" s="31" t="inlineStr">
        <is>
          <t>Yes</t>
        </is>
      </c>
      <c r="E95" s="32" t="inlineStr">
        <is>
          <t>Bernadette Meehan</t>
        </is>
      </c>
      <c r="F95" s="32" t="inlineStr">
        <is>
          <t>U.S. Ambassador to Chile</t>
        </is>
      </c>
      <c r="G95" s="32" t="inlineStr">
        <is>
          <t>United States</t>
        </is>
      </c>
      <c r="H95" s="32" t="inlineStr">
        <is>
          <t>interview</t>
        </is>
      </c>
      <c r="I95" s="32" t="inlineStr">
        <is>
          <t>Interview on National Lithium Strategy and US-China competition</t>
        </is>
      </c>
      <c r="J95" s="32" t="inlineStr">
        <is>
          <t>The US ambassador said it was wrong to call Chile's lithium strategy a nationalisation, said US firms wanted to be part of the industry, denied the US forces Chile to choose sides and called for fair competition with state-backed firms.</t>
        </is>
      </c>
      <c r="K95" s="32" t="inlineStr">
        <is>
          <t>lithium</t>
        </is>
      </c>
      <c r="L95" s="32" t="inlineStr">
        <is>
          <t>foreign investment, geopolitics security, state control nationalization</t>
        </is>
      </c>
      <c r="M95" s="31" t="inlineStr">
        <is>
          <t>negative</t>
        </is>
      </c>
      <c r="N95" s="31" t="inlineStr">
        <is>
          <t>positive</t>
        </is>
      </c>
      <c r="O95" s="32" t="inlineStr">
        <is>
          <t>es un error decir que es una nacionalización de la industria</t>
        </is>
      </c>
      <c r="P95" s="32" t="inlineStr">
        <is>
          <t>it is a mistake to say it is a nationalisation of the industry</t>
        </is>
      </c>
      <c r="Q95" s="31" t="inlineStr">
        <is>
          <t>es</t>
        </is>
      </c>
      <c r="R95" s="33" t="inlineStr">
        <is>
          <t>Redimin</t>
        </is>
      </c>
      <c r="S95" s="32" t="inlineStr">
        <is>
          <t>news media</t>
        </is>
      </c>
      <c r="T95" s="32" t="inlineStr">
        <is>
          <t>secondary reported</t>
        </is>
      </c>
      <c r="U95" s="32" t="inlineStr">
        <is>
          <t>stance_china negative inferred from remarks on state-backed firms and coercion (China implied)</t>
        </is>
      </c>
    </row>
    <row r="96" ht="45.75" customHeight="1" s="24">
      <c r="A96" s="31" t="inlineStr">
        <is>
          <t>PS-0095</t>
        </is>
      </c>
      <c r="B96" s="31" t="inlineStr">
        <is>
          <t>2023-05-16</t>
        </is>
      </c>
      <c r="C96" s="31" t="inlineStr">
        <is>
          <t>Argentina</t>
        </is>
      </c>
      <c r="D96" s="31" t="inlineStr">
        <is>
          <t>Yes</t>
        </is>
      </c>
      <c r="E96" s="32" t="inlineStr">
        <is>
          <t>Juan Carlos Alderete</t>
        </is>
      </c>
      <c r="F96" s="32" t="inlineStr">
        <is>
          <t>National Deputy (Frente de Todos - CCC)</t>
        </is>
      </c>
      <c r="G96" s="32" t="inlineStr">
        <is>
          <t>LatAm legislature</t>
        </is>
      </c>
      <c r="H96" s="32" t="inlineStr">
        <is>
          <t>interview</t>
        </is>
      </c>
      <c r="I96" s="32" t="inlineStr">
        <is>
          <t>Defending lithium strategic-resource bill</t>
        </is>
      </c>
      <c r="J96" s="32" t="inlineStr">
        <is>
          <t>Alderete said his bill does not nationalize lithium but declares it strategic, keeping it provincial while the national state sets minimal regulation of companies and pushes industrialization.</t>
        </is>
      </c>
      <c r="K96" s="32" t="inlineStr">
        <is>
          <t>lithium</t>
        </is>
      </c>
      <c r="L96" s="32" t="inlineStr">
        <is>
          <t>state control nationalization, sovereignty, value added industrialization</t>
        </is>
      </c>
      <c r="M96" s="31" t="inlineStr">
        <is>
          <t>not mentioned</t>
        </is>
      </c>
      <c r="N96" s="31" t="inlineStr">
        <is>
          <t>not mentioned</t>
        </is>
      </c>
      <c r="O96" s="32" t="inlineStr">
        <is>
          <t>No es nacionalizar el litio, sino declararlo recurso estratégico, el litio seguirá siendo de las provincias</t>
        </is>
      </c>
      <c r="P96" s="32" t="inlineStr">
        <is>
          <t>It is not nationalizing lithium but declaring it a strategic resource; lithium will remain the provinces'</t>
        </is>
      </c>
      <c r="Q96" s="31" t="inlineStr">
        <is>
          <t>es</t>
        </is>
      </c>
      <c r="R96" s="33" t="inlineStr">
        <is>
          <t>Bloomberg Línea</t>
        </is>
      </c>
      <c r="S96" s="32" t="inlineStr">
        <is>
          <t>news media</t>
        </is>
      </c>
      <c r="T96" s="32" t="inlineStr">
        <is>
          <t>secondary reported</t>
        </is>
      </c>
      <c r="U96" s="32" t="inlineStr"/>
    </row>
    <row r="97" ht="45.75" customHeight="1" s="24">
      <c r="A97" s="31" t="inlineStr">
        <is>
          <t>PS-0399</t>
        </is>
      </c>
      <c r="B97" s="31" t="inlineStr">
        <is>
          <t>2023-06-08</t>
        </is>
      </c>
      <c r="C97" s="31" t="inlineStr">
        <is>
          <t>Guyana</t>
        </is>
      </c>
      <c r="D97" s="31" t="inlineStr">
        <is>
          <t>Yes</t>
        </is>
      </c>
      <c r="E97" s="32" t="inlineStr">
        <is>
          <t>Bharrat Jagdeo</t>
        </is>
      </c>
      <c r="F97" s="32" t="inlineStr">
        <is>
          <t>Vice President of Guyana</t>
        </is>
      </c>
      <c r="G97" s="32" t="inlineStr">
        <is>
          <t>LatAm executive</t>
        </is>
      </c>
      <c r="H97" s="32" t="inlineStr">
        <is>
          <t>press conference</t>
        </is>
      </c>
      <c r="I97" s="32" t="inlineStr">
        <is>
          <t>Press conference at Freedom House after a Matthews Ridge outreach; Guyana Manganese Inc. (Bosai) disputes commitments made by the previous Canadian owner</t>
        </is>
      </c>
      <c r="J97" s="32" t="inlineStr">
        <is>
          <t>Jagdeo said the government would make the Chinese-owned Guyana Manganese Inc. honour the community commitments made when its licences were granted, rejecting the company's view that the previous owner's promises no longer apply, because the company had received substantial concessions.</t>
        </is>
      </c>
      <c r="K97" s="32" t="inlineStr">
        <is>
          <t>manganese</t>
        </is>
      </c>
      <c r="L97" s="32" t="inlineStr">
        <is>
          <t>labor social conflict, foreign investment, corruption governance</t>
        </is>
      </c>
      <c r="M97" s="31" t="inlineStr">
        <is>
          <t>mixed</t>
        </is>
      </c>
      <c r="N97" s="31" t="inlineStr">
        <is>
          <t>not mentioned</t>
        </is>
      </c>
      <c r="O97" s="32" t="inlineStr">
        <is>
          <t>the commitments have to be met because they had quite a bit of concessions granted to them</t>
        </is>
      </c>
      <c r="P97" s="32" t="inlineStr">
        <is>
          <t>the commitments have to be met because they had quite a bit of concessions granted to them</t>
        </is>
      </c>
      <c r="Q97" s="31" t="inlineStr">
        <is>
          <t>en</t>
        </is>
      </c>
      <c r="R97" s="33" t="inlineStr">
        <is>
          <t>Kaieteur News</t>
        </is>
      </c>
      <c r="S97" s="32" t="inlineStr">
        <is>
          <t>news media</t>
        </is>
      </c>
      <c r="T97" s="32" t="inlineStr">
        <is>
          <t>secondary reported</t>
        </is>
      </c>
      <c r="U97" s="32" t="inlineStr">
        <is>
          <t>Coded by an AI session (2026-10-09) under the README vocabularies, from web-search results that cite the page; the page itself was not opened. Article of 11 June 2023 reporting a press conference held 'on Thursday' (8 June 2023).</t>
        </is>
      </c>
    </row>
    <row r="98" ht="45.75" customHeight="1" s="24">
      <c r="A98" s="31" t="inlineStr">
        <is>
          <t>PS-0096</t>
        </is>
      </c>
      <c r="B98" s="31" t="inlineStr">
        <is>
          <t>2023-06-20</t>
        </is>
      </c>
      <c r="C98" s="31" t="inlineStr">
        <is>
          <t>Argentina</t>
        </is>
      </c>
      <c r="D98" s="31" t="inlineStr">
        <is>
          <t>Yes</t>
        </is>
      </c>
      <c r="E98" s="32" t="inlineStr">
        <is>
          <t>Alberto Fernández</t>
        </is>
      </c>
      <c r="F98" s="32" t="inlineStr">
        <is>
          <t>President of Argentina</t>
        </is>
      </c>
      <c r="G98" s="32" t="inlineStr">
        <is>
          <t>LatAm executive</t>
        </is>
      </c>
      <c r="H98" s="32" t="inlineStr">
        <is>
          <t>social media post</t>
        </is>
      </c>
      <c r="I98" s="32" t="inlineStr">
        <is>
          <t>Jujuy constitutional reform protests</t>
        </is>
      </c>
      <c r="J98" s="32" t="inlineStr">
        <is>
          <t>Fernández held Governor Morales solely responsible for the crisis in Jujuy, saying the constitutional reform ignores international agreements, does not listen to indigenous peoples and denies the right to protest.</t>
        </is>
      </c>
      <c r="K98" s="32" t="inlineStr">
        <is>
          <t>lithium</t>
        </is>
      </c>
      <c r="L98" s="32" t="inlineStr">
        <is>
          <t>indigenous community rights, labor social conflict</t>
        </is>
      </c>
      <c r="M98" s="31" t="inlineStr">
        <is>
          <t>not mentioned</t>
        </is>
      </c>
      <c r="N98" s="31" t="inlineStr">
        <is>
          <t>not mentioned</t>
        </is>
      </c>
      <c r="O98" s="32" t="inlineStr">
        <is>
          <t>Usted es el único responsable de haber llevado a nuestra querida provincia de Jujuy a esta situación límite</t>
        </is>
      </c>
      <c r="P98" s="32" t="inlineStr">
        <is>
          <t>You are solely responsible for bringing our beloved province of Jujuy to this breaking point</t>
        </is>
      </c>
      <c r="Q98" s="31" t="inlineStr">
        <is>
          <t>es</t>
        </is>
      </c>
      <c r="R98" s="33" t="inlineStr">
        <is>
          <t>Los Andes</t>
        </is>
      </c>
      <c r="S98" s="32" t="inlineStr">
        <is>
          <t>news media</t>
        </is>
      </c>
      <c r="T98" s="32" t="inlineStr">
        <is>
          <t>secondary reported</t>
        </is>
      </c>
      <c r="U98" s="32" t="inlineStr">
        <is>
          <t>Statement does not explicitly mention lithium; coded lithium because the reform conflict centred on lithium/land rights of indigenous communities.</t>
        </is>
      </c>
    </row>
    <row r="99" ht="45.75" customHeight="1" s="24">
      <c r="A99" s="31" t="inlineStr">
        <is>
          <t>PS-0097</t>
        </is>
      </c>
      <c r="B99" s="31" t="inlineStr">
        <is>
          <t>2023-06-20</t>
        </is>
      </c>
      <c r="C99" s="31" t="inlineStr">
        <is>
          <t>Argentina</t>
        </is>
      </c>
      <c r="D99" s="31" t="inlineStr">
        <is>
          <t>Yes</t>
        </is>
      </c>
      <c r="E99" s="32" t="inlineStr">
        <is>
          <t>Gerardo Morales</t>
        </is>
      </c>
      <c r="F99" s="32" t="inlineStr">
        <is>
          <t>Governor of Jujuy</t>
        </is>
      </c>
      <c r="G99" s="32" t="inlineStr">
        <is>
          <t>LatAm executive</t>
        </is>
      </c>
      <c r="H99" s="32" t="inlineStr">
        <is>
          <t>official statement</t>
        </is>
      </c>
      <c r="I99" s="32" t="inlineStr">
        <is>
          <t>Jujuy constitutional reform protests</t>
        </is>
      </c>
      <c r="J99" s="32" t="inlineStr">
        <is>
          <t>Morales blamed President Fernández and Vice President Kirchner for the extreme violence in Jujuy and criticized the sending of activists from elsewhere; he later described the events as an attempted coup.</t>
        </is>
      </c>
      <c r="K99" s="32" t="inlineStr">
        <is>
          <t>lithium</t>
        </is>
      </c>
      <c r="L99" s="32" t="inlineStr">
        <is>
          <t>labor social conflict, indigenous community rights</t>
        </is>
      </c>
      <c r="M99" s="31" t="inlineStr">
        <is>
          <t>not mentioned</t>
        </is>
      </c>
      <c r="N99" s="31" t="inlineStr">
        <is>
          <t>not mentioned</t>
        </is>
      </c>
      <c r="O99" s="32" t="inlineStr">
        <is>
          <t>Hago responsable al Presidente y a la Vicepresidenta de la extrema violencia que se está viviendo en la provincia de Jujuy</t>
        </is>
      </c>
      <c r="P99" s="32" t="inlineStr">
        <is>
          <t>I hold the President and Vice President responsible for the extreme violence in the province of Jujuy</t>
        </is>
      </c>
      <c r="Q99" s="31" t="inlineStr">
        <is>
          <t>es</t>
        </is>
      </c>
      <c r="R99" s="33" t="inlineStr">
        <is>
          <t>Los Andes</t>
        </is>
      </c>
      <c r="S99" s="32" t="inlineStr">
        <is>
          <t>news media</t>
        </is>
      </c>
      <c r="T99" s="32" t="inlineStr">
        <is>
          <t>secondary reported</t>
        </is>
      </c>
      <c r="U99" s="32" t="inlineStr">
        <is>
          <t>No explicit lithium mention; context is the lithium-linked reform conflict.</t>
        </is>
      </c>
    </row>
    <row r="100" ht="45.75" customHeight="1" s="24">
      <c r="A100" s="31" t="inlineStr">
        <is>
          <t>PS-0098</t>
        </is>
      </c>
      <c r="B100" s="31" t="inlineStr">
        <is>
          <t>2023-06-30</t>
        </is>
      </c>
      <c r="C100" s="31" t="inlineStr">
        <is>
          <t>Colombia</t>
        </is>
      </c>
      <c r="D100" s="31" t="inlineStr">
        <is>
          <t>Yes</t>
        </is>
      </c>
      <c r="E100" s="32" t="inlineStr">
        <is>
          <t>Gustavo Petro</t>
        </is>
      </c>
      <c r="F100" s="32" t="inlineStr">
        <is>
          <t>President of Colombia</t>
        </is>
      </c>
      <c r="G100" s="32" t="inlineStr">
        <is>
          <t>LatAm executive</t>
        </is>
      </c>
      <c r="H100" s="32" t="inlineStr">
        <is>
          <t>speech</t>
        </is>
      </c>
      <c r="I100" s="32" t="inlineStr">
        <is>
          <t>Event in Albania, La Guajira (Cerrejón area)</t>
        </is>
      </c>
      <c r="J100" s="32" t="inlineStr">
        <is>
          <t>Petro said there could be no expansion of open-pit coal mining in Colombia, calling Cerrejón's expansion economically absurd given the expected collapse of world coal demand.</t>
        </is>
      </c>
      <c r="K100" s="32" t="inlineStr">
        <is>
          <t>mining general</t>
        </is>
      </c>
      <c r="L100" s="32" t="inlineStr">
        <is>
          <t>energy transition, environment water, labor social conflict</t>
        </is>
      </c>
      <c r="M100" s="31" t="inlineStr">
        <is>
          <t>not mentioned</t>
        </is>
      </c>
      <c r="N100" s="31" t="inlineStr">
        <is>
          <t>not mentioned</t>
        </is>
      </c>
      <c r="O100" s="32" t="inlineStr">
        <is>
          <t>No puede haber expansiones de explotación de carbón a cielo abierto en Colombia</t>
        </is>
      </c>
      <c r="P100" s="32" t="inlineStr">
        <is>
          <t>There can be no expansions of open-pit coal mining in Colombia</t>
        </is>
      </c>
      <c r="Q100" s="31" t="inlineStr">
        <is>
          <t>es</t>
        </is>
      </c>
      <c r="R100" s="33" t="inlineStr">
        <is>
          <t>Blu Radio</t>
        </is>
      </c>
      <c r="S100" s="32" t="inlineStr">
        <is>
          <t>news media</t>
        </is>
      </c>
      <c r="T100" s="32" t="inlineStr">
        <is>
          <t>secondary reported</t>
        </is>
      </c>
      <c r="U100" s="32" t="inlineStr">
        <is>
          <t>Coal is outside mineral vocabulary; coded mining_general. El Espectador reports same speech.</t>
        </is>
      </c>
    </row>
    <row r="101" ht="45.75" customHeight="1" s="24">
      <c r="A101" s="31" t="inlineStr">
        <is>
          <t>PS-0410</t>
        </is>
      </c>
      <c r="B101" s="31" t="inlineStr">
        <is>
          <t>2023-07-07</t>
        </is>
      </c>
      <c r="C101" s="31" t="inlineStr">
        <is>
          <t>Guyana</t>
        </is>
      </c>
      <c r="D101" s="31" t="inlineStr">
        <is>
          <t>Yes</t>
        </is>
      </c>
      <c r="E101" s="32" t="inlineStr">
        <is>
          <t>Guo Haiyan</t>
        </is>
      </c>
      <c r="F101" s="32" t="inlineStr">
        <is>
          <t>Ambassador of China to Guyana</t>
        </is>
      </c>
      <c r="G101" s="32" t="inlineStr">
        <is>
          <t>China</t>
        </is>
      </c>
      <c r="H101" s="32" t="inlineStr">
        <is>
          <t>speech</t>
        </is>
      </c>
      <c r="I101" s="32" t="inlineStr">
        <is>
          <t>Commissioning ceremony of Kiln #15 and the Maz project of Bosai Mineral Group (Guyana), Linden, with President Ali</t>
        </is>
      </c>
      <c r="J101" s="32" t="inlineStr">
        <is>
          <t>Guo said China-Guyana mining cooperation was significant, that Chinese mining firms had invested heavily and created more than 2,500 local jobs, and that Beijing guides its companies to abide by Guyana's laws, operate in good faith and meet their social and environmental responsibilities.</t>
        </is>
      </c>
      <c r="K101" s="32" t="inlineStr">
        <is>
          <t>bauxite aluminum</t>
        </is>
      </c>
      <c r="L101" s="32" t="inlineStr">
        <is>
          <t>foreign investment, environment water, labor social conflict</t>
        </is>
      </c>
      <c r="M101" s="31" t="inlineStr">
        <is>
          <t>positive</t>
        </is>
      </c>
      <c r="N101" s="31" t="inlineStr">
        <is>
          <t>not mentioned</t>
        </is>
      </c>
      <c r="O101" s="32" t="inlineStr">
        <is>
          <t>Chinese Government is guiding Chinese companies to fully abide by Guyana's laws, operate in good faith, fulfill social responsibilities</t>
        </is>
      </c>
      <c r="P101" s="32" t="inlineStr">
        <is>
          <t>Chinese Government is guiding Chinese companies to fully abide by Guyana's laws, operate in good faith, fulfill social responsibilities</t>
        </is>
      </c>
      <c r="Q101" s="31" t="inlineStr">
        <is>
          <t>en</t>
        </is>
      </c>
      <c r="R101" s="33" t="inlineStr">
        <is>
          <t>Ministry of Foreign Affairs of China (embassy readout)</t>
        </is>
      </c>
      <c r="S101" s="32" t="inlineStr">
        <is>
          <t>primary official</t>
        </is>
      </c>
      <c r="T101" s="32" t="inlineStr">
        <is>
          <t>secondary reported</t>
        </is>
      </c>
      <c r="U101" s="32" t="inlineStr">
        <is>
          <t>Coded by an AI session (2026-10-09) under the README vocabularies, from web-search results that cite the page; the page itself was not opened. The embassy's own readout of the ceremony; no independent account found. verification kept at secondary_reported because the official page was not opened.</t>
        </is>
      </c>
    </row>
    <row r="102" ht="45.75" customHeight="1" s="24">
      <c r="A102" s="31" t="inlineStr">
        <is>
          <t>PS-0099</t>
        </is>
      </c>
      <c r="B102" s="31" t="inlineStr">
        <is>
          <t>2023-07-26</t>
        </is>
      </c>
      <c r="C102" s="31" t="inlineStr">
        <is>
          <t>Regional</t>
        </is>
      </c>
      <c r="D102" s="31" t="inlineStr">
        <is>
          <t>No</t>
        </is>
      </c>
      <c r="E102" s="32" t="inlineStr">
        <is>
          <t>José W. Fernández</t>
        </is>
      </c>
      <c r="F102" s="32" t="inlineStr">
        <is>
          <t>U.S. Under Secretary of State for Economic Growth, Energy, and the Environment</t>
        </is>
      </c>
      <c r="G102" s="32" t="inlineStr">
        <is>
          <t>United States</t>
        </is>
      </c>
      <c r="H102" s="32" t="inlineStr">
        <is>
          <t>legislative debate</t>
        </is>
      </c>
      <c r="I102" s="32" t="inlineStr">
        <is>
          <t>Senate Foreign Relations Committee hearing 'U.S. Economic Security: Addressing Economic Coercion and Increasing Competitiveness'</t>
        </is>
      </c>
      <c r="J102" s="32" t="inlineStr">
        <is>
          <t>Asked about growing Brazil-China mineral and EV ties, Fernández told senators the US must get more involved in the hemisphere's critical minerals, naming Brazil, Argentina, Chile and Peru, and cited the Minerals Security Partnership as the response.</t>
        </is>
      </c>
      <c r="K102" s="32" t="inlineStr">
        <is>
          <t>lithium, copper, nickel, cobalt, critical minerals general</t>
        </is>
      </c>
      <c r="L102" s="32" t="inlineStr">
        <is>
          <t>geopolitics security, processing refining, diplomatic relations</t>
        </is>
      </c>
      <c r="M102" s="31" t="inlineStr">
        <is>
          <t>negative</t>
        </is>
      </c>
      <c r="N102" s="31" t="inlineStr">
        <is>
          <t>positive</t>
        </is>
      </c>
      <c r="O102" s="32" t="inlineStr">
        <is>
          <t>Brazil could be a very valuable partner in finding critical minerals. It's not only Brazil. Argentina, Chile, Peru — we've got to do more in this hemisphere.</t>
        </is>
      </c>
      <c r="P102" s="32" t="inlineStr">
        <is>
          <t>Brazil could be a very valuable partner in finding critical minerals. It's not only Brazil. Argentina, Chile, Peru — we've got to do more in this hemisphere.</t>
        </is>
      </c>
      <c r="Q102" s="31" t="inlineStr">
        <is>
          <t>en</t>
        </is>
      </c>
      <c r="R102" s="33" t="inlineStr">
        <is>
          <t>MINING.COM (Reuters)</t>
        </is>
      </c>
      <c r="S102" s="32" t="inlineStr">
        <is>
          <t>news media</t>
        </is>
      </c>
      <c r="T102" s="32" t="inlineStr">
        <is>
          <t>secondary reported</t>
        </is>
      </c>
      <c r="U102" s="32" t="inlineStr">
        <is>
          <t>Hearing date 26 Jul 2023 confirmed on foreign.senate.gov; Bloomberg Línea version dated 27 Jul. Written testimony: https://www.foreign.senate.gov/download/072623_fernandez_testimony</t>
        </is>
      </c>
    </row>
    <row r="103" ht="45.75" customHeight="1" s="24">
      <c r="A103" s="31" t="inlineStr">
        <is>
          <t>PS-0100</t>
        </is>
      </c>
      <c r="B103" s="31" t="inlineStr">
        <is>
          <t>2023-08-03</t>
        </is>
      </c>
      <c r="C103" s="31" t="inlineStr">
        <is>
          <t>Chile</t>
        </is>
      </c>
      <c r="D103" s="31" t="inlineStr">
        <is>
          <t>Yes</t>
        </is>
      </c>
      <c r="E103" s="32" t="inlineStr">
        <is>
          <t>Gabriel Boric</t>
        </is>
      </c>
      <c r="F103" s="32" t="inlineStr">
        <is>
          <t>President of Chile</t>
        </is>
      </c>
      <c r="G103" s="32" t="inlineStr">
        <is>
          <t>LatAm executive</t>
        </is>
      </c>
      <c r="H103" s="32" t="inlineStr">
        <is>
          <t>speech</t>
        </is>
      </c>
      <c r="I103" s="32" t="inlineStr">
        <is>
          <t>Promulgation of Mining Royalty Law, Mejillones (Antofagasta)</t>
        </is>
      </c>
      <c r="J103" s="32" t="inlineStr">
        <is>
          <t>Boric promulgated the royalty law on large copper mining (max. burden 46.5%), saying resources must not be concentrated in few hands and that revenues would fund regional development.</t>
        </is>
      </c>
      <c r="K103" s="32" t="inlineStr">
        <is>
          <t>copper</t>
        </is>
      </c>
      <c r="L103" s="32" t="inlineStr">
        <is>
          <t>royalties taxation, labor social conflict</t>
        </is>
      </c>
      <c r="M103" s="31" t="inlineStr">
        <is>
          <t>not mentioned</t>
        </is>
      </c>
      <c r="N103" s="31" t="inlineStr">
        <is>
          <t>not mentioned</t>
        </is>
      </c>
      <c r="O103" s="32" t="inlineStr">
        <is>
          <t>No es justo que donde se genera tanta riqueza exista tanta necesidad</t>
        </is>
      </c>
      <c r="P103" s="32" t="inlineStr">
        <is>
          <t>It is not fair that where so much wealth is generated there is so much need</t>
        </is>
      </c>
      <c r="Q103" s="31" t="inlineStr">
        <is>
          <t>es</t>
        </is>
      </c>
      <c r="R103" s="33" t="inlineStr">
        <is>
          <t>BioBioChile</t>
        </is>
      </c>
      <c r="S103" s="32" t="inlineStr">
        <is>
          <t>news media</t>
        </is>
      </c>
      <c r="T103" s="32" t="inlineStr">
        <is>
          <t>secondary reported</t>
        </is>
      </c>
      <c r="U103" s="32" t="inlineStr"/>
    </row>
    <row r="104" ht="45.75" customHeight="1" s="24">
      <c r="A104" s="31" t="inlineStr">
        <is>
          <t>PS-0101</t>
        </is>
      </c>
      <c r="B104" s="31" t="inlineStr">
        <is>
          <t>2023-08-04</t>
        </is>
      </c>
      <c r="C104" s="31" t="inlineStr">
        <is>
          <t>Regional</t>
        </is>
      </c>
      <c r="D104" s="31" t="inlineStr">
        <is>
          <t>No</t>
        </is>
      </c>
      <c r="E104" s="32" t="inlineStr">
        <is>
          <t>Laura Richardson</t>
        </is>
      </c>
      <c r="F104" s="32" t="inlineStr">
        <is>
          <t>Commander, U.S. Southern Command</t>
        </is>
      </c>
      <c r="G104" s="32" t="inlineStr">
        <is>
          <t>United States</t>
        </is>
      </c>
      <c r="H104" s="32" t="inlineStr">
        <is>
          <t>interview</t>
        </is>
      </c>
      <c r="I104" s="32" t="inlineStr">
        <is>
          <t>CSIS 'Looking South' conversation</t>
        </is>
      </c>
      <c r="J104" s="32" t="inlineStr">
        <is>
          <t>Richardson stressed the hemisphere's natural resource wealth, including the lithium triangle's ~60% of global lithium reserves and copper, and characterized PRC investment in the region as extraction rather than investment.</t>
        </is>
      </c>
      <c r="K104" s="32" t="inlineStr">
        <is>
          <t>lithium, rare earths, copper</t>
        </is>
      </c>
      <c r="L104" s="32" t="inlineStr">
        <is>
          <t>geopolitics security, foreign investment, infrastructure ports</t>
        </is>
      </c>
      <c r="M104" s="31" t="inlineStr">
        <is>
          <t>negative</t>
        </is>
      </c>
      <c r="N104" s="31" t="inlineStr">
        <is>
          <t>positive</t>
        </is>
      </c>
      <c r="O104" s="32" t="inlineStr">
        <is>
          <t>what the PRC is doing – the People's Republic of China – looks to be investment but really I call it extraction</t>
        </is>
      </c>
      <c r="P104" s="32" t="inlineStr">
        <is>
          <t>what the PRC is doing – the People's Republic of China – looks to be investment but really I call it extraction</t>
        </is>
      </c>
      <c r="Q104" s="31" t="inlineStr">
        <is>
          <t>en</t>
        </is>
      </c>
      <c r="R104" s="33" t="inlineStr">
        <is>
          <t>CSIS</t>
        </is>
      </c>
      <c r="S104" s="32" t="inlineStr">
        <is>
          <t>think tank or ngo</t>
        </is>
      </c>
      <c r="T104" s="32" t="inlineStr">
        <is>
          <t>primary verified</t>
        </is>
      </c>
      <c r="U104" s="32" t="inlineStr">
        <is>
          <t>CSIS event transcript</t>
        </is>
      </c>
    </row>
    <row r="105" ht="45.75" customHeight="1" s="24">
      <c r="A105" s="31" t="inlineStr">
        <is>
          <t>PS-0102</t>
        </is>
      </c>
      <c r="B105" s="31" t="inlineStr">
        <is>
          <t>2023-08-24</t>
        </is>
      </c>
      <c r="C105" s="31" t="inlineStr">
        <is>
          <t>Colombia</t>
        </is>
      </c>
      <c r="D105" s="31" t="inlineStr">
        <is>
          <t>Yes</t>
        </is>
      </c>
      <c r="E105" s="32" t="inlineStr">
        <is>
          <t>Álvaro Pardo</t>
        </is>
      </c>
      <c r="F105" s="32" t="inlineStr">
        <is>
          <t>President of the National Mining Agency (ANM)</t>
        </is>
      </c>
      <c r="G105" s="32" t="inlineStr">
        <is>
          <t>LatAm executive</t>
        </is>
      </c>
      <c r="H105" s="32" t="inlineStr">
        <is>
          <t>official statement</t>
        </is>
      </c>
      <c r="I105" s="32" t="inlineStr">
        <is>
          <t>ANM announcement on mining contracts</t>
        </is>
      </c>
      <c r="J105" s="32" t="inlineStr">
        <is>
          <t>The ANM head said no new open-pit mining contracts would be granted and no title would be issued in environmentally restricted areas, while existing contracts would be respected and mining redirected to value-added and transition minerals.</t>
        </is>
      </c>
      <c r="K105" s="32" t="inlineStr">
        <is>
          <t>mining general, critical minerals general</t>
        </is>
      </c>
      <c r="L105" s="32" t="inlineStr">
        <is>
          <t>environment water, energy transition, value added industrialization</t>
        </is>
      </c>
      <c r="M105" s="31" t="inlineStr">
        <is>
          <t>not mentioned</t>
        </is>
      </c>
      <c r="N105" s="31" t="inlineStr">
        <is>
          <t>not mentioned</t>
        </is>
      </c>
      <c r="O105" s="32" t="inlineStr"/>
      <c r="P105" s="32" t="inlineStr"/>
      <c r="Q105" s="31" t="inlineStr">
        <is>
          <t>es</t>
        </is>
      </c>
      <c r="R105" s="33" t="inlineStr">
        <is>
          <t>Valora Analitik</t>
        </is>
      </c>
      <c r="S105" s="32" t="inlineStr">
        <is>
          <t>news media</t>
        </is>
      </c>
      <c r="T105" s="32" t="inlineStr">
        <is>
          <t>secondary reported</t>
        </is>
      </c>
      <c r="U105" s="32" t="inlineStr">
        <is>
          <t>Spanish wording not captured; paraphrased.</t>
        </is>
      </c>
    </row>
    <row r="106" ht="45.75" customHeight="1" s="24">
      <c r="A106" s="31" t="inlineStr">
        <is>
          <t>PS-0103</t>
        </is>
      </c>
      <c r="B106" s="31" t="inlineStr">
        <is>
          <t>2023-09-03</t>
        </is>
      </c>
      <c r="C106" s="31" t="inlineStr">
        <is>
          <t>Bolivia</t>
        </is>
      </c>
      <c r="D106" s="31" t="inlineStr">
        <is>
          <t>Yes</t>
        </is>
      </c>
      <c r="E106" s="32" t="inlineStr">
        <is>
          <t>Karla Calderón Dávalos</t>
        </is>
      </c>
      <c r="F106" s="32" t="inlineStr">
        <is>
          <t>President of YLB</t>
        </is>
      </c>
      <c r="G106" s="32" t="inlineStr">
        <is>
          <t>LatAm state company</t>
        </is>
      </c>
      <c r="H106" s="32" t="inlineStr">
        <is>
          <t>interview</t>
        </is>
      </c>
      <c r="I106" s="32" t="inlineStr">
        <is>
          <t>Interview after appointment as YLB head</t>
        </is>
      </c>
      <c r="J106" s="32" t="inlineStr">
        <is>
          <t>The new YLB head said lithium is the energy of tomorrow, that carbonate production remains profitable despite falling prices, and that immediate action is needed for YLB to enter world markets.</t>
        </is>
      </c>
      <c r="K106" s="32" t="inlineStr">
        <is>
          <t>lithium</t>
        </is>
      </c>
      <c r="L106" s="32" t="inlineStr">
        <is>
          <t>value added industrialization, trade deals offtake</t>
        </is>
      </c>
      <c r="M106" s="31" t="inlineStr">
        <is>
          <t>not mentioned</t>
        </is>
      </c>
      <c r="N106" s="31" t="inlineStr">
        <is>
          <t>not mentioned</t>
        </is>
      </c>
      <c r="O106" s="32" t="inlineStr">
        <is>
          <t>El litio es la energía del mañana y nosotros, como empresa, estamos llamados a ser líderes en la producción responsable y ética de este elemento vital</t>
        </is>
      </c>
      <c r="P106" s="32" t="inlineStr">
        <is>
          <t>Lithium is the energy of tomorrow and we, as a company, are called to be leaders in the responsible and ethical production of this vital element</t>
        </is>
      </c>
      <c r="Q106" s="31" t="inlineStr">
        <is>
          <t>es</t>
        </is>
      </c>
      <c r="R106" s="33" t="inlineStr">
        <is>
          <t>Correo del Sur</t>
        </is>
      </c>
      <c r="S106" s="32" t="inlineStr">
        <is>
          <t>news media</t>
        </is>
      </c>
      <c r="T106" s="32" t="inlineStr">
        <is>
          <t>secondary reported</t>
        </is>
      </c>
      <c r="U106" s="32" t="inlineStr"/>
    </row>
    <row r="107" ht="45.75" customHeight="1" s="24">
      <c r="A107" s="31" t="inlineStr">
        <is>
          <t>PS-0104</t>
        </is>
      </c>
      <c r="B107" s="31" t="inlineStr">
        <is>
          <t>2023-09-14</t>
        </is>
      </c>
      <c r="C107" s="31" t="inlineStr">
        <is>
          <t>Argentina</t>
        </is>
      </c>
      <c r="D107" s="31" t="inlineStr">
        <is>
          <t>Yes</t>
        </is>
      </c>
      <c r="E107" s="32" t="inlineStr">
        <is>
          <t>Javier Milei</t>
        </is>
      </c>
      <c r="F107" s="32" t="inlineStr">
        <is>
          <t>Presidential candidate (La Libertad Avanza)</t>
        </is>
      </c>
      <c r="G107" s="32" t="inlineStr">
        <is>
          <t>LatAm party/candidate</t>
        </is>
      </c>
      <c r="H107" s="32" t="inlineStr">
        <is>
          <t>interview</t>
        </is>
      </c>
      <c r="I107" s="32" t="inlineStr">
        <is>
          <t>Interview with Tucker Carlson during 2023 campaign</t>
        </is>
      </c>
      <c r="J107" s="32" t="inlineStr">
        <is>
          <t>As a presidential candidate, Milei told Tucker Carlson he would not do business with China or with any communist country, listing China, Putin and Lula as outside his camp of freedom and democracy.</t>
        </is>
      </c>
      <c r="K107" s="32" t="inlineStr">
        <is>
          <t>critical minerals general</t>
        </is>
      </c>
      <c r="L107" s="32" t="inlineStr">
        <is>
          <t>geopolitics security, diplomatic relations</t>
        </is>
      </c>
      <c r="M107" s="31" t="inlineStr">
        <is>
          <t>negative</t>
        </is>
      </c>
      <c r="N107" s="31" t="inlineStr">
        <is>
          <t>not mentioned</t>
        </is>
      </c>
      <c r="O107" s="32" t="inlineStr">
        <is>
          <t>No solo no voy a hacer negocios con China, no voy a hacer negocios con ningún comunista.</t>
        </is>
      </c>
      <c r="P107" s="32" t="inlineStr">
        <is>
          <t>Not only will I not do business with China, I will not do business with any communist.</t>
        </is>
      </c>
      <c r="Q107" s="31" t="inlineStr">
        <is>
          <t>es</t>
        </is>
      </c>
      <c r="R107" s="33" t="inlineStr">
        <is>
          <t>La Política Online</t>
        </is>
      </c>
      <c r="S107" s="32" t="inlineStr">
        <is>
          <t>news media</t>
        </is>
      </c>
      <c r="T107" s="32" t="inlineStr">
        <is>
          <t>secondary reported</t>
        </is>
      </c>
      <c r="U107" s="32" t="inlineStr">
        <is>
          <t>Baseline China stance; statement not mineral-specific (included per project scope on Milei's China shift). Interview recorded the previous week.</t>
        </is>
      </c>
    </row>
    <row r="108" ht="45.75" customHeight="1" s="24">
      <c r="A108" s="31" t="inlineStr">
        <is>
          <t>PS-0105</t>
        </is>
      </c>
      <c r="B108" s="31" t="inlineStr">
        <is>
          <t>2023-09-28</t>
        </is>
      </c>
      <c r="C108" s="31" t="inlineStr">
        <is>
          <t>Mexico</t>
        </is>
      </c>
      <c r="D108" s="31" t="inlineStr">
        <is>
          <t>No</t>
        </is>
      </c>
      <c r="E108" s="32" t="inlineStr">
        <is>
          <t>Andrés Manuel López Obrador</t>
        </is>
      </c>
      <c r="F108" s="32" t="inlineStr">
        <is>
          <t>President of Mexico</t>
        </is>
      </c>
      <c r="G108" s="32" t="inlineStr">
        <is>
          <t>LatAm executive</t>
        </is>
      </c>
      <c r="H108" s="32" t="inlineStr">
        <is>
          <t>press conference</t>
        </is>
      </c>
      <c r="I108" s="32" t="inlineStr">
        <is>
          <t>Mañanera after Ganfeng disclosed cancellation of its Sonora concessions</t>
        </is>
      </c>
      <c r="J108" s="32" t="inlineStr">
        <is>
          <t>AMLO said lithium concessions were under review because they had originally been granted for gold, silver and copper, not lithium, and that lithium belongs to the nation as a strategic mineral.</t>
        </is>
      </c>
      <c r="K108" s="32" t="inlineStr">
        <is>
          <t>lithium</t>
        </is>
      </c>
      <c r="L108" s="32" t="inlineStr">
        <is>
          <t>state control nationalization, foreign investment</t>
        </is>
      </c>
      <c r="M108" s="31" t="inlineStr">
        <is>
          <t>neutral</t>
        </is>
      </c>
      <c r="N108" s="31" t="inlineStr">
        <is>
          <t>not mentioned</t>
        </is>
      </c>
      <c r="O108" s="32" t="inlineStr">
        <is>
          <t>We have decided that lithium belongs to the nation because it's a strategic mineral.</t>
        </is>
      </c>
      <c r="P108" s="32" t="inlineStr">
        <is>
          <t>We have decided that lithium belongs to the nation because it's a strategic mineral.</t>
        </is>
      </c>
      <c r="Q108" s="31" t="inlineStr">
        <is>
          <t>en</t>
        </is>
      </c>
      <c r="R108" s="33" t="inlineStr">
        <is>
          <t>Mining.com (Reuters)</t>
        </is>
      </c>
      <c r="S108" s="32" t="inlineStr">
        <is>
          <t>news media</t>
        </is>
      </c>
      <c r="T108" s="32" t="inlineStr">
        <is>
          <t>secondary reported</t>
        </is>
      </c>
      <c r="U108" s="32" t="inlineStr">
        <is>
          <t>Quote is Reuters English translation of Spanish original.</t>
        </is>
      </c>
    </row>
    <row r="109" ht="45.75" customHeight="1" s="24">
      <c r="A109" s="31" t="inlineStr">
        <is>
          <t>PS-0106</t>
        </is>
      </c>
      <c r="B109" s="31" t="inlineStr">
        <is>
          <t>2023-10-11</t>
        </is>
      </c>
      <c r="C109" s="31" t="inlineStr">
        <is>
          <t>Regional</t>
        </is>
      </c>
      <c r="D109" s="31" t="inlineStr">
        <is>
          <t>No</t>
        </is>
      </c>
      <c r="E109" s="32" t="inlineStr">
        <is>
          <t>Laura Richardson</t>
        </is>
      </c>
      <c r="F109" s="32" t="inlineStr">
        <is>
          <t>Commander, U.S. Southern Command</t>
        </is>
      </c>
      <c r="G109" s="32" t="inlineStr">
        <is>
          <t>United States</t>
        </is>
      </c>
      <c r="H109" s="32" t="inlineStr">
        <is>
          <t>interview</t>
        </is>
      </c>
      <c r="I109" s="32" t="inlineStr">
        <is>
          <t>FDD event 'Latin America's China Challenge'</t>
        </is>
      </c>
      <c r="J109" s="32" t="inlineStr">
        <is>
          <t>Richardson again cited the lithium triangle's 60% of world lithium plus copper and gold, and said the US must ensure adversaries and strategic competitors are not going to the region to extract for nefarious reasons; she criticized BRI projects as debt traps.</t>
        </is>
      </c>
      <c r="K109" s="32" t="inlineStr">
        <is>
          <t>lithium, copper</t>
        </is>
      </c>
      <c r="L109" s="32" t="inlineStr">
        <is>
          <t>geopolitics security, infrastructure ports</t>
        </is>
      </c>
      <c r="M109" s="31" t="inlineStr">
        <is>
          <t>negative</t>
        </is>
      </c>
      <c r="N109" s="31" t="inlineStr">
        <is>
          <t>positive</t>
        </is>
      </c>
      <c r="O109" s="32" t="inlineStr">
        <is>
          <t>you want to make sure that adversaries and strategic competitors aren't trying to go there for nefarious reasons to extract</t>
        </is>
      </c>
      <c r="P109" s="32" t="inlineStr">
        <is>
          <t>you want to make sure that adversaries and strategic competitors aren't trying to go there for nefarious reasons to extract</t>
        </is>
      </c>
      <c r="Q109" s="31" t="inlineStr">
        <is>
          <t>en</t>
        </is>
      </c>
      <c r="R109" s="33" t="inlineStr">
        <is>
          <t>Foundation for Defense of Democracies (event transcript)</t>
        </is>
      </c>
      <c r="S109" s="32" t="inlineStr">
        <is>
          <t>think tank or ngo</t>
        </is>
      </c>
      <c r="T109" s="32" t="inlineStr">
        <is>
          <t>primary verified</t>
        </is>
      </c>
      <c r="U109" s="32" t="inlineStr"/>
    </row>
    <row r="110" ht="45.75" customHeight="1" s="24">
      <c r="A110" s="31" t="inlineStr">
        <is>
          <t>PS-0107</t>
        </is>
      </c>
      <c r="B110" s="31" t="inlineStr">
        <is>
          <t>2023-10-17</t>
        </is>
      </c>
      <c r="C110" s="31" t="inlineStr">
        <is>
          <t>Chile</t>
        </is>
      </c>
      <c r="D110" s="31" t="inlineStr">
        <is>
          <t>Yes</t>
        </is>
      </c>
      <c r="E110" s="32" t="inlineStr">
        <is>
          <t>Xi Jinping</t>
        </is>
      </c>
      <c r="F110" s="32" t="inlineStr">
        <is>
          <t>President of the People's Republic of China</t>
        </is>
      </c>
      <c r="G110" s="32" t="inlineStr">
        <is>
          <t>China</t>
        </is>
      </c>
      <c r="H110" s="32" t="inlineStr">
        <is>
          <t>official statement</t>
        </is>
      </c>
      <c r="I110" s="32" t="inlineStr">
        <is>
          <t>Xi-Boric talks, Beijing, Belt and Road Forum 2023</t>
        </is>
      </c>
      <c r="J110" s="32" t="inlineStr">
        <is>
          <t>In China's official readout of talks with Gabriel Boric, Xi called for new growth drivers in clean energy, digital economy and science and technology cooperation. The readout records Boric's wish to strengthen cooperation in fields including energy and mining.</t>
        </is>
      </c>
      <c r="K110" s="32" t="inlineStr">
        <is>
          <t>mining general</t>
        </is>
      </c>
      <c r="L110" s="32" t="inlineStr">
        <is>
          <t>energy transition, diplomatic relations, foreign investment</t>
        </is>
      </c>
      <c r="M110" s="31" t="inlineStr">
        <is>
          <t>positive</t>
        </is>
      </c>
      <c r="N110" s="31" t="inlineStr">
        <is>
          <t>not mentioned</t>
        </is>
      </c>
      <c r="O110" s="32" t="inlineStr">
        <is>
          <t>foster new drivers of growth for cooperation on clean energy, digital economy, and scientific and technological innovation</t>
        </is>
      </c>
      <c r="P110" s="32" t="inlineStr">
        <is>
          <t>foster new drivers of growth for cooperation on clean energy, digital economy, and scientific and technological innovation</t>
        </is>
      </c>
      <c r="Q110" s="31" t="inlineStr">
        <is>
          <t>en</t>
        </is>
      </c>
      <c r="R110" s="33" t="inlineStr">
        <is>
          <t>Ministry of Foreign Affairs of the PRC</t>
        </is>
      </c>
      <c r="S110" s="32" t="inlineStr">
        <is>
          <t>primary official</t>
        </is>
      </c>
      <c r="T110" s="32" t="inlineStr">
        <is>
          <t>primary verified</t>
        </is>
      </c>
      <c r="U110" s="32" t="inlineStr">
        <is>
          <t>Mining mention is attributed to Boric in the Chinese readout; Xi's remarks do not name lithium or copper. Weak mineral content.</t>
        </is>
      </c>
    </row>
    <row r="111" ht="45.75" customHeight="1" s="24">
      <c r="A111" s="31" t="inlineStr">
        <is>
          <t>PS-0108</t>
        </is>
      </c>
      <c r="B111" s="31" t="inlineStr">
        <is>
          <t>2023-10-20</t>
        </is>
      </c>
      <c r="C111" s="31" t="inlineStr">
        <is>
          <t>Panama</t>
        </is>
      </c>
      <c r="D111" s="31" t="inlineStr">
        <is>
          <t>No</t>
        </is>
      </c>
      <c r="E111" s="32" t="inlineStr">
        <is>
          <t>Laurentino Cortizo</t>
        </is>
      </c>
      <c r="F111" s="32" t="inlineStr">
        <is>
          <t>President of Panama</t>
        </is>
      </c>
      <c r="G111" s="32" t="inlineStr">
        <is>
          <t>LatAm executive</t>
        </is>
      </c>
      <c r="H111" s="32" t="inlineStr">
        <is>
          <t>bill or law</t>
        </is>
      </c>
      <c r="I111" s="32" t="inlineStr">
        <is>
          <t>Sanction of Law 406 (Cobre Panamá contract)</t>
        </is>
      </c>
      <c r="J111" s="32" t="inlineStr">
        <is>
          <t>Cortizo signed into law the renewed First Quantum concession contract hours after the National Assembly approved it in third debate, triggering nationwide protests.</t>
        </is>
      </c>
      <c r="K111" s="32" t="inlineStr">
        <is>
          <t>copper</t>
        </is>
      </c>
      <c r="L111" s="32" t="inlineStr">
        <is>
          <t>foreign investment, royalties taxation, labor social conflict</t>
        </is>
      </c>
      <c r="M111" s="31" t="inlineStr">
        <is>
          <t>not mentioned</t>
        </is>
      </c>
      <c r="N111" s="31" t="inlineStr">
        <is>
          <t>not mentioned</t>
        </is>
      </c>
      <c r="O111" s="32" t="inlineStr"/>
      <c r="P111" s="32" t="inlineStr"/>
      <c r="Q111" s="31" t="inlineStr">
        <is>
          <t>en</t>
        </is>
      </c>
      <c r="R111" s="33" t="inlineStr">
        <is>
          <t>Reuters</t>
        </is>
      </c>
      <c r="S111" s="32" t="inlineStr">
        <is>
          <t>news media</t>
        </is>
      </c>
      <c r="T111" s="32" t="inlineStr">
        <is>
          <t>secondary reported</t>
        </is>
      </c>
      <c r="U111" s="32" t="inlineStr">
        <is>
          <t>Details via Wikipedia '2023 Panamanian protests' summary citing this article; the article itself could not be fetched (site blocked).</t>
        </is>
      </c>
    </row>
    <row r="112" ht="45.75" customHeight="1" s="24">
      <c r="A112" s="31" t="inlineStr">
        <is>
          <t>PS-0109</t>
        </is>
      </c>
      <c r="B112" s="31" t="inlineStr">
        <is>
          <t>2023-10-31</t>
        </is>
      </c>
      <c r="C112" s="31" t="inlineStr">
        <is>
          <t>Panama</t>
        </is>
      </c>
      <c r="D112" s="31" t="inlineStr">
        <is>
          <t>No</t>
        </is>
      </c>
      <c r="E112" s="32" t="inlineStr">
        <is>
          <t>Laurentino Cortizo</t>
        </is>
      </c>
      <c r="F112" s="32" t="inlineStr">
        <is>
          <t>President of Panama</t>
        </is>
      </c>
      <c r="G112" s="32" t="inlineStr">
        <is>
          <t>LatAm executive</t>
        </is>
      </c>
      <c r="H112" s="32" t="inlineStr">
        <is>
          <t>official statement</t>
        </is>
      </c>
      <c r="I112" s="32" t="inlineStr">
        <is>
          <t>Mass protests against Law 406</t>
        </is>
      </c>
      <c r="J112" s="32" t="inlineStr">
        <is>
          <t>Facing mass protests, Cortizo proposed a national referendum on whether to keep the Cobre Panamá contract (Bill 1109).</t>
        </is>
      </c>
      <c r="K112" s="32" t="inlineStr">
        <is>
          <t>copper</t>
        </is>
      </c>
      <c r="L112" s="32" t="inlineStr">
        <is>
          <t>labor social conflict, environment water, corruption governance</t>
        </is>
      </c>
      <c r="M112" s="31" t="inlineStr">
        <is>
          <t>not mentioned</t>
        </is>
      </c>
      <c r="N112" s="31" t="inlineStr">
        <is>
          <t>not mentioned</t>
        </is>
      </c>
      <c r="O112" s="32" t="inlineStr"/>
      <c r="P112" s="32" t="inlineStr"/>
      <c r="Q112" s="31" t="inlineStr">
        <is>
          <t>en</t>
        </is>
      </c>
      <c r="R112" s="33" t="inlineStr">
        <is>
          <t>AP News</t>
        </is>
      </c>
      <c r="S112" s="32" t="inlineStr">
        <is>
          <t>news media</t>
        </is>
      </c>
      <c r="T112" s="32" t="inlineStr">
        <is>
          <t>secondary reported</t>
        </is>
      </c>
      <c r="U112" s="32" t="inlineStr">
        <is>
          <t>Details via Wikipedia '2023 Panamanian protests' summary citing this article; the article itself could not be fetched (site blocked). Bill 1109 first debate 2023-10-31 confirmed in First Quantum update of 2023-11-03.</t>
        </is>
      </c>
    </row>
    <row r="113" ht="45.75" customHeight="1" s="24">
      <c r="A113" s="31" t="inlineStr">
        <is>
          <t>PS-0110</t>
        </is>
      </c>
      <c r="B113" s="31" t="inlineStr">
        <is>
          <t>2023-11-03</t>
        </is>
      </c>
      <c r="C113" s="31" t="inlineStr">
        <is>
          <t>Panama</t>
        </is>
      </c>
      <c r="D113" s="31" t="inlineStr">
        <is>
          <t>No</t>
        </is>
      </c>
      <c r="E113" s="32" t="inlineStr">
        <is>
          <t>Asamblea Nacional de Panamá</t>
        </is>
      </c>
      <c r="F113" s="32" t="inlineStr">
        <is>
          <t>National Assembly of Panama</t>
        </is>
      </c>
      <c r="G113" s="32" t="inlineStr">
        <is>
          <t>LatAm legislature</t>
        </is>
      </c>
      <c r="H113" s="32" t="inlineStr">
        <is>
          <t>bill or law</t>
        </is>
      </c>
      <c r="I113" s="32" t="inlineStr">
        <is>
          <t>Bill 1110 / Law 407 metallic mining moratorium</t>
        </is>
      </c>
      <c r="J113" s="32" t="inlineStr">
        <is>
          <t>The Assembly approved an indefinite moratorium on new metallic mining concessions (Bill 1110, Law 407) after removing an amendment that would have repealed Law 406; Cortizo signed it the same day.</t>
        </is>
      </c>
      <c r="K113" s="32" t="inlineStr">
        <is>
          <t>copper, mining general</t>
        </is>
      </c>
      <c r="L113" s="32" t="inlineStr">
        <is>
          <t>environment water, labor social conflict</t>
        </is>
      </c>
      <c r="M113" s="31" t="inlineStr">
        <is>
          <t>not mentioned</t>
        </is>
      </c>
      <c r="N113" s="31" t="inlineStr">
        <is>
          <t>not mentioned</t>
        </is>
      </c>
      <c r="O113" s="32" t="inlineStr"/>
      <c r="P113" s="32" t="inlineStr"/>
      <c r="Q113" s="31" t="inlineStr">
        <is>
          <t>en</t>
        </is>
      </c>
      <c r="R113" s="33" t="inlineStr">
        <is>
          <t>First Quantum Minerals (company release)</t>
        </is>
      </c>
      <c r="S113" s="32" t="inlineStr">
        <is>
          <t>news media</t>
        </is>
      </c>
      <c r="T113" s="32" t="inlineStr">
        <is>
          <t>secondary reported</t>
        </is>
      </c>
      <c r="U113" s="32" t="inlineStr">
        <is>
          <t>Final approval/signature per Wikipedia citing AP (https://apnews.com/article/panama-bill-mine-moratorium-protests-environment-canada-3ed264e871f09fa5ee7ed6fb6eeb0c61).</t>
        </is>
      </c>
    </row>
    <row r="114" ht="45.75" customHeight="1" s="24">
      <c r="A114" s="31" t="inlineStr">
        <is>
          <t>PS-0111</t>
        </is>
      </c>
      <c r="B114" s="31" t="inlineStr">
        <is>
          <t>2023-11-11</t>
        </is>
      </c>
      <c r="C114" s="31" t="inlineStr">
        <is>
          <t>Mexico</t>
        </is>
      </c>
      <c r="D114" s="31" t="inlineStr">
        <is>
          <t>No</t>
        </is>
      </c>
      <c r="E114" s="32" t="inlineStr">
        <is>
          <t>Peter Secker</t>
        </is>
      </c>
      <c r="F114" s="32" t="inlineStr">
        <is>
          <t>CEO of Bacanora Lithium (Ganfeng subsidiary)</t>
        </is>
      </c>
      <c r="G114" s="32" t="inlineStr">
        <is>
          <t>Other (business, civil society, third countries)</t>
        </is>
      </c>
      <c r="H114" s="32" t="inlineStr">
        <is>
          <t>interview</t>
        </is>
      </c>
      <c r="I114" s="32" t="inlineStr">
        <is>
          <t>Ganfeng's Sonora lithium project after concession cancellation</t>
        </is>
      </c>
      <c r="J114" s="32" t="inlineStr">
        <is>
          <t>Secker said Ganfeng had been trying to discuss with the Mexican government how they could work together under commercially viable arrangements, but that no one would invest US$1 billion without security.</t>
        </is>
      </c>
      <c r="K114" s="32" t="inlineStr">
        <is>
          <t>lithium</t>
        </is>
      </c>
      <c r="L114" s="32" t="inlineStr">
        <is>
          <t>foreign investment, state control nationalization</t>
        </is>
      </c>
      <c r="M114" s="31" t="inlineStr">
        <is>
          <t>positive</t>
        </is>
      </c>
      <c r="N114" s="31" t="inlineStr">
        <is>
          <t>not mentioned</t>
        </is>
      </c>
      <c r="O114" s="32" t="inlineStr">
        <is>
          <t>Nadie va a invertir US$ 1,000 millones a menos que tenga algún tipo de seguridad.</t>
        </is>
      </c>
      <c r="P114" s="32" t="inlineStr">
        <is>
          <t>Nobody is going to invest US$1 billion unless they have some kind of security.</t>
        </is>
      </c>
      <c r="Q114" s="31" t="inlineStr">
        <is>
          <t>es</t>
        </is>
      </c>
      <c r="R114" s="33" t="inlineStr">
        <is>
          <t>Gestión (Bloomberg)</t>
        </is>
      </c>
      <c r="S114" s="32" t="inlineStr">
        <is>
          <t>news media</t>
        </is>
      </c>
      <c r="T114" s="32" t="inlineStr">
        <is>
          <t>secondary reported</t>
        </is>
      </c>
      <c r="U114" s="32" t="inlineStr">
        <is>
          <t>Spanish rendering of an English interview; corporate actor.</t>
        </is>
      </c>
    </row>
    <row r="115" ht="45.75" customHeight="1" s="24">
      <c r="A115" s="31" t="inlineStr">
        <is>
          <t>PS-0112</t>
        </is>
      </c>
      <c r="B115" s="31" t="inlineStr">
        <is>
          <t>2023-11-23</t>
        </is>
      </c>
      <c r="C115" s="31" t="inlineStr">
        <is>
          <t>Argentina</t>
        </is>
      </c>
      <c r="D115" s="31" t="inlineStr">
        <is>
          <t>Yes</t>
        </is>
      </c>
      <c r="E115" s="32" t="inlineStr">
        <is>
          <t>Wang Wei</t>
        </is>
      </c>
      <c r="F115" s="32" t="inlineStr">
        <is>
          <t>Chinese Ambassador to Argentina</t>
        </is>
      </c>
      <c r="G115" s="32" t="inlineStr">
        <is>
          <t>China</t>
        </is>
      </c>
      <c r="H115" s="32" t="inlineStr">
        <is>
          <t>interview</t>
        </is>
      </c>
      <c r="I115" s="32" t="inlineStr">
        <is>
          <t>Visit to San Juan province</t>
        </is>
      </c>
      <c r="J115" s="32" t="inlineStr">
        <is>
          <t>Days after Milei's election, Wang Wei said subnational cooperation with San Juan has a solid base, in a province where Shandong Gold co-owns Veladero and Chinese firms explore lithium and build infrastructure.</t>
        </is>
      </c>
      <c r="K115" s="32" t="inlineStr">
        <is>
          <t>mining general, lithium</t>
        </is>
      </c>
      <c r="L115" s="32" t="inlineStr">
        <is>
          <t>diplomatic relations, foreign investment</t>
        </is>
      </c>
      <c r="M115" s="31" t="inlineStr">
        <is>
          <t>positive</t>
        </is>
      </c>
      <c r="N115" s="31" t="inlineStr">
        <is>
          <t>not mentioned</t>
        </is>
      </c>
      <c r="O115" s="32" t="inlineStr">
        <is>
          <t>En el caso específico de San Juan, la cooperación entre las entidades subnacionales cuenta con una sólida base</t>
        </is>
      </c>
      <c r="P115" s="32" t="inlineStr">
        <is>
          <t>In the specific case of San Juan, cooperation between subnational entities has a solid base</t>
        </is>
      </c>
      <c r="Q115" s="31" t="inlineStr">
        <is>
          <t>es</t>
        </is>
      </c>
      <c r="R115" s="33" t="inlineStr">
        <is>
          <t>Diario de Cuyo</t>
        </is>
      </c>
      <c r="S115" s="32" t="inlineStr">
        <is>
          <t>news media</t>
        </is>
      </c>
      <c r="T115" s="32" t="inlineStr">
        <is>
          <t>secondary reported</t>
        </is>
      </c>
      <c r="U115" s="32" t="inlineStr">
        <is>
          <t>Mining link via context (Veladero); quote is general.</t>
        </is>
      </c>
    </row>
    <row r="116" ht="45.75" customHeight="1" s="24">
      <c r="A116" s="31" t="inlineStr">
        <is>
          <t>PS-0113</t>
        </is>
      </c>
      <c r="B116" s="31" t="inlineStr">
        <is>
          <t>2023-11-28</t>
        </is>
      </c>
      <c r="C116" s="31" t="inlineStr">
        <is>
          <t>Panama</t>
        </is>
      </c>
      <c r="D116" s="31" t="inlineStr">
        <is>
          <t>No</t>
        </is>
      </c>
      <c r="E116" s="32" t="inlineStr">
        <is>
          <t>Corte Suprema de Justicia de Panamá</t>
        </is>
      </c>
      <c r="F116" s="32" t="inlineStr">
        <is>
          <t>Supreme Court of Justice (plenary)</t>
        </is>
      </c>
      <c r="G116" s="32" t="inlineStr">
        <is>
          <t>LatAm judiciary</t>
        </is>
      </c>
      <c r="H116" s="32" t="inlineStr">
        <is>
          <t>court ruling</t>
        </is>
      </c>
      <c r="I116" s="32" t="inlineStr">
        <is>
          <t>Unconstitutionality ruling on Law 406</t>
        </is>
      </c>
      <c r="J116" s="32" t="inlineStr">
        <is>
          <t>The nine Supreme Court justices unanimously declared Law 406 approving the Cobre Panamá contract unconstitutional, citing violations of 25 constitutional articles; the ruling was published in the Official Gazette on 2 Dec 2023.</t>
        </is>
      </c>
      <c r="K116" s="32" t="inlineStr">
        <is>
          <t>copper</t>
        </is>
      </c>
      <c r="L116" s="32" t="inlineStr">
        <is>
          <t>sovereignty, environment water, corruption governance</t>
        </is>
      </c>
      <c r="M116" s="31" t="inlineStr">
        <is>
          <t>not mentioned</t>
        </is>
      </c>
      <c r="N116" s="31" t="inlineStr">
        <is>
          <t>not mentioned</t>
        </is>
      </c>
      <c r="O116" s="32" t="inlineStr"/>
      <c r="P116" s="32" t="inlineStr"/>
      <c r="Q116" s="31" t="inlineStr">
        <is>
          <t>es</t>
        </is>
      </c>
      <c r="R116" s="33" t="inlineStr">
        <is>
          <t>First Quantum Minerals (company release)</t>
        </is>
      </c>
      <c r="S116" s="32" t="inlineStr">
        <is>
          <t>news media</t>
        </is>
      </c>
      <c r="T116" s="32" t="inlineStr">
        <is>
          <t>secondary reported</t>
        </is>
      </c>
      <c r="U116" s="32" t="inlineStr">
        <is>
          <t>Unanimity and 25 articles per Wikipedia citing AP; Gaceta Oficial 29685-D.</t>
        </is>
      </c>
    </row>
    <row r="117" ht="45.75" customHeight="1" s="24">
      <c r="A117" s="31" t="inlineStr">
        <is>
          <t>PS-0114</t>
        </is>
      </c>
      <c r="B117" s="31" t="inlineStr">
        <is>
          <t>2023-11-28</t>
        </is>
      </c>
      <c r="C117" s="31" t="inlineStr">
        <is>
          <t>Panama</t>
        </is>
      </c>
      <c r="D117" s="31" t="inlineStr">
        <is>
          <t>No</t>
        </is>
      </c>
      <c r="E117" s="32" t="inlineStr">
        <is>
          <t>Laurentino Cortizo</t>
        </is>
      </c>
      <c r="F117" s="32" t="inlineStr">
        <is>
          <t>President of Panama</t>
        </is>
      </c>
      <c r="G117" s="32" t="inlineStr">
        <is>
          <t>LatAm executive</t>
        </is>
      </c>
      <c r="H117" s="32" t="inlineStr">
        <is>
          <t>official statement</t>
        </is>
      </c>
      <c r="I117" s="32" t="inlineStr">
        <is>
          <t>Reaction to Supreme Court ruling</t>
        </is>
      </c>
      <c r="J117" s="32" t="inlineStr">
        <is>
          <t>Cortizo said his administration would comply with the ruling and ensure a safe and orderly closure of the Cobre Panamá mine, beginning the transition process.</t>
        </is>
      </c>
      <c r="K117" s="32" t="inlineStr">
        <is>
          <t>copper</t>
        </is>
      </c>
      <c r="L117" s="32" t="inlineStr">
        <is>
          <t>environment water, labor social conflict</t>
        </is>
      </c>
      <c r="M117" s="31" t="inlineStr">
        <is>
          <t>not mentioned</t>
        </is>
      </c>
      <c r="N117" s="31" t="inlineStr">
        <is>
          <t>not mentioned</t>
        </is>
      </c>
      <c r="O117" s="32" t="inlineStr"/>
      <c r="P117" s="32" t="inlineStr"/>
      <c r="Q117" s="31" t="inlineStr">
        <is>
          <t>es</t>
        </is>
      </c>
      <c r="R117" s="33" t="inlineStr">
        <is>
          <t>AP News</t>
        </is>
      </c>
      <c r="S117" s="32" t="inlineStr">
        <is>
          <t>news media</t>
        </is>
      </c>
      <c r="T117" s="32" t="inlineStr">
        <is>
          <t>secondary reported</t>
        </is>
      </c>
      <c r="U117" s="32" t="inlineStr">
        <is>
          <t>Details via Wikipedia '2023 Panamanian protests' summary citing this article; the article itself could not be fetched (site blocked). English paraphrase only.</t>
        </is>
      </c>
    </row>
    <row r="118" ht="45.75" customHeight="1" s="24">
      <c r="A118" s="31" t="inlineStr">
        <is>
          <t>PS-0115</t>
        </is>
      </c>
      <c r="B118" s="31" t="inlineStr">
        <is>
          <t>2023-11-30</t>
        </is>
      </c>
      <c r="C118" s="31" t="inlineStr">
        <is>
          <t>Panama</t>
        </is>
      </c>
      <c r="D118" s="31" t="inlineStr">
        <is>
          <t>No</t>
        </is>
      </c>
      <c r="E118" s="32" t="inlineStr">
        <is>
          <t>Federico Alfaro Boyd</t>
        </is>
      </c>
      <c r="F118" s="32" t="inlineStr">
        <is>
          <t>Minister of Commerce and Industries of Panama</t>
        </is>
      </c>
      <c r="G118" s="32" t="inlineStr">
        <is>
          <t>LatAm executive</t>
        </is>
      </c>
      <c r="H118" s="32" t="inlineStr">
        <is>
          <t>official statement</t>
        </is>
      </c>
      <c r="I118" s="32" t="inlineStr">
        <is>
          <t>Resignation after mining contract backlash</t>
        </is>
      </c>
      <c r="J118" s="32" t="inlineStr">
        <is>
          <t>The trade minister who negotiated the First Quantum contract resigned following the backlash and the Supreme Court ruling.</t>
        </is>
      </c>
      <c r="K118" s="32" t="inlineStr">
        <is>
          <t>copper</t>
        </is>
      </c>
      <c r="L118" s="32" t="inlineStr">
        <is>
          <t>corruption governance, labor social conflict</t>
        </is>
      </c>
      <c r="M118" s="31" t="inlineStr">
        <is>
          <t>not mentioned</t>
        </is>
      </c>
      <c r="N118" s="31" t="inlineStr">
        <is>
          <t>not mentioned</t>
        </is>
      </c>
      <c r="O118" s="32" t="inlineStr"/>
      <c r="P118" s="32" t="inlineStr"/>
      <c r="Q118" s="31" t="inlineStr">
        <is>
          <t>en</t>
        </is>
      </c>
      <c r="R118" s="33" t="inlineStr">
        <is>
          <t>Reuters</t>
        </is>
      </c>
      <c r="S118" s="32" t="inlineStr">
        <is>
          <t>news media</t>
        </is>
      </c>
      <c r="T118" s="32" t="inlineStr">
        <is>
          <t>secondary reported</t>
        </is>
      </c>
      <c r="U118" s="32" t="inlineStr">
        <is>
          <t>Details via Wikipedia '2023 Panamanian protests' summary citing this article; the article itself could not be fetched (site blocked). Minister's full name from general knowledge; verify.</t>
        </is>
      </c>
    </row>
    <row r="119" ht="45.75" customHeight="1" s="24">
      <c r="A119" s="31" t="inlineStr">
        <is>
          <t>PS-0116</t>
        </is>
      </c>
      <c r="B119" s="31" t="inlineStr">
        <is>
          <t>2023-12-19</t>
        </is>
      </c>
      <c r="C119" s="31" t="inlineStr">
        <is>
          <t>Chile</t>
        </is>
      </c>
      <c r="D119" s="31" t="inlineStr">
        <is>
          <t>Yes</t>
        </is>
      </c>
      <c r="E119" s="32" t="inlineStr">
        <is>
          <t>Aurora Williams</t>
        </is>
      </c>
      <c r="F119" s="32" t="inlineStr">
        <is>
          <t>Minister of Mining</t>
        </is>
      </c>
      <c r="G119" s="32" t="inlineStr">
        <is>
          <t>LatAm executive</t>
        </is>
      </c>
      <c r="H119" s="32" t="inlineStr">
        <is>
          <t>legislative debate</t>
        </is>
      </c>
      <c r="I119" s="32" t="inlineStr">
        <is>
          <t>Chamber special session on National Lithium Strategy</t>
        </is>
      </c>
      <c r="J119" s="32" t="inlineStr">
        <is>
          <t>Williams presented progress on the lithium strategy, including the strategic council on lithium and salt flats, the planned national lithium company and Codelco's acquisition of the Salar Blanco project.</t>
        </is>
      </c>
      <c r="K119" s="32" t="inlineStr">
        <is>
          <t>lithium</t>
        </is>
      </c>
      <c r="L119" s="32" t="inlineStr">
        <is>
          <t>state control nationalization, environment water</t>
        </is>
      </c>
      <c r="M119" s="31" t="inlineStr">
        <is>
          <t>not mentioned</t>
        </is>
      </c>
      <c r="N119" s="31" t="inlineStr">
        <is>
          <t>not mentioned</t>
        </is>
      </c>
      <c r="O119" s="32" t="inlineStr">
        <is>
          <t>visión de un Chile líder en la producción sostenible de litio</t>
        </is>
      </c>
      <c r="P119" s="32" t="inlineStr">
        <is>
          <t>vision of a Chile leading sustainable lithium production</t>
        </is>
      </c>
      <c r="Q119" s="31" t="inlineStr">
        <is>
          <t>es</t>
        </is>
      </c>
      <c r="R119" s="33" t="inlineStr">
        <is>
          <t>Cámara de Diputadas y Diputados</t>
        </is>
      </c>
      <c r="S119" s="32" t="inlineStr">
        <is>
          <t>legislative record</t>
        </is>
      </c>
      <c r="T119" s="32" t="inlineStr">
        <is>
          <t>primary verified</t>
        </is>
      </c>
      <c r="U119" s="32" t="inlineStr"/>
    </row>
    <row r="120" ht="45.75" customHeight="1" s="24">
      <c r="A120" s="31" t="inlineStr">
        <is>
          <t>PS-0117</t>
        </is>
      </c>
      <c r="B120" s="31" t="inlineStr">
        <is>
          <t>2023-12-19</t>
        </is>
      </c>
      <c r="C120" s="31" t="inlineStr">
        <is>
          <t>Chile</t>
        </is>
      </c>
      <c r="D120" s="31" t="inlineStr">
        <is>
          <t>Yes</t>
        </is>
      </c>
      <c r="E120" s="32" t="inlineStr">
        <is>
          <t>Chamber of Deputies of Chile</t>
        </is>
      </c>
      <c r="F120" s="32" t="inlineStr">
        <is>
          <t>Chamber of Deputies (plenary)</t>
        </is>
      </c>
      <c r="G120" s="32" t="inlineStr">
        <is>
          <t>LatAm legislature</t>
        </is>
      </c>
      <c r="H120" s="32" t="inlineStr">
        <is>
          <t>legislative debate</t>
        </is>
      </c>
      <c r="I120" s="32" t="inlineStr">
        <is>
          <t>Special session on National Lithium Strategy; Resolution 1161</t>
        </is>
      </c>
      <c r="J120" s="32" t="inlineStr">
        <is>
          <t>The Chamber approved Resolution 1161 supporting sustainable development of the lithium industry, whose resources belong to all Chileans, after a special session with the mining minister.</t>
        </is>
      </c>
      <c r="K120" s="32" t="inlineStr">
        <is>
          <t>lithium</t>
        </is>
      </c>
      <c r="L120" s="32" t="inlineStr">
        <is>
          <t>state control nationalization, energy transition</t>
        </is>
      </c>
      <c r="M120" s="31" t="inlineStr">
        <is>
          <t>not mentioned</t>
        </is>
      </c>
      <c r="N120" s="31" t="inlineStr">
        <is>
          <t>not mentioned</t>
        </is>
      </c>
      <c r="O120" s="32" t="inlineStr"/>
      <c r="P120" s="32" t="inlineStr"/>
      <c r="Q120" s="31" t="inlineStr">
        <is>
          <t>es</t>
        </is>
      </c>
      <c r="R120" s="33" t="inlineStr">
        <is>
          <t>Cámara de Diputadas y Diputados</t>
        </is>
      </c>
      <c r="S120" s="32" t="inlineStr">
        <is>
          <t>legislative record</t>
        </is>
      </c>
      <c r="T120" s="32" t="inlineStr">
        <is>
          <t>primary verified</t>
        </is>
      </c>
      <c r="U120" s="32" t="inlineStr"/>
    </row>
    <row r="121" ht="45.75" customHeight="1" s="24">
      <c r="A121" s="31" t="inlineStr">
        <is>
          <t>PS-0118</t>
        </is>
      </c>
      <c r="B121" s="31" t="inlineStr">
        <is>
          <t>2023-12-24</t>
        </is>
      </c>
      <c r="C121" s="31" t="inlineStr">
        <is>
          <t>Argentina</t>
        </is>
      </c>
      <c r="D121" s="31" t="inlineStr">
        <is>
          <t>Yes</t>
        </is>
      </c>
      <c r="E121" s="32" t="inlineStr">
        <is>
          <t>Javier Milei</t>
        </is>
      </c>
      <c r="F121" s="32" t="inlineStr">
        <is>
          <t>President of Argentina</t>
        </is>
      </c>
      <c r="G121" s="32" t="inlineStr">
        <is>
          <t>LatAm executive</t>
        </is>
      </c>
      <c r="H121" s="32" t="inlineStr">
        <is>
          <t>interview</t>
        </is>
      </c>
      <c r="I121" s="32" t="inlineStr">
        <is>
          <t>TV interview with Mirtha Legrand</t>
        </is>
      </c>
      <c r="J121" s="32" t="inlineStr">
        <is>
          <t>Milei said Elon Musk is extremely interested in Argentine lithium, as are the US government and many companies, and argued Argentina needs a legal framework that respects property rights to attract them.</t>
        </is>
      </c>
      <c r="K121" s="32" t="inlineStr">
        <is>
          <t>lithium</t>
        </is>
      </c>
      <c r="L121" s="32" t="inlineStr">
        <is>
          <t>foreign investment</t>
        </is>
      </c>
      <c r="M121" s="31" t="inlineStr">
        <is>
          <t>not mentioned</t>
        </is>
      </c>
      <c r="N121" s="31" t="inlineStr">
        <is>
          <t>positive</t>
        </is>
      </c>
      <c r="O121" s="32" t="inlineStr">
        <is>
          <t>está sumamente interesado en el litio</t>
        </is>
      </c>
      <c r="P121" s="32" t="inlineStr">
        <is>
          <t>he is extremely interested in lithium</t>
        </is>
      </c>
      <c r="Q121" s="31" t="inlineStr">
        <is>
          <t>es</t>
        </is>
      </c>
      <c r="R121" s="33" t="inlineStr">
        <is>
          <t>Ámbito</t>
        </is>
      </c>
      <c r="S121" s="32" t="inlineStr">
        <is>
          <t>news media</t>
        </is>
      </c>
      <c r="T121" s="32" t="inlineStr">
        <is>
          <t>secondary reported</t>
        </is>
      </c>
      <c r="U121" s="32" t="inlineStr">
        <is>
          <t>Quote refers to Elon Musk.</t>
        </is>
      </c>
    </row>
    <row r="122" ht="45.75" customHeight="1" s="24">
      <c r="A122" s="31" t="inlineStr">
        <is>
          <t>PS-0119</t>
        </is>
      </c>
      <c r="B122" s="31" t="inlineStr">
        <is>
          <t>2024-01</t>
        </is>
      </c>
      <c r="C122" s="31" t="inlineStr">
        <is>
          <t>Chile</t>
        </is>
      </c>
      <c r="D122" s="31" t="inlineStr">
        <is>
          <t>Yes</t>
        </is>
      </c>
      <c r="E122" s="32" t="inlineStr">
        <is>
          <t>Mario Marcel</t>
        </is>
      </c>
      <c r="F122" s="32" t="inlineStr">
        <is>
          <t>Minister of Finance</t>
        </is>
      </c>
      <c r="G122" s="32" t="inlineStr">
        <is>
          <t>LatAm executive</t>
        </is>
      </c>
      <c r="H122" s="32" t="inlineStr">
        <is>
          <t>legislative debate</t>
        </is>
      </c>
      <c r="I122" s="32" t="inlineStr">
        <is>
          <t>Special Senate session on Codelco-SQM agreement</t>
        </is>
      </c>
      <c r="J122" s="32" t="inlineStr">
        <is>
          <t>At a special Senate session where senators questioned the lack of tender and SQM's record, Marcel explained that state revenue from the Codelco-SQM deal combines taxes, royalties and profit participation.</t>
        </is>
      </c>
      <c r="K122" s="32" t="inlineStr">
        <is>
          <t>lithium</t>
        </is>
      </c>
      <c r="L122" s="32" t="inlineStr">
        <is>
          <t>royalties taxation, state control nationalization</t>
        </is>
      </c>
      <c r="M122" s="31" t="inlineStr">
        <is>
          <t>not mentioned</t>
        </is>
      </c>
      <c r="N122" s="31" t="inlineStr">
        <is>
          <t>not mentioned</t>
        </is>
      </c>
      <c r="O122" s="32" t="inlineStr">
        <is>
          <t>Una son los impuestos, otra es el royalty (minero), otra es la participación en los ingresos</t>
        </is>
      </c>
      <c r="P122" s="32" t="inlineStr">
        <is>
          <t>One is taxes, another is the (mining) royalty, another is the share of revenue</t>
        </is>
      </c>
      <c r="Q122" s="31" t="inlineStr">
        <is>
          <t>es</t>
        </is>
      </c>
      <c r="R122" s="33" t="inlineStr">
        <is>
          <t>Reporte Minero</t>
        </is>
      </c>
      <c r="S122" s="32" t="inlineStr">
        <is>
          <t>news media</t>
        </is>
      </c>
      <c r="T122" s="32" t="inlineStr">
        <is>
          <t>secondary reported</t>
        </is>
      </c>
      <c r="U122" s="32" t="inlineStr">
        <is>
          <t>Exact day not given; January 2024</t>
        </is>
      </c>
    </row>
    <row r="123" ht="45.75" customHeight="1" s="24">
      <c r="A123" s="31" t="inlineStr">
        <is>
          <t>PS-0120</t>
        </is>
      </c>
      <c r="B123" s="31" t="inlineStr">
        <is>
          <t>2024-01-19</t>
        </is>
      </c>
      <c r="C123" s="31" t="inlineStr">
        <is>
          <t>Argentina</t>
        </is>
      </c>
      <c r="D123" s="31" t="inlineStr">
        <is>
          <t>Yes</t>
        </is>
      </c>
      <c r="E123" s="32" t="inlineStr">
        <is>
          <t>Flavia Royón</t>
        </is>
      </c>
      <c r="F123" s="32" t="inlineStr">
        <is>
          <t>Secretary of Mining of Argentina</t>
        </is>
      </c>
      <c r="G123" s="32" t="inlineStr">
        <is>
          <t>LatAm executive</t>
        </is>
      </c>
      <c r="H123" s="32" t="inlineStr">
        <is>
          <t>interview</t>
        </is>
      </c>
      <c r="I123" s="32" t="inlineStr">
        <is>
          <t>Bloomberg Línea interview early in Milei government</t>
        </is>
      </c>
      <c r="J123" s="32" t="inlineStr">
        <is>
          <t>Royón said Argentina should pursue lithium, copper, gold and silver alike, that copper must be a national objective, that lithium industrialization matters but should not be exclusionary, and that talks with the State Department on Argentina's IRA inclusion continue.</t>
        </is>
      </c>
      <c r="K123" s="32" t="inlineStr">
        <is>
          <t>lithium, copper, mining general</t>
        </is>
      </c>
      <c r="L123" s="32" t="inlineStr">
        <is>
          <t>foreign investment, value added industrialization, trade deals offtake</t>
        </is>
      </c>
      <c r="M123" s="31" t="inlineStr">
        <is>
          <t>not mentioned</t>
        </is>
      </c>
      <c r="N123" s="31" t="inlineStr">
        <is>
          <t>positive</t>
        </is>
      </c>
      <c r="O123" s="32" t="inlineStr">
        <is>
          <t>Acá no es litio o cobre. Es el litio, cobre, oro, plata, todo.</t>
        </is>
      </c>
      <c r="P123" s="32" t="inlineStr">
        <is>
          <t>Here it is not lithium or copper. It is lithium, copper, gold, silver, everything.</t>
        </is>
      </c>
      <c r="Q123" s="31" t="inlineStr">
        <is>
          <t>es</t>
        </is>
      </c>
      <c r="R123" s="33" t="inlineStr">
        <is>
          <t>Bloomberg Línea</t>
        </is>
      </c>
      <c r="S123" s="32" t="inlineStr">
        <is>
          <t>news media</t>
        </is>
      </c>
      <c r="T123" s="32" t="inlineStr">
        <is>
          <t>secondary reported</t>
        </is>
      </c>
      <c r="U123" s="32" t="inlineStr"/>
    </row>
    <row r="124" ht="45.75" customHeight="1" s="24">
      <c r="A124" s="31" t="inlineStr">
        <is>
          <t>PS-0412</t>
        </is>
      </c>
      <c r="B124" s="31" t="inlineStr">
        <is>
          <t>2024-02-01</t>
        </is>
      </c>
      <c r="C124" s="31" t="inlineStr">
        <is>
          <t>Bolivia</t>
        </is>
      </c>
      <c r="D124" s="31" t="inlineStr">
        <is>
          <t>Yes</t>
        </is>
      </c>
      <c r="E124" s="32" t="inlineStr">
        <is>
          <t>Wang Liang</t>
        </is>
      </c>
      <c r="F124" s="32" t="inlineStr">
        <is>
          <t>Ambassador of China to Bolivia</t>
        </is>
      </c>
      <c r="G124" s="32" t="inlineStr">
        <is>
          <t>China</t>
        </is>
      </c>
      <c r="H124" s="32" t="inlineStr">
        <is>
          <t>speech</t>
        </is>
      </c>
      <c r="I124" s="32" t="inlineStr">
        <is>
          <t>Spring Festival reception at the embassy in La Paz, with Foreign Minister Celinda Sosa</t>
        </is>
      </c>
      <c r="J124" s="32" t="inlineStr">
        <is>
          <t>Wang said China was consolidating itself as a significant partner in Bolivia's lithium industrialisation: the lithium carbonate plant built by a Chinese company was operating and two other Chinese consortia had signed cooperation agreements with the Bolivian side.</t>
        </is>
      </c>
      <c r="K124" s="32" t="inlineStr">
        <is>
          <t>lithium, zinc</t>
        </is>
      </c>
      <c r="L124" s="32" t="inlineStr">
        <is>
          <t>foreign investment, value added industrialization</t>
        </is>
      </c>
      <c r="M124" s="31" t="inlineStr">
        <is>
          <t>positive</t>
        </is>
      </c>
      <c r="N124" s="31" t="inlineStr">
        <is>
          <t>not mentioned</t>
        </is>
      </c>
      <c r="O124" s="32" t="inlineStr">
        <is>
          <t>otros dos consorcios chinos han firmado acuerdo de cooperación con la parte boliviana para la industrialización de litio</t>
        </is>
      </c>
      <c r="P124" s="32" t="inlineStr">
        <is>
          <t>two other Chinese consortia have signed a cooperation agreement with the Bolivian side for the industrialisation of lithium</t>
        </is>
      </c>
      <c r="Q124" s="31" t="inlineStr">
        <is>
          <t>es</t>
        </is>
      </c>
      <c r="R124" s="33" t="inlineStr">
        <is>
          <t>Fundación Andrés Bello</t>
        </is>
      </c>
      <c r="S124" s="32" t="inlineStr">
        <is>
          <t>think tank or ngo</t>
        </is>
      </c>
      <c r="T124" s="32" t="inlineStr">
        <is>
          <t>secondary reported</t>
        </is>
      </c>
      <c r="U124" s="32" t="inlineStr">
        <is>
          <t>Coded by an AI session (2026-10-09) under the README vocabularies, from web-search results that cite the page; the page itself was not opened. Also reported by Prensa Latina on 2 February 2024.</t>
        </is>
      </c>
    </row>
    <row r="125" ht="45.75" customHeight="1" s="24">
      <c r="A125" s="31" t="inlineStr">
        <is>
          <t>PS-0121</t>
        </is>
      </c>
      <c r="B125" s="31" t="inlineStr">
        <is>
          <t>2024-02-15</t>
        </is>
      </c>
      <c r="C125" s="31" t="inlineStr">
        <is>
          <t>Peru</t>
        </is>
      </c>
      <c r="D125" s="31" t="inlineStr">
        <is>
          <t>Yes</t>
        </is>
      </c>
      <c r="E125" s="32" t="inlineStr">
        <is>
          <t>Rómulo Mucho</t>
        </is>
      </c>
      <c r="F125" s="32" t="inlineStr">
        <is>
          <t>Minister of Energy and Mines of Peru</t>
        </is>
      </c>
      <c r="G125" s="32" t="inlineStr">
        <is>
          <t>LatAm executive</t>
        </is>
      </c>
      <c r="H125" s="32" t="inlineStr">
        <is>
          <t>interview</t>
        </is>
      </c>
      <c r="I125" s="32" t="inlineStr">
        <is>
          <t>Debate over REINFO and illegal mining</t>
        </is>
      </c>
      <c r="J125" s="32" t="inlineStr">
        <is>
          <t>Mucho said distortion of the REINFO formalization registry had enabled the expansion of illegal mining and that the registry needed review, excluding those not complying.</t>
        </is>
      </c>
      <c r="K125" s="32" t="inlineStr">
        <is>
          <t>mining general</t>
        </is>
      </c>
      <c r="L125" s="32" t="inlineStr">
        <is>
          <t>corruption governance, labor social conflict</t>
        </is>
      </c>
      <c r="M125" s="31" t="inlineStr">
        <is>
          <t>not mentioned</t>
        </is>
      </c>
      <c r="N125" s="31" t="inlineStr">
        <is>
          <t>not mentioned</t>
        </is>
      </c>
      <c r="O125" s="32" t="inlineStr">
        <is>
          <t>Por la distorsión del Reinfo han aparecido muchos que están trabajando en eso.</t>
        </is>
      </c>
      <c r="P125" s="32" t="inlineStr">
        <is>
          <t>Because of the distortion of Reinfo, many have appeared who are working in that.</t>
        </is>
      </c>
      <c r="Q125" s="31" t="inlineStr">
        <is>
          <t>es</t>
        </is>
      </c>
      <c r="R125" s="33" t="inlineStr">
        <is>
          <t>Energiminas</t>
        </is>
      </c>
      <c r="S125" s="32" t="inlineStr">
        <is>
          <t>news media</t>
        </is>
      </c>
      <c r="T125" s="32" t="inlineStr">
        <is>
          <t>secondary reported</t>
        </is>
      </c>
      <c r="U125" s="32" t="inlineStr"/>
    </row>
    <row r="126" ht="45.75" customHeight="1" s="24">
      <c r="A126" s="31" t="inlineStr">
        <is>
          <t>PS-0122</t>
        </is>
      </c>
      <c r="B126" s="31" t="inlineStr">
        <is>
          <t>2024-02-22</t>
        </is>
      </c>
      <c r="C126" s="31" t="inlineStr">
        <is>
          <t>Bolivia</t>
        </is>
      </c>
      <c r="D126" s="31" t="inlineStr">
        <is>
          <t>Yes</t>
        </is>
      </c>
      <c r="E126" s="32" t="inlineStr">
        <is>
          <t>Marcelino Quispe</t>
        </is>
      </c>
      <c r="F126" s="32" t="inlineStr">
        <is>
          <t>Minister of Mining and Metallurgy</t>
        </is>
      </c>
      <c r="G126" s="32" t="inlineStr">
        <is>
          <t>LatAm executive</t>
        </is>
      </c>
      <c r="H126" s="32" t="inlineStr">
        <is>
          <t>official statement</t>
        </is>
      </c>
      <c r="I126" s="32" t="inlineStr">
        <is>
          <t>Announcement of zinc refineries in Potosí and Oruro</t>
        </is>
      </c>
      <c r="J126" s="32" t="inlineStr">
        <is>
          <t>Quispe confirmed plans for zinc refineries in Potosí (~US$400m) and Oruro (~US$350m), saying Bolivia now exports only zinc concentrates and refining would allow recovery of by-products such as indium, cadmium, silver and copper.</t>
        </is>
      </c>
      <c r="K126" s="32" t="inlineStr">
        <is>
          <t>zinc, silver, copper</t>
        </is>
      </c>
      <c r="L126" s="32" t="inlineStr">
        <is>
          <t>value added industrialization, processing refining</t>
        </is>
      </c>
      <c r="M126" s="31" t="inlineStr">
        <is>
          <t>not mentioned</t>
        </is>
      </c>
      <c r="N126" s="31" t="inlineStr">
        <is>
          <t>not mentioned</t>
        </is>
      </c>
      <c r="O126" s="32" t="inlineStr"/>
      <c r="P126" s="32" t="inlineStr"/>
      <c r="Q126" s="31" t="inlineStr">
        <is>
          <t>es</t>
        </is>
      </c>
      <c r="R126" s="33" t="inlineStr">
        <is>
          <t>Reporte Minero</t>
        </is>
      </c>
      <c r="S126" s="32" t="inlineStr">
        <is>
          <t>news media</t>
        </is>
      </c>
      <c r="T126" s="32" t="inlineStr">
        <is>
          <t>secondary reported</t>
        </is>
      </c>
      <c r="U126" s="32" t="inlineStr">
        <is>
          <t>Only paraphrase available.</t>
        </is>
      </c>
    </row>
    <row r="127" ht="45.75" customHeight="1" s="24">
      <c r="A127" s="31" t="inlineStr">
        <is>
          <t>PS-0123</t>
        </is>
      </c>
      <c r="B127" s="31" t="inlineStr">
        <is>
          <t>2024-02-23</t>
        </is>
      </c>
      <c r="C127" s="31" t="inlineStr">
        <is>
          <t>Argentina</t>
        </is>
      </c>
      <c r="D127" s="31" t="inlineStr">
        <is>
          <t>Yes</t>
        </is>
      </c>
      <c r="E127" s="32" t="inlineStr">
        <is>
          <t>Antony Blinken</t>
        </is>
      </c>
      <c r="F127" s="32" t="inlineStr">
        <is>
          <t>U.S. Secretary of State</t>
        </is>
      </c>
      <c r="G127" s="32" t="inlineStr">
        <is>
          <t>United States</t>
        </is>
      </c>
      <c r="H127" s="32" t="inlineStr">
        <is>
          <t>press conference</t>
        </is>
      </c>
      <c r="I127" s="32" t="inlineStr">
        <is>
          <t>Blinken visit to Buenos Aires, meeting with President Milei</t>
        </is>
      </c>
      <c r="J127" s="32" t="inlineStr">
        <is>
          <t>In Buenos Aires Blinken praised Milei's economic efforts and said Argentina has what the world needs, with the US exploring critical minerals investment, especially lithium, through the DFC and the Minerals Security Partnership.</t>
        </is>
      </c>
      <c r="K127" s="32" t="inlineStr">
        <is>
          <t>lithium, critical minerals general</t>
        </is>
      </c>
      <c r="L127" s="32" t="inlineStr">
        <is>
          <t>foreign investment, financing credit, diplomatic relations</t>
        </is>
      </c>
      <c r="M127" s="31" t="inlineStr">
        <is>
          <t>not mentioned</t>
        </is>
      </c>
      <c r="N127" s="31" t="inlineStr">
        <is>
          <t>positive</t>
        </is>
      </c>
      <c r="O127" s="32" t="inlineStr">
        <is>
          <t>We see extraordinary opportunity here in Argentina, but maybe most important, what's so evident is that Argentina has what the world actually needs</t>
        </is>
      </c>
      <c r="P127" s="32" t="inlineStr">
        <is>
          <t>We see extraordinary opportunity here in Argentina, but maybe most important, what's so evident is that Argentina has what the world actually needs</t>
        </is>
      </c>
      <c r="Q127" s="31" t="inlineStr">
        <is>
          <t>en</t>
        </is>
      </c>
      <c r="R127" s="33" t="inlineStr">
        <is>
          <t>Yahoo News (wire report)</t>
        </is>
      </c>
      <c r="S127" s="32" t="inlineStr">
        <is>
          <t>news media</t>
        </is>
      </c>
      <c r="T127" s="32" t="inlineStr">
        <is>
          <t>secondary reported</t>
        </is>
      </c>
      <c r="U127" s="32" t="inlineStr">
        <is>
          <t>Date per Reuters URL (2024-02-23) cited by ISDP; quote 26 words.</t>
        </is>
      </c>
    </row>
    <row r="128" ht="45.75" customHeight="1" s="24">
      <c r="A128" s="31" t="inlineStr">
        <is>
          <t>PS-0124</t>
        </is>
      </c>
      <c r="B128" s="31" t="inlineStr">
        <is>
          <t>2024-03-01</t>
        </is>
      </c>
      <c r="C128" s="31" t="inlineStr">
        <is>
          <t>Chile</t>
        </is>
      </c>
      <c r="D128" s="31" t="inlineStr">
        <is>
          <t>Yes</t>
        </is>
      </c>
      <c r="E128" s="32" t="inlineStr">
        <is>
          <t>Janet Yellen</t>
        </is>
      </c>
      <c r="F128" s="32" t="inlineStr">
        <is>
          <t>U.S. Secretary of the Treasury</t>
        </is>
      </c>
      <c r="G128" s="32" t="inlineStr">
        <is>
          <t>United States</t>
        </is>
      </c>
      <c r="H128" s="32" t="inlineStr">
        <is>
          <t>speech</t>
        </is>
      </c>
      <c r="I128" s="32" t="inlineStr">
        <is>
          <t>Yellen visit to Chile (Santiago, Antofagasta Albemarle site)</t>
        </is>
      </c>
      <c r="J128" s="32" t="inlineStr">
        <is>
          <t>Yellen said Chile, as a leading copper and lithium producer, has a critical role in clean energy supply chains and saw opportunities to further integrate US-Chile supply chains, part of friend-shoring.</t>
        </is>
      </c>
      <c r="K128" s="32" t="inlineStr">
        <is>
          <t>copper, lithium</t>
        </is>
      </c>
      <c r="L128" s="32" t="inlineStr">
        <is>
          <t>energy transition, foreign investment, trade deals offtake</t>
        </is>
      </c>
      <c r="M128" s="31" t="inlineStr">
        <is>
          <t>neutral</t>
        </is>
      </c>
      <c r="N128" s="31" t="inlineStr">
        <is>
          <t>positive</t>
        </is>
      </c>
      <c r="O128" s="32" t="inlineStr">
        <is>
          <t>As a leading producer of both copper and lithium, Chile has a critical role to play in the supply chains that will power our world's transition to clean energy.</t>
        </is>
      </c>
      <c r="P128" s="32" t="inlineStr">
        <is>
          <t>As a leading producer of both copper and lithium, Chile has a critical role to play in the supply chains that will power our world's transition to clean energy.</t>
        </is>
      </c>
      <c r="Q128" s="31" t="inlineStr">
        <is>
          <t>en</t>
        </is>
      </c>
      <c r="R128" s="33" t="inlineStr">
        <is>
          <t>Buenos Aires Times (Reuters/Bloomberg)</t>
        </is>
      </c>
      <c r="S128" s="32" t="inlineStr">
        <is>
          <t>news media</t>
        </is>
      </c>
      <c r="T128" s="32" t="inlineStr">
        <is>
          <t>secondary reported</t>
        </is>
      </c>
      <c r="U128" s="32" t="inlineStr"/>
    </row>
    <row r="129" ht="45.75" customHeight="1" s="24">
      <c r="A129" s="31" t="inlineStr">
        <is>
          <t>PS-0125</t>
        </is>
      </c>
      <c r="B129" s="31" t="inlineStr">
        <is>
          <t>2024-03-02</t>
        </is>
      </c>
      <c r="C129" s="31" t="inlineStr">
        <is>
          <t>Chile</t>
        </is>
      </c>
      <c r="D129" s="31" t="inlineStr">
        <is>
          <t>Yes</t>
        </is>
      </c>
      <c r="E129" s="32" t="inlineStr">
        <is>
          <t>Janet Yellen</t>
        </is>
      </c>
      <c r="F129" s="32" t="inlineStr">
        <is>
          <t>U.S. Secretary of the Treasury</t>
        </is>
      </c>
      <c r="G129" s="32" t="inlineStr">
        <is>
          <t>United States</t>
        </is>
      </c>
      <c r="H129" s="32" t="inlineStr">
        <is>
          <t>press conference</t>
        </is>
      </c>
      <c r="I129" s="32" t="inlineStr">
        <is>
          <t>Visit to Albemarle lithium plant, La Negra (Antofagasta)</t>
        </is>
      </c>
      <c r="J129" s="32" t="inlineStr">
        <is>
          <t>At Albemarle's plant Yellen said the US wants to acquire minerals from free-trade partners like Chile and expected US lithium purchases from Chile to expand substantially, while saying expanding trade with Chile is 'not a competition' with China, though reducing over-dependence on China is core to the IRA.</t>
        </is>
      </c>
      <c r="K129" s="32" t="inlineStr">
        <is>
          <t>lithium, copper</t>
        </is>
      </c>
      <c r="L129" s="32" t="inlineStr">
        <is>
          <t>trade deals offtake, energy transition, environment water, geopolitics security</t>
        </is>
      </c>
      <c r="M129" s="31" t="inlineStr">
        <is>
          <t>mixed</t>
        </is>
      </c>
      <c r="N129" s="31" t="inlineStr">
        <is>
          <t>positive</t>
        </is>
      </c>
      <c r="O129" s="32" t="inlineStr">
        <is>
          <t>We want to certainly acquire minerals from our free trade partners, especially a country like Chile that is producing with great environmental sensitivity</t>
        </is>
      </c>
      <c r="P129" s="32" t="inlineStr">
        <is>
          <t>We want to certainly acquire minerals from our free trade partners, especially a country like Chile that is producing with great environmental sensitivity</t>
        </is>
      </c>
      <c r="Q129" s="31" t="inlineStr">
        <is>
          <t>en</t>
        </is>
      </c>
      <c r="R129" s="33" t="inlineStr">
        <is>
          <t>DT Next (Reuters)</t>
        </is>
      </c>
      <c r="S129" s="32" t="inlineStr">
        <is>
          <t>news media</t>
        </is>
      </c>
      <c r="T129" s="32" t="inlineStr">
        <is>
          <t>secondary reported</t>
        </is>
      </c>
      <c r="U129" s="32" t="inlineStr"/>
    </row>
    <row r="130" ht="45.75" customHeight="1" s="24">
      <c r="A130" s="31" t="inlineStr">
        <is>
          <t>PS-0126</t>
        </is>
      </c>
      <c r="B130" s="31" t="inlineStr">
        <is>
          <t>2024-03-04</t>
        </is>
      </c>
      <c r="C130" s="31" t="inlineStr">
        <is>
          <t>Panama</t>
        </is>
      </c>
      <c r="D130" s="31" t="inlineStr">
        <is>
          <t>No</t>
        </is>
      </c>
      <c r="E130" s="32" t="inlineStr">
        <is>
          <t>José W. Fernández</t>
        </is>
      </c>
      <c r="F130" s="32" t="inlineStr">
        <is>
          <t>U.S. Under Secretary of State for Economic Growth, Energy, and the Environment</t>
        </is>
      </c>
      <c r="G130" s="32" t="inlineStr">
        <is>
          <t>United States</t>
        </is>
      </c>
      <c r="H130" s="32" t="inlineStr">
        <is>
          <t>interview</t>
        </is>
      </c>
      <c r="I130" s="32" t="inlineStr">
        <is>
          <t>Reuters interview on First Quantum's Cobre Panamá dispute</t>
        </is>
      </c>
      <c r="J130" s="32" t="inlineStr">
        <is>
          <t>Fernández said the future of the closed Cobre Panamá copper mine was for Panamanians to decide and that communities must be convinced they will benefit from mining, while promoting the US-led minerals partnership as an alternative to Chinese-dominated supply chains.</t>
        </is>
      </c>
      <c r="K130" s="32" t="inlineStr">
        <is>
          <t>copper, critical minerals general</t>
        </is>
      </c>
      <c r="L130" s="32" t="inlineStr">
        <is>
          <t>environment water, labor social conflict, sovereignty, geopolitics security</t>
        </is>
      </c>
      <c r="M130" s="31" t="inlineStr">
        <is>
          <t>neutral</t>
        </is>
      </c>
      <c r="N130" s="31" t="inlineStr">
        <is>
          <t>positive</t>
        </is>
      </c>
      <c r="O130" s="32" t="inlineStr">
        <is>
          <t>We have followed the case, and it is an issue for the Panamanian people to decide</t>
        </is>
      </c>
      <c r="P130" s="32" t="inlineStr">
        <is>
          <t>We have followed the case, and it is an issue for the Panamanian people to decide</t>
        </is>
      </c>
      <c r="Q130" s="31" t="inlineStr">
        <is>
          <t>en</t>
        </is>
      </c>
      <c r="R130" s="33" t="inlineStr">
        <is>
          <t>Kitco (Reuters)</t>
        </is>
      </c>
      <c r="S130" s="32" t="inlineStr">
        <is>
          <t>news media</t>
        </is>
      </c>
      <c r="T130" s="32" t="inlineStr">
        <is>
          <t>secondary reported</t>
        </is>
      </c>
      <c r="U130" s="32" t="inlineStr">
        <is>
          <t>Interview given late Monday 4 Mar 2024, published 5 Mar. China dominance point is reporter context; stance_china neutral.</t>
        </is>
      </c>
    </row>
    <row r="131" ht="45.75" customHeight="1" s="24">
      <c r="A131" s="31" t="inlineStr">
        <is>
          <t>PS-0127</t>
        </is>
      </c>
      <c r="B131" s="31" t="inlineStr">
        <is>
          <t>2024-03-12</t>
        </is>
      </c>
      <c r="C131" s="31" t="inlineStr">
        <is>
          <t>Peru</t>
        </is>
      </c>
      <c r="D131" s="31" t="inlineStr">
        <is>
          <t>Yes</t>
        </is>
      </c>
      <c r="E131" s="32" t="inlineStr">
        <is>
          <t>Laura Richardson</t>
        </is>
      </c>
      <c r="F131" s="32" t="inlineStr">
        <is>
          <t>Commander, U.S. Southern Command</t>
        </is>
      </c>
      <c r="G131" s="32" t="inlineStr">
        <is>
          <t>United States</t>
        </is>
      </c>
      <c r="H131" s="32" t="inlineStr">
        <is>
          <t>legislative debate</t>
        </is>
      </c>
      <c r="I131" s="32" t="inlineStr">
        <is>
          <t>House Armed Services Committee posture hearing</t>
        </is>
      </c>
      <c r="J131" s="32" t="inlineStr">
        <is>
          <t>In testimony to the House Armed Services Committee, Richardson warned of the security risks of Chinese investments in South America, citing the Chancay megaport promoted by Beijing as a 'gateway from South America to Asia' among dual-use concerns.</t>
        </is>
      </c>
      <c r="K131" s="32" t="inlineStr">
        <is>
          <t>mining general</t>
        </is>
      </c>
      <c r="L131" s="32" t="inlineStr">
        <is>
          <t>geopolitics security, infrastructure ports</t>
        </is>
      </c>
      <c r="M131" s="31" t="inlineStr">
        <is>
          <t>negative</t>
        </is>
      </c>
      <c r="N131" s="31" t="inlineStr">
        <is>
          <t>not mentioned</t>
        </is>
      </c>
      <c r="O131" s="32" t="inlineStr">
        <is>
          <t>gateway from South America to Asia</t>
        </is>
      </c>
      <c r="P131" s="32" t="inlineStr">
        <is>
          <t>gateway from South America to Asia</t>
        </is>
      </c>
      <c r="Q131" s="31" t="inlineStr">
        <is>
          <t>en</t>
        </is>
      </c>
      <c r="R131" s="33" t="inlineStr">
        <is>
          <t>USNI News</t>
        </is>
      </c>
      <c r="S131" s="32" t="inlineStr">
        <is>
          <t>news media</t>
        </is>
      </c>
      <c r="T131" s="32" t="inlineStr">
        <is>
          <t>secondary reported</t>
        </is>
      </c>
      <c r="U131" s="32" t="inlineStr">
        <is>
          <t>Port record; minerals relevance indirect (Chancay as mineral export hub). Quoted phrase is Beijing's characterization cited in her testimony</t>
        </is>
      </c>
    </row>
    <row r="132" ht="45.75" customHeight="1" s="24">
      <c r="A132" s="31" t="inlineStr">
        <is>
          <t>PS-0128</t>
        </is>
      </c>
      <c r="B132" s="31" t="inlineStr">
        <is>
          <t>2024-03-12</t>
        </is>
      </c>
      <c r="C132" s="31" t="inlineStr">
        <is>
          <t>Peru</t>
        </is>
      </c>
      <c r="D132" s="31" t="inlineStr">
        <is>
          <t>Yes</t>
        </is>
      </c>
      <c r="E132" s="32" t="inlineStr">
        <is>
          <t>Mike Rogers</t>
        </is>
      </c>
      <c r="F132" s="32" t="inlineStr">
        <is>
          <t>U.S. Representative (R-AL), Chairman, House Armed Services Committee</t>
        </is>
      </c>
      <c r="G132" s="32" t="inlineStr">
        <is>
          <t>United States</t>
        </is>
      </c>
      <c r="H132" s="32" t="inlineStr">
        <is>
          <t>legislative debate</t>
        </is>
      </c>
      <c r="I132" s="32" t="inlineStr">
        <is>
          <t>HASC hearing on national security challenges in North and South America</t>
        </is>
      </c>
      <c r="J132" s="32" t="inlineStr">
        <is>
          <t>Rogers said China's $3.6 billion port in Peru would be used to ship South American copper, lithium and other critical minerals to China for military modernization, and that CCP-backed companies own or operate mines and ports across the region.</t>
        </is>
      </c>
      <c r="K132" s="32" t="inlineStr">
        <is>
          <t>copper, lithium, critical minerals general</t>
        </is>
      </c>
      <c r="L132" s="32" t="inlineStr">
        <is>
          <t>geopolitics security, infrastructure ports</t>
        </is>
      </c>
      <c r="M132" s="31" t="inlineStr">
        <is>
          <t>negative</t>
        </is>
      </c>
      <c r="N132" s="31" t="inlineStr">
        <is>
          <t>positive</t>
        </is>
      </c>
      <c r="O132" s="32" t="inlineStr">
        <is>
          <t>It will be used to ship South American copper, lithium, and other critical minerals to China to further their military modernization.</t>
        </is>
      </c>
      <c r="P132" s="32" t="inlineStr">
        <is>
          <t>It will be used to ship South American copper, lithium, and other critical minerals to China to further their military modernization.</t>
        </is>
      </c>
      <c r="Q132" s="31" t="inlineStr">
        <is>
          <t>en</t>
        </is>
      </c>
      <c r="R132" s="33" t="inlineStr">
        <is>
          <t>House Armed Services Committee</t>
        </is>
      </c>
      <c r="S132" s="32" t="inlineStr">
        <is>
          <t>legislative record</t>
        </is>
      </c>
      <c r="T132" s="32" t="inlineStr">
        <is>
          <t>primary verified</t>
        </is>
      </c>
      <c r="U132" s="32" t="inlineStr"/>
    </row>
    <row r="133" ht="45.75" customHeight="1" s="24">
      <c r="A133" s="31" t="inlineStr">
        <is>
          <t>PS-0129</t>
        </is>
      </c>
      <c r="B133" s="31" t="inlineStr">
        <is>
          <t>2024-03-12</t>
        </is>
      </c>
      <c r="C133" s="31" t="inlineStr">
        <is>
          <t>Regional</t>
        </is>
      </c>
      <c r="D133" s="31" t="inlineStr">
        <is>
          <t>No</t>
        </is>
      </c>
      <c r="E133" s="32" t="inlineStr">
        <is>
          <t>Laura Richardson</t>
        </is>
      </c>
      <c r="F133" s="32" t="inlineStr">
        <is>
          <t>Commander, U.S. Southern Command</t>
        </is>
      </c>
      <c r="G133" s="32" t="inlineStr">
        <is>
          <t>United States</t>
        </is>
      </c>
      <c r="H133" s="32" t="inlineStr">
        <is>
          <t>report</t>
        </is>
      </c>
      <c r="I133" s="32" t="inlineStr">
        <is>
          <t>SOUTHCOM 2024 Posture Statement to Congress</t>
        </is>
      </c>
      <c r="J133" s="32" t="inlineStr">
        <is>
          <t>SOUTHCOM's 2024 posture statement listed lithium, rare earths and minerals among goods trafficked by transnational criminal organizations in the hemisphere.</t>
        </is>
      </c>
      <c r="K133" s="32" t="inlineStr">
        <is>
          <t>lithium, rare earths, mining general</t>
        </is>
      </c>
      <c r="L133" s="32" t="inlineStr">
        <is>
          <t>geopolitics security, corruption governance</t>
        </is>
      </c>
      <c r="M133" s="31" t="inlineStr">
        <is>
          <t>not mentioned</t>
        </is>
      </c>
      <c r="N133" s="31" t="inlineStr">
        <is>
          <t>positive</t>
        </is>
      </c>
      <c r="O133" s="32" t="inlineStr">
        <is>
          <t>traffic weapons, drugs, people gold, lithium, rare earth, minerals, commodities and counterfeit goods</t>
        </is>
      </c>
      <c r="P133" s="32" t="inlineStr">
        <is>
          <t>traffic weapons, drugs, people gold, lithium, rare earth, minerals, commodities and counterfeit goods</t>
        </is>
      </c>
      <c r="Q133" s="31" t="inlineStr">
        <is>
          <t>en</t>
        </is>
      </c>
      <c r="R133" s="33" t="inlineStr">
        <is>
          <t>U.S. Southern Command</t>
        </is>
      </c>
      <c r="S133" s="32" t="inlineStr">
        <is>
          <t>primary official</t>
        </is>
      </c>
      <c r="T133" s="32" t="inlineStr">
        <is>
          <t>primary verified</t>
        </is>
      </c>
      <c r="U133" s="32" t="inlineStr"/>
    </row>
    <row r="134" ht="45.75" customHeight="1" s="24">
      <c r="A134" s="31" t="inlineStr">
        <is>
          <t>PS-0130</t>
        </is>
      </c>
      <c r="B134" s="31" t="inlineStr">
        <is>
          <t>2024-04-10</t>
        </is>
      </c>
      <c r="C134" s="31" t="inlineStr">
        <is>
          <t>Peru</t>
        </is>
      </c>
      <c r="D134" s="31" t="inlineStr">
        <is>
          <t>Yes</t>
        </is>
      </c>
      <c r="E134" s="32" t="inlineStr">
        <is>
          <t>Rómulo Mucho</t>
        </is>
      </c>
      <c r="F134" s="32" t="inlineStr">
        <is>
          <t>Minister of Energy and Mines of Peru</t>
        </is>
      </c>
      <c r="G134" s="32" t="inlineStr">
        <is>
          <t>LatAm executive</t>
        </is>
      </c>
      <c r="H134" s="32" t="inlineStr">
        <is>
          <t>interview</t>
        </is>
      </c>
      <c r="I134" s="32" t="inlineStr">
        <is>
          <t>Attack on Poderosa transmission towers; reactivating mining projects</t>
        </is>
      </c>
      <c r="J134" s="32" t="inlineStr">
        <is>
          <t>Mucho said some congressmen radically oppose progress and job creation, pledged to reactivate mining projects, review REINFO, and called for declaring mining formalization an emergency.</t>
        </is>
      </c>
      <c r="K134" s="32" t="inlineStr">
        <is>
          <t>mining general</t>
        </is>
      </c>
      <c r="L134" s="32" t="inlineStr">
        <is>
          <t>foreign investment, corruption governance, geopolitics security</t>
        </is>
      </c>
      <c r="M134" s="31" t="inlineStr">
        <is>
          <t>not mentioned</t>
        </is>
      </c>
      <c r="N134" s="31" t="inlineStr">
        <is>
          <t>not mentioned</t>
        </is>
      </c>
      <c r="O134" s="32" t="inlineStr">
        <is>
          <t>existen congresistas que se oponen radicalmente al progreso, a la generación de puestos de trabajo</t>
        </is>
      </c>
      <c r="P134" s="32" t="inlineStr">
        <is>
          <t>there are congressmen who radically oppose progress, the creation of jobs</t>
        </is>
      </c>
      <c r="Q134" s="31" t="inlineStr">
        <is>
          <t>es</t>
        </is>
      </c>
      <c r="R134" s="33" t="inlineStr">
        <is>
          <t>Energiminas</t>
        </is>
      </c>
      <c r="S134" s="32" t="inlineStr">
        <is>
          <t>news media</t>
        </is>
      </c>
      <c r="T134" s="32" t="inlineStr">
        <is>
          <t>secondary reported</t>
        </is>
      </c>
      <c r="U134" s="32" t="inlineStr"/>
    </row>
    <row r="135" ht="45.75" customHeight="1" s="24">
      <c r="A135" s="31" t="inlineStr">
        <is>
          <t>PS-0131</t>
        </is>
      </c>
      <c r="B135" s="31" t="inlineStr">
        <is>
          <t>2024-05-16</t>
        </is>
      </c>
      <c r="C135" s="31" t="inlineStr">
        <is>
          <t>Brazil</t>
        </is>
      </c>
      <c r="D135" s="31" t="inlineStr">
        <is>
          <t>Yes</t>
        </is>
      </c>
      <c r="E135" s="32" t="inlineStr">
        <is>
          <t>Romeu Zema</t>
        </is>
      </c>
      <c r="F135" s="32" t="inlineStr">
        <is>
          <t>Governor of Minas Gerais</t>
        </is>
      </c>
      <c r="G135" s="32" t="inlineStr">
        <is>
          <t>LatAm executive</t>
        </is>
      </c>
      <c r="H135" s="32" t="inlineStr">
        <is>
          <t>speech</t>
        </is>
      </c>
      <c r="I135" s="32" t="inlineStr">
        <is>
          <t>Vale do Lítio event at Nasdaq headquarters, New York</t>
        </is>
      </c>
      <c r="J135" s="32" t="inlineStr">
        <is>
          <t>At a second Nasdaq event promoting the Lithium Valley, Zema pitched Minas Gerais to investors as a safe destination with stable rules, as Sigma Lithium reported its investments in the Jequitinhonha region.</t>
        </is>
      </c>
      <c r="K135" s="32" t="inlineStr">
        <is>
          <t>lithium</t>
        </is>
      </c>
      <c r="L135" s="32" t="inlineStr">
        <is>
          <t>foreign investment, energy transition</t>
        </is>
      </c>
      <c r="M135" s="31" t="inlineStr">
        <is>
          <t>not mentioned</t>
        </is>
      </c>
      <c r="N135" s="31" t="inlineStr">
        <is>
          <t>not mentioned</t>
        </is>
      </c>
      <c r="O135" s="32" t="inlineStr">
        <is>
          <t>nós temos um estado onde o seu investimento será feito de maneira segura, onde as regras são estáveis</t>
        </is>
      </c>
      <c r="P135" s="32" t="inlineStr">
        <is>
          <t>we have a state where your investment will be made safely, where the rules are stable</t>
        </is>
      </c>
      <c r="Q135" s="31" t="inlineStr">
        <is>
          <t>pt</t>
        </is>
      </c>
      <c r="R135" s="33" t="inlineStr">
        <is>
          <t>CNN Brasil</t>
        </is>
      </c>
      <c r="S135" s="32" t="inlineStr">
        <is>
          <t>news media</t>
        </is>
      </c>
      <c r="T135" s="32" t="inlineStr">
        <is>
          <t>secondary reported</t>
        </is>
      </c>
      <c r="U135" s="32" t="inlineStr"/>
    </row>
    <row r="136" ht="45.75" customHeight="1" s="24">
      <c r="A136" s="31" t="inlineStr">
        <is>
          <t>PS-0132</t>
        </is>
      </c>
      <c r="B136" s="31" t="inlineStr">
        <is>
          <t>2024-06</t>
        </is>
      </c>
      <c r="C136" s="31" t="inlineStr">
        <is>
          <t>Argentina</t>
        </is>
      </c>
      <c r="D136" s="31" t="inlineStr">
        <is>
          <t>Yes</t>
        </is>
      </c>
      <c r="E136" s="32" t="inlineStr">
        <is>
          <t>Marcelo Orrego</t>
        </is>
      </c>
      <c r="F136" s="32" t="inlineStr">
        <is>
          <t>Governor of San Juan</t>
        </is>
      </c>
      <c r="G136" s="32" t="inlineStr">
        <is>
          <t>LatAm executive</t>
        </is>
      </c>
      <c r="H136" s="32" t="inlineStr">
        <is>
          <t>interview</t>
        </is>
      </c>
      <c r="I136" s="32" t="inlineStr">
        <is>
          <t>Reaction to Senate RIGI vote</t>
        </is>
      </c>
      <c r="J136" s="32" t="inlineStr">
        <is>
          <t>Orrego said he was surprised by Uñac's vote against the RIGI, arguing it went against San Juan's mining interests.</t>
        </is>
      </c>
      <c r="K136" s="32" t="inlineStr">
        <is>
          <t>mining general</t>
        </is>
      </c>
      <c r="L136" s="32" t="inlineStr">
        <is>
          <t>foreign investment</t>
        </is>
      </c>
      <c r="M136" s="31" t="inlineStr">
        <is>
          <t>not mentioned</t>
        </is>
      </c>
      <c r="N136" s="31" t="inlineStr">
        <is>
          <t>not mentioned</t>
        </is>
      </c>
      <c r="O136" s="32" t="inlineStr">
        <is>
          <t>Me sorprendió el voto de Uñac contra el RIGI, va en contra de San Juan.</t>
        </is>
      </c>
      <c r="P136" s="32" t="inlineStr">
        <is>
          <t>Uñac's vote against the RIGI surprised me; it goes against San Juan.</t>
        </is>
      </c>
      <c r="Q136" s="31" t="inlineStr">
        <is>
          <t>es</t>
        </is>
      </c>
      <c r="R136" s="33" t="inlineStr">
        <is>
          <t>Tiempo de San Juan</t>
        </is>
      </c>
      <c r="S136" s="32" t="inlineStr">
        <is>
          <t>news media</t>
        </is>
      </c>
      <c r="T136" s="32" t="inlineStr">
        <is>
          <t>secondary reported</t>
        </is>
      </c>
      <c r="U136" s="32" t="inlineStr">
        <is>
          <t>Day approximate (mid-June 2024).</t>
        </is>
      </c>
    </row>
    <row r="137" ht="45.75" customHeight="1" s="24">
      <c r="A137" s="31" t="inlineStr">
        <is>
          <t>PS-0133</t>
        </is>
      </c>
      <c r="B137" s="31" t="inlineStr">
        <is>
          <t>2024-06</t>
        </is>
      </c>
      <c r="C137" s="31" t="inlineStr">
        <is>
          <t>Peru</t>
        </is>
      </c>
      <c r="D137" s="31" t="inlineStr">
        <is>
          <t>Yes</t>
        </is>
      </c>
      <c r="E137" s="32" t="inlineStr">
        <is>
          <t>Dina Boluarte</t>
        </is>
      </c>
      <c r="F137" s="32" t="inlineStr">
        <is>
          <t>President of Peru</t>
        </is>
      </c>
      <c r="G137" s="32" t="inlineStr">
        <is>
          <t>LatAm executive</t>
        </is>
      </c>
      <c r="H137" s="32" t="inlineStr">
        <is>
          <t>speech</t>
        </is>
      </c>
      <c r="I137" s="32" t="inlineStr">
        <is>
          <t>State visit to China; business forum in Shanghai</t>
        </is>
      </c>
      <c r="J137" s="32" t="inlineStr">
        <is>
          <t>At a business conference in Shanghai during her June 2024 state visit, Boluarte promoted Peru's mining potential, noting it holds eight of 17 critical minerals and that only 1.51% of its territory has been explored, and invited Chinese investors.</t>
        </is>
      </c>
      <c r="K137" s="32" t="inlineStr">
        <is>
          <t>critical minerals general, mining general</t>
        </is>
      </c>
      <c r="L137" s="32" t="inlineStr">
        <is>
          <t>foreign investment, diplomatic relations</t>
        </is>
      </c>
      <c r="M137" s="31" t="inlineStr">
        <is>
          <t>positive</t>
        </is>
      </c>
      <c r="N137" s="31" t="inlineStr">
        <is>
          <t>not mentioned</t>
        </is>
      </c>
      <c r="O137" s="32" t="inlineStr">
        <is>
          <t>I invite you to invest in Peru and be part of our development.</t>
        </is>
      </c>
      <c r="P137" s="32" t="inlineStr">
        <is>
          <t>I invite you to invest in Peru and be part of our development.</t>
        </is>
      </c>
      <c r="Q137" s="31" t="inlineStr">
        <is>
          <t>en</t>
        </is>
      </c>
      <c r="R137" s="33" t="inlineStr">
        <is>
          <t>Peru Reports</t>
        </is>
      </c>
      <c r="S137" s="32" t="inlineStr">
        <is>
          <t>news media</t>
        </is>
      </c>
      <c r="T137" s="32" t="inlineStr">
        <is>
          <t>secondary reported</t>
        </is>
      </c>
      <c r="U137" s="32" t="inlineStr">
        <is>
          <t>Visit 23-28 Jun 2024; exact day of Shanghai speech not given; quote in English translation</t>
        </is>
      </c>
    </row>
    <row r="138" ht="45.75" customHeight="1" s="24">
      <c r="A138" s="31" t="inlineStr">
        <is>
          <t>PS-0134</t>
        </is>
      </c>
      <c r="B138" s="31" t="inlineStr">
        <is>
          <t>2024-06-04</t>
        </is>
      </c>
      <c r="C138" s="31" t="inlineStr">
        <is>
          <t>Chile</t>
        </is>
      </c>
      <c r="D138" s="31" t="inlineStr">
        <is>
          <t>Yes</t>
        </is>
      </c>
      <c r="E138" s="32" t="inlineStr">
        <is>
          <t>Máximo Pacheco</t>
        </is>
      </c>
      <c r="F138" s="32" t="inlineStr">
        <is>
          <t>Chairman of Codelco</t>
        </is>
      </c>
      <c r="G138" s="32" t="inlineStr">
        <is>
          <t>LatAm state company</t>
        </is>
      </c>
      <c r="H138" s="32" t="inlineStr">
        <is>
          <t>speech</t>
        </is>
      </c>
      <c r="I138" s="32" t="inlineStr">
        <is>
          <t>Defence of Codelco-SQM agreement amid criticism and Tianqi challenge</t>
        </is>
      </c>
      <c r="J138" s="32" t="inlineStr">
        <is>
          <t>Pacheco defended the signed Codelco-SQM partnership as historic and the largest public-private partnership in Chile, after Tianqi argued the pact was not legally valid without shareholder approval.</t>
        </is>
      </c>
      <c r="K138" s="32" t="inlineStr">
        <is>
          <t>lithium</t>
        </is>
      </c>
      <c r="L138" s="32" t="inlineStr">
        <is>
          <t>foreign investment, state control nationalization, indigenous community rights</t>
        </is>
      </c>
      <c r="M138" s="31" t="inlineStr">
        <is>
          <t>neutral</t>
        </is>
      </c>
      <c r="N138" s="31" t="inlineStr">
        <is>
          <t>not mentioned</t>
        </is>
      </c>
      <c r="O138" s="32" t="inlineStr">
        <is>
          <t>Se firmó un documento histórico, con el cual se ha constituido la asociación público-privada más importante en la historia de Chile</t>
        </is>
      </c>
      <c r="P138" s="32" t="inlineStr">
        <is>
          <t>A historic document was signed, establishing the most important public-private partnership in Chile's history</t>
        </is>
      </c>
      <c r="Q138" s="31" t="inlineStr">
        <is>
          <t>es</t>
        </is>
      </c>
      <c r="R138" s="33" t="inlineStr">
        <is>
          <t>Radio Universidad de Chile</t>
        </is>
      </c>
      <c r="S138" s="32" t="inlineStr">
        <is>
          <t>news media</t>
        </is>
      </c>
      <c r="T138" s="32" t="inlineStr">
        <is>
          <t>secondary reported</t>
        </is>
      </c>
      <c r="U138" s="32" t="inlineStr">
        <is>
          <t>Remarks around Codelco public account (3-4 June 2024)</t>
        </is>
      </c>
    </row>
    <row r="139" ht="45.75" customHeight="1" s="24">
      <c r="A139" s="31" t="inlineStr">
        <is>
          <t>PS-0135</t>
        </is>
      </c>
      <c r="B139" s="31" t="inlineStr">
        <is>
          <t>2024-06-11</t>
        </is>
      </c>
      <c r="C139" s="31" t="inlineStr">
        <is>
          <t>Argentina</t>
        </is>
      </c>
      <c r="D139" s="31" t="inlineStr">
        <is>
          <t>Yes</t>
        </is>
      </c>
      <c r="E139" s="32" t="inlineStr">
        <is>
          <t>Marcelo Orrego</t>
        </is>
      </c>
      <c r="F139" s="32" t="inlineStr">
        <is>
          <t>Governor of San Juan</t>
        </is>
      </c>
      <c r="G139" s="32" t="inlineStr">
        <is>
          <t>LatAm executive</t>
        </is>
      </c>
      <c r="H139" s="32" t="inlineStr">
        <is>
          <t>interview</t>
        </is>
      </c>
      <c r="I139" s="32" t="inlineStr">
        <is>
          <t>Interview on LN+ during Senate debate on Ley Bases/RIGI</t>
        </is>
      </c>
      <c r="J139" s="32" t="inlineStr">
        <is>
          <t>Orrego backed the Ley Bases and RIGI, saying it would improve mining investment and noting San Juan's share of Andean copper remains unexploited unlike Chile and Peru.</t>
        </is>
      </c>
      <c r="K139" s="32" t="inlineStr">
        <is>
          <t>copper, mining general</t>
        </is>
      </c>
      <c r="L139" s="32" t="inlineStr">
        <is>
          <t>foreign investment</t>
        </is>
      </c>
      <c r="M139" s="31" t="inlineStr">
        <is>
          <t>not mentioned</t>
        </is>
      </c>
      <c r="N139" s="31" t="inlineStr">
        <is>
          <t>not mentioned</t>
        </is>
      </c>
      <c r="O139" s="32" t="inlineStr">
        <is>
          <t>Tenemos el 40% del cobre entre Chile, Perú y Argentina, y nosotros somos los únicos que no lo explotamos</t>
        </is>
      </c>
      <c r="P139" s="32" t="inlineStr">
        <is>
          <t>We have 40% of the copper among Chile, Peru and Argentina, and we are the only ones who don't exploit it</t>
        </is>
      </c>
      <c r="Q139" s="31" t="inlineStr">
        <is>
          <t>es</t>
        </is>
      </c>
      <c r="R139" s="33" t="inlineStr">
        <is>
          <t>Tiempo de San Juan</t>
        </is>
      </c>
      <c r="S139" s="32" t="inlineStr">
        <is>
          <t>news media</t>
        </is>
      </c>
      <c r="T139" s="32" t="inlineStr">
        <is>
          <t>secondary reported</t>
        </is>
      </c>
      <c r="U139" s="32" t="inlineStr"/>
    </row>
    <row r="140" ht="45.75" customHeight="1" s="24">
      <c r="A140" s="31" t="inlineStr">
        <is>
          <t>PS-0136</t>
        </is>
      </c>
      <c r="B140" s="31" t="inlineStr">
        <is>
          <t>2024-06-11</t>
        </is>
      </c>
      <c r="C140" s="31" t="inlineStr">
        <is>
          <t>Bolivia</t>
        </is>
      </c>
      <c r="D140" s="31" t="inlineStr">
        <is>
          <t>Yes</t>
        </is>
      </c>
      <c r="E140" s="32" t="inlineStr">
        <is>
          <t>Luis Arce</t>
        </is>
      </c>
      <c r="F140" s="32" t="inlineStr">
        <is>
          <t>President of Bolivia</t>
        </is>
      </c>
      <c r="G140" s="32" t="inlineStr">
        <is>
          <t>LatAm executive</t>
        </is>
      </c>
      <c r="H140" s="32" t="inlineStr">
        <is>
          <t>press conference</t>
        </is>
      </c>
      <c r="I140" s="32" t="inlineStr">
        <is>
          <t>After meeting Vladimir Putin, St Petersburg International Economic Forum</t>
        </is>
      </c>
      <c r="J140" s="32" t="inlineStr">
        <is>
          <t>Arce said he and Putin agreed that Uranium One's lithium extraction project in Bolivia must start operating in 2025, alongside the El Alto nuclear research centre.</t>
        </is>
      </c>
      <c r="K140" s="32" t="inlineStr">
        <is>
          <t>lithium</t>
        </is>
      </c>
      <c r="L140" s="32" t="inlineStr">
        <is>
          <t>foreign investment, diplomatic relations, value added industrialization</t>
        </is>
      </c>
      <c r="M140" s="31" t="inlineStr">
        <is>
          <t>not mentioned</t>
        </is>
      </c>
      <c r="N140" s="31" t="inlineStr">
        <is>
          <t>not mentioned</t>
        </is>
      </c>
      <c r="O140" s="32" t="inlineStr">
        <is>
          <t>tiene que entrar en operación en la gestión 2025</t>
        </is>
      </c>
      <c r="P140" s="32" t="inlineStr">
        <is>
          <t>it has to enter into operation in 2025</t>
        </is>
      </c>
      <c r="Q140" s="31" t="inlineStr">
        <is>
          <t>es</t>
        </is>
      </c>
      <c r="R140" s="33" t="inlineStr">
        <is>
          <t>Los Tiempos</t>
        </is>
      </c>
      <c r="S140" s="32" t="inlineStr">
        <is>
          <t>news media</t>
        </is>
      </c>
      <c r="T140" s="32" t="inlineStr">
        <is>
          <t>secondary reported</t>
        </is>
      </c>
      <c r="U140" s="32" t="inlineStr"/>
    </row>
    <row r="141" ht="45.75" customHeight="1" s="24">
      <c r="A141" s="31" t="inlineStr">
        <is>
          <t>PS-0137</t>
        </is>
      </c>
      <c r="B141" s="31" t="inlineStr">
        <is>
          <t>2024-06-12</t>
        </is>
      </c>
      <c r="C141" s="31" t="inlineStr">
        <is>
          <t>Argentina</t>
        </is>
      </c>
      <c r="D141" s="31" t="inlineStr">
        <is>
          <t>Yes</t>
        </is>
      </c>
      <c r="E141" s="32" t="inlineStr">
        <is>
          <t>Sergio Uñac</t>
        </is>
      </c>
      <c r="F141" s="32" t="inlineStr">
        <is>
          <t>Senator for San Juan</t>
        </is>
      </c>
      <c r="G141" s="32" t="inlineStr">
        <is>
          <t>LatAm legislature</t>
        </is>
      </c>
      <c r="H141" s="32" t="inlineStr">
        <is>
          <t>legislative debate</t>
        </is>
      </c>
      <c r="I141" s="32" t="inlineStr">
        <is>
          <t>Senate vote on Ley Bases / RIGI</t>
        </is>
      </c>
      <c r="J141" s="32" t="inlineStr">
        <is>
          <t>Uñac voted against the RIGI, calling it a law made for big capital that favors imports against local industry.</t>
        </is>
      </c>
      <c r="K141" s="32" t="inlineStr">
        <is>
          <t>mining general</t>
        </is>
      </c>
      <c r="L141" s="32" t="inlineStr">
        <is>
          <t>foreign investment, value added industrialization</t>
        </is>
      </c>
      <c r="M141" s="31" t="inlineStr">
        <is>
          <t>not mentioned</t>
        </is>
      </c>
      <c r="N141" s="31" t="inlineStr">
        <is>
          <t>not mentioned</t>
        </is>
      </c>
      <c r="O141" s="32" t="inlineStr">
        <is>
          <t>ley hecha para los grandes capitales</t>
        </is>
      </c>
      <c r="P141" s="32" t="inlineStr">
        <is>
          <t>law made for big capital</t>
        </is>
      </c>
      <c r="Q141" s="31" t="inlineStr">
        <is>
          <t>es</t>
        </is>
      </c>
      <c r="R141" s="33" t="inlineStr">
        <is>
          <t>Tiempo de San Juan</t>
        </is>
      </c>
      <c r="S141" s="32" t="inlineStr">
        <is>
          <t>news media</t>
        </is>
      </c>
      <c r="T141" s="32" t="inlineStr">
        <is>
          <t>secondary reported</t>
        </is>
      </c>
      <c r="U141" s="32" t="inlineStr">
        <is>
          <t>Date = Senate vote night (12-13 June 2024).</t>
        </is>
      </c>
    </row>
    <row r="142" ht="45.75" customHeight="1" s="24">
      <c r="A142" s="31" t="inlineStr">
        <is>
          <t>PS-0138</t>
        </is>
      </c>
      <c r="B142" s="31" t="inlineStr">
        <is>
          <t>2024-06-21</t>
        </is>
      </c>
      <c r="C142" s="31" t="inlineStr">
        <is>
          <t>Mexico</t>
        </is>
      </c>
      <c r="D142" s="31" t="inlineStr">
        <is>
          <t>No</t>
        </is>
      </c>
      <c r="E142" s="32" t="inlineStr">
        <is>
          <t>Ganfeng Lithium</t>
        </is>
      </c>
      <c r="F142" s="32" t="inlineStr">
        <is>
          <t>Chinese lithium company</t>
        </is>
      </c>
      <c r="G142" s="32" t="inlineStr">
        <is>
          <t>China</t>
        </is>
      </c>
      <c r="H142" s="32" t="inlineStr">
        <is>
          <t>official statement</t>
        </is>
      </c>
      <c r="I142" s="32" t="inlineStr">
        <is>
          <t>ICSID arbitration filing against Mexico</t>
        </is>
      </c>
      <c r="J142" s="32" t="inlineStr">
        <is>
          <t>Ganfeng and its UK subsidiaries filed an ICSID claim against Mexico over the August 2023 cancellation of nine lithium concessions in Sonora, invoking the Mexico-China and Mexico-UK investment treaties.</t>
        </is>
      </c>
      <c r="K142" s="32" t="inlineStr">
        <is>
          <t>lithium</t>
        </is>
      </c>
      <c r="L142" s="32" t="inlineStr">
        <is>
          <t>foreign investment, state control nationalization, diplomatic relations</t>
        </is>
      </c>
      <c r="M142" s="31" t="inlineStr">
        <is>
          <t>not mentioned</t>
        </is>
      </c>
      <c r="N142" s="31" t="inlineStr">
        <is>
          <t>not mentioned</t>
        </is>
      </c>
      <c r="O142" s="32" t="inlineStr"/>
      <c r="P142" s="32" t="inlineStr"/>
      <c r="Q142" s="31" t="inlineStr">
        <is>
          <t>es</t>
        </is>
      </c>
      <c r="R142" s="33" t="inlineStr">
        <is>
          <t>Bloomberg Línea</t>
        </is>
      </c>
      <c r="S142" s="32" t="inlineStr">
        <is>
          <t>news media</t>
        </is>
      </c>
      <c r="T142" s="32" t="inlineStr">
        <is>
          <t>secondary reported</t>
        </is>
      </c>
      <c r="U142" s="32" t="inlineStr">
        <is>
          <t>Corporate act; stance fields not applicable.</t>
        </is>
      </c>
    </row>
    <row r="143" ht="45.75" customHeight="1" s="24">
      <c r="A143" s="31" t="inlineStr">
        <is>
          <t>PS-0139</t>
        </is>
      </c>
      <c r="B143" s="31" t="inlineStr">
        <is>
          <t>2024-06-27</t>
        </is>
      </c>
      <c r="C143" s="31" t="inlineStr">
        <is>
          <t>Mexico</t>
        </is>
      </c>
      <c r="D143" s="31" t="inlineStr">
        <is>
          <t>No</t>
        </is>
      </c>
      <c r="E143" s="32" t="inlineStr">
        <is>
          <t>Andrés Manuel López Obrador</t>
        </is>
      </c>
      <c r="F143" s="32" t="inlineStr">
        <is>
          <t>President of Mexico</t>
        </is>
      </c>
      <c r="G143" s="32" t="inlineStr">
        <is>
          <t>LatAm executive</t>
        </is>
      </c>
      <c r="H143" s="32" t="inlineStr">
        <is>
          <t>press conference</t>
        </is>
      </c>
      <c r="I143" s="32" t="inlineStr">
        <is>
          <t>Response to Ganfeng ICSID arbitration filing</t>
        </is>
      </c>
      <c r="J143" s="32" t="inlineStr">
        <is>
          <t>AMLO said Mexico would seek a negotiated deal with Ganfeng after its ICSID arbitration claim, while maintaining that the earlier concessions were generic mining concessions not applicable to lithium.</t>
        </is>
      </c>
      <c r="K143" s="32" t="inlineStr">
        <is>
          <t>lithium</t>
        </is>
      </c>
      <c r="L143" s="32" t="inlineStr">
        <is>
          <t>state control nationalization, foreign investment, diplomatic relations</t>
        </is>
      </c>
      <c r="M143" s="31" t="inlineStr">
        <is>
          <t>mixed</t>
        </is>
      </c>
      <c r="N143" s="31" t="inlineStr">
        <is>
          <t>not mentioned</t>
        </is>
      </c>
      <c r="O143" s="32" t="inlineStr">
        <is>
          <t>Sí puede llevarse a cabo alguna asociación, pero con el predominio del interés nacional, en el caso del litio.</t>
        </is>
      </c>
      <c r="P143" s="32" t="inlineStr">
        <is>
          <t>Some association can take place, but with the predominance of the national interest, in the case of lithium.</t>
        </is>
      </c>
      <c r="Q143" s="31" t="inlineStr">
        <is>
          <t>es</t>
        </is>
      </c>
      <c r="R143" s="33" t="inlineStr">
        <is>
          <t>Mining.com (Reuters)</t>
        </is>
      </c>
      <c r="S143" s="32" t="inlineStr">
        <is>
          <t>news media</t>
        </is>
      </c>
      <c r="T143" s="32" t="inlineStr">
        <is>
          <t>secondary reported</t>
        </is>
      </c>
      <c r="U143" s="32" t="inlineStr">
        <is>
          <t>Quote from Xataka México report of the same mañanera: https://www.xataka.com.mx/automovil/amlo-aclara-litio-concesiones-canceladas-mineral-sera-defendido-china</t>
        </is>
      </c>
    </row>
    <row r="144" ht="45.75" customHeight="1" s="24">
      <c r="A144" s="31" t="inlineStr">
        <is>
          <t>PS-0140</t>
        </is>
      </c>
      <c r="B144" s="31" t="inlineStr">
        <is>
          <t>2024-06-27</t>
        </is>
      </c>
      <c r="C144" s="31" t="inlineStr">
        <is>
          <t>Mexico</t>
        </is>
      </c>
      <c r="D144" s="31" t="inlineStr">
        <is>
          <t>No</t>
        </is>
      </c>
      <c r="E144" s="32" t="inlineStr">
        <is>
          <t>Raquel Buenrostro</t>
        </is>
      </c>
      <c r="F144" s="32" t="inlineStr">
        <is>
          <t>Secretary of Economy of Mexico</t>
        </is>
      </c>
      <c r="G144" s="32" t="inlineStr">
        <is>
          <t>LatAm executive</t>
        </is>
      </c>
      <c r="H144" s="32" t="inlineStr">
        <is>
          <t>interview</t>
        </is>
      </c>
      <c r="I144" s="32" t="inlineStr">
        <is>
          <t>Response to Ganfeng ICSID claim</t>
        </is>
      </c>
      <c r="J144" s="32" t="inlineStr">
        <is>
          <t>Buenrostro said Ganfeng's arbitration claim lacked merit and Mexico would win, though such cases take many years.</t>
        </is>
      </c>
      <c r="K144" s="32" t="inlineStr">
        <is>
          <t>lithium</t>
        </is>
      </c>
      <c r="L144" s="32" t="inlineStr">
        <is>
          <t>state control nationalization, foreign investment</t>
        </is>
      </c>
      <c r="M144" s="31" t="inlineStr">
        <is>
          <t>negative</t>
        </is>
      </c>
      <c r="N144" s="31" t="inlineStr">
        <is>
          <t>not mentioned</t>
        </is>
      </c>
      <c r="O144" s="32" t="inlineStr">
        <is>
          <t>Nosotros creemos que no tienen elementos. Vamos a ganar</t>
        </is>
      </c>
      <c r="P144" s="32" t="inlineStr">
        <is>
          <t>We believe they have no grounds. We are going to win</t>
        </is>
      </c>
      <c r="Q144" s="31" t="inlineStr">
        <is>
          <t>es</t>
        </is>
      </c>
      <c r="R144" s="33" t="inlineStr">
        <is>
          <t>Bloomberg Línea</t>
        </is>
      </c>
      <c r="S144" s="32" t="inlineStr">
        <is>
          <t>news media</t>
        </is>
      </c>
      <c r="T144" s="32" t="inlineStr">
        <is>
          <t>secondary reported</t>
        </is>
      </c>
      <c r="U144" s="32" t="inlineStr">
        <is>
          <t>Stance coded toward the Chinese company's claim.</t>
        </is>
      </c>
    </row>
    <row r="145" ht="45.75" customHeight="1" s="24">
      <c r="A145" s="31" t="inlineStr">
        <is>
          <t>PS-0141</t>
        </is>
      </c>
      <c r="B145" s="31" t="inlineStr">
        <is>
          <t>2024-06-28</t>
        </is>
      </c>
      <c r="C145" s="31" t="inlineStr">
        <is>
          <t>Peru</t>
        </is>
      </c>
      <c r="D145" s="31" t="inlineStr">
        <is>
          <t>Yes</t>
        </is>
      </c>
      <c r="E145" s="32" t="inlineStr">
        <is>
          <t>Li Qiang</t>
        </is>
      </c>
      <c r="F145" s="32" t="inlineStr">
        <is>
          <t>Premier of the State Council of the PRC</t>
        </is>
      </c>
      <c r="G145" s="32" t="inlineStr">
        <is>
          <t>China</t>
        </is>
      </c>
      <c r="H145" s="32" t="inlineStr">
        <is>
          <t>official statement</t>
        </is>
      </c>
      <c r="I145" s="32" t="inlineStr">
        <is>
          <t>Meeting with President Dina Boluarte during her state visit to Beijing</t>
        </is>
      </c>
      <c r="J145" s="32" t="inlineStr">
        <is>
          <t>According to China's readout, Premier Li Qiang told Dina Boluarte that the two sides should keep expanding trade and deepen cooperation in traditional areas such as mining, electricity, ports and infrastructure.</t>
        </is>
      </c>
      <c r="K145" s="32" t="inlineStr">
        <is>
          <t>mining general</t>
        </is>
      </c>
      <c r="L145" s="32" t="inlineStr">
        <is>
          <t>infrastructure ports, trade deals offtake, diplomatic relations</t>
        </is>
      </c>
      <c r="M145" s="31" t="inlineStr">
        <is>
          <t>positive</t>
        </is>
      </c>
      <c r="N145" s="31" t="inlineStr">
        <is>
          <t>not mentioned</t>
        </is>
      </c>
      <c r="O145" s="32" t="inlineStr">
        <is>
          <t>continue to expand trade, deepen cooperation in traditional areas such as mining, electricity, ports and infrastructure</t>
        </is>
      </c>
      <c r="P145" s="32" t="inlineStr">
        <is>
          <t>continue to expand trade, deepen cooperation in traditional areas such as mining, electricity, ports and infrastructure</t>
        </is>
      </c>
      <c r="Q145" s="31" t="inlineStr">
        <is>
          <t>en</t>
        </is>
      </c>
      <c r="R145" s="33" t="inlineStr">
        <is>
          <t>Ministry of Foreign Affairs of the PRC</t>
        </is>
      </c>
      <c r="S145" s="32" t="inlineStr">
        <is>
          <t>primary official</t>
        </is>
      </c>
      <c r="T145" s="32" t="inlineStr">
        <is>
          <t>primary verified</t>
        </is>
      </c>
      <c r="U145" s="32" t="inlineStr">
        <is>
          <t>Premier coded china_central_gov (no head-of-government category).</t>
        </is>
      </c>
    </row>
    <row r="146" ht="45.75" customHeight="1" s="24">
      <c r="A146" s="31" t="inlineStr">
        <is>
          <t>PS-0142</t>
        </is>
      </c>
      <c r="B146" s="31" t="inlineStr">
        <is>
          <t>2024-06-28</t>
        </is>
      </c>
      <c r="C146" s="31" t="inlineStr">
        <is>
          <t>Peru</t>
        </is>
      </c>
      <c r="D146" s="31" t="inlineStr">
        <is>
          <t>Yes</t>
        </is>
      </c>
      <c r="E146" s="32" t="inlineStr">
        <is>
          <t>Xi Jinping</t>
        </is>
      </c>
      <c r="F146" s="32" t="inlineStr">
        <is>
          <t>President of the People's Republic of China</t>
        </is>
      </c>
      <c r="G146" s="32" t="inlineStr">
        <is>
          <t>China</t>
        </is>
      </c>
      <c r="H146" s="32" t="inlineStr">
        <is>
          <t>official statement</t>
        </is>
      </c>
      <c r="I146" s="32" t="inlineStr">
        <is>
          <t>Talks with President Dina Boluarte during her state visit to Beijing</t>
        </is>
      </c>
      <c r="J146" s="32" t="inlineStr">
        <is>
          <t>In China's official readout of talks with Dina Boluarte in Beijing, Xi said the two countries should coordinate and advance cooperation in mining, energy, manufacturing and agriculture. He also urged completion of the Chancay port to build a new land-sea route between China and Latin America.</t>
        </is>
      </c>
      <c r="K146" s="32" t="inlineStr">
        <is>
          <t>mining general</t>
        </is>
      </c>
      <c r="L146" s="32" t="inlineStr">
        <is>
          <t>infrastructure ports, foreign investment, diplomatic relations</t>
        </is>
      </c>
      <c r="M146" s="31" t="inlineStr">
        <is>
          <t>positive</t>
        </is>
      </c>
      <c r="N146" s="31" t="inlineStr">
        <is>
          <t>not mentioned</t>
        </is>
      </c>
      <c r="O146" s="32" t="inlineStr">
        <is>
          <t>coordinate and advance cooperation in such fields as mining, energy, manufacturing and agriculture</t>
        </is>
      </c>
      <c r="P146" s="32" t="inlineStr">
        <is>
          <t>coordinate and advance cooperation in such fields as mining, energy, manufacturing and agriculture</t>
        </is>
      </c>
      <c r="Q146" s="31" t="inlineStr">
        <is>
          <t>en</t>
        </is>
      </c>
      <c r="R146" s="33" t="inlineStr">
        <is>
          <t>Ministry of Foreign Affairs of the PRC</t>
        </is>
      </c>
      <c r="S146" s="32" t="inlineStr">
        <is>
          <t>primary official</t>
        </is>
      </c>
      <c r="T146" s="32" t="inlineStr">
        <is>
          <t>primary verified</t>
        </is>
      </c>
      <c r="U146" s="32" t="inlineStr">
        <is>
          <t>MFA English readout; page URL dated July but talks held 28 June 2024.</t>
        </is>
      </c>
    </row>
    <row r="147" ht="45.75" customHeight="1" s="24">
      <c r="A147" s="31" t="inlineStr">
        <is>
          <t>PS-0143</t>
        </is>
      </c>
      <c r="B147" s="31" t="inlineStr">
        <is>
          <t>2024-07-28</t>
        </is>
      </c>
      <c r="C147" s="31" t="inlineStr">
        <is>
          <t>Peru</t>
        </is>
      </c>
      <c r="D147" s="31" t="inlineStr">
        <is>
          <t>Yes</t>
        </is>
      </c>
      <c r="E147" s="32" t="inlineStr">
        <is>
          <t>Dina Boluarte</t>
        </is>
      </c>
      <c r="F147" s="32" t="inlineStr">
        <is>
          <t>President of Peru</t>
        </is>
      </c>
      <c r="G147" s="32" t="inlineStr">
        <is>
          <t>LatAm executive</t>
        </is>
      </c>
      <c r="H147" s="32" t="inlineStr">
        <is>
          <t>speech</t>
        </is>
      </c>
      <c r="I147" s="32" t="inlineStr">
        <is>
          <t>Independence Day message to the nation</t>
        </is>
      </c>
      <c r="J147" s="32" t="inlineStr">
        <is>
          <t>In her 28 July address, Boluarte rejected claims that Tía María is being imposed, attributing them to small ideologized sectors, and highlighted expected canon/royalty revenue and jobs for Arequipa.</t>
        </is>
      </c>
      <c r="K147" s="32" t="inlineStr">
        <is>
          <t>copper</t>
        </is>
      </c>
      <c r="L147" s="32" t="inlineStr">
        <is>
          <t>foreign investment, royalties taxation, labor social conflict</t>
        </is>
      </c>
      <c r="M147" s="31" t="inlineStr">
        <is>
          <t>not mentioned</t>
        </is>
      </c>
      <c r="N147" s="31" t="inlineStr">
        <is>
          <t>not mentioned</t>
        </is>
      </c>
      <c r="O147" s="32" t="inlineStr">
        <is>
          <t>Tía María no constituye un proyecto impuesto, eso es una falsa narrativa enarbolada por reducidos sectores ideologizados</t>
        </is>
      </c>
      <c r="P147" s="32" t="inlineStr">
        <is>
          <t>Tía María is not an imposed project; that is a false narrative raised by small ideologized sectors</t>
        </is>
      </c>
      <c r="Q147" s="31" t="inlineStr">
        <is>
          <t>es</t>
        </is>
      </c>
      <c r="R147" s="33" t="inlineStr">
        <is>
          <t>El Búho</t>
        </is>
      </c>
      <c r="S147" s="32" t="inlineStr">
        <is>
          <t>news media</t>
        </is>
      </c>
      <c r="T147" s="32" t="inlineStr">
        <is>
          <t>secondary reported</t>
        </is>
      </c>
      <c r="U147" s="32" t="inlineStr"/>
    </row>
    <row r="148" ht="45.75" customHeight="1" s="24">
      <c r="A148" s="31" t="inlineStr">
        <is>
          <t>PS-0144</t>
        </is>
      </c>
      <c r="B148" s="31" t="inlineStr">
        <is>
          <t>2024-08-01</t>
        </is>
      </c>
      <c r="C148" s="31" t="inlineStr">
        <is>
          <t>Peru</t>
        </is>
      </c>
      <c r="D148" s="31" t="inlineStr">
        <is>
          <t>Yes</t>
        </is>
      </c>
      <c r="E148" s="32" t="inlineStr">
        <is>
          <t>José Arista</t>
        </is>
      </c>
      <c r="F148" s="32" t="inlineStr">
        <is>
          <t>Minister of Economy and Finance of Peru</t>
        </is>
      </c>
      <c r="G148" s="32" t="inlineStr">
        <is>
          <t>LatAm executive</t>
        </is>
      </c>
      <c r="H148" s="32" t="inlineStr">
        <is>
          <t>interview</t>
        </is>
      </c>
      <c r="I148" s="32" t="inlineStr">
        <is>
          <t>Push to unlock stalled mining projects</t>
        </is>
      </c>
      <c r="J148" s="32" t="inlineStr">
        <is>
          <t>Arista expressed support for mining and said Tía María must go ahead, along with Cajamarca copper projects like Michiquillay, La Granja and Galeno.</t>
        </is>
      </c>
      <c r="K148" s="32" t="inlineStr">
        <is>
          <t>copper</t>
        </is>
      </c>
      <c r="L148" s="32" t="inlineStr">
        <is>
          <t>foreign investment</t>
        </is>
      </c>
      <c r="M148" s="31" t="inlineStr">
        <is>
          <t>not mentioned</t>
        </is>
      </c>
      <c r="N148" s="31" t="inlineStr">
        <is>
          <t>not mentioned</t>
        </is>
      </c>
      <c r="O148" s="32" t="inlineStr">
        <is>
          <t>Nuestro apoyo a la actividad minera. Tía María tiene que salir</t>
        </is>
      </c>
      <c r="P148" s="32" t="inlineStr">
        <is>
          <t>Our support for mining activity. Tía María has to go ahead</t>
        </is>
      </c>
      <c r="Q148" s="31" t="inlineStr">
        <is>
          <t>es</t>
        </is>
      </c>
      <c r="R148" s="33" t="inlineStr">
        <is>
          <t>ProActivo</t>
        </is>
      </c>
      <c r="S148" s="32" t="inlineStr">
        <is>
          <t>news media</t>
        </is>
      </c>
      <c r="T148" s="32" t="inlineStr">
        <is>
          <t>secondary reported</t>
        </is>
      </c>
      <c r="U148" s="32" t="inlineStr"/>
    </row>
    <row r="149" ht="45.75" customHeight="1" s="24">
      <c r="A149" s="31" t="inlineStr">
        <is>
          <t>PS-0145</t>
        </is>
      </c>
      <c r="B149" s="31" t="inlineStr">
        <is>
          <t>2024-08-21</t>
        </is>
      </c>
      <c r="C149" s="31" t="inlineStr">
        <is>
          <t>Argentina</t>
        </is>
      </c>
      <c r="D149" s="31" t="inlineStr">
        <is>
          <t>Yes</t>
        </is>
      </c>
      <c r="E149" s="32" t="inlineStr">
        <is>
          <t>José W. Fernández</t>
        </is>
      </c>
      <c r="F149" s="32" t="inlineStr">
        <is>
          <t>U.S. Under Secretary of State for Economic Growth, Energy, and the Environment</t>
        </is>
      </c>
      <c r="G149" s="32" t="inlineStr">
        <is>
          <t>United States</t>
        </is>
      </c>
      <c r="H149" s="32" t="inlineStr">
        <is>
          <t>interview</t>
        </is>
      </c>
      <c r="I149" s="32" t="inlineStr">
        <is>
          <t>Visit to Argentina; Argentina joining Minerals Security Partnership</t>
        </is>
      </c>
      <c r="J149" s="32" t="inlineStr">
        <is>
          <t>Fernández said joining the MSP would let Argentina pitch mining projects to 14 countries and the EU at once, seeking investments that benefit communities and respect national laws, as part of diversifying supply chains away from China.</t>
        </is>
      </c>
      <c r="K149" s="32" t="inlineStr">
        <is>
          <t>lithium, copper, critical minerals general</t>
        </is>
      </c>
      <c r="L149" s="32" t="inlineStr">
        <is>
          <t>foreign investment, geopolitics security, environment water</t>
        </is>
      </c>
      <c r="M149" s="31" t="inlineStr">
        <is>
          <t>negative</t>
        </is>
      </c>
      <c r="N149" s="31" t="inlineStr">
        <is>
          <t>positive</t>
        </is>
      </c>
      <c r="O149" s="32" t="inlineStr">
        <is>
          <t>It's a way for Argentina to literally make pitches to 14 countries and the EU in one fell swoop.</t>
        </is>
      </c>
      <c r="P149" s="32" t="inlineStr">
        <is>
          <t>It's a way for Argentina to literally make pitches to 14 countries and the EU in one fell swoop.</t>
        </is>
      </c>
      <c r="Q149" s="31" t="inlineStr">
        <is>
          <t>en</t>
        </is>
      </c>
      <c r="R149" s="33" t="inlineStr">
        <is>
          <t>South China Morning Post (Reuters)</t>
        </is>
      </c>
      <c r="S149" s="32" t="inlineStr">
        <is>
          <t>news media</t>
        </is>
      </c>
      <c r="T149" s="32" t="inlineStr">
        <is>
          <t>secondary reported</t>
        </is>
      </c>
      <c r="U149" s="32" t="inlineStr">
        <is>
          <t>stance_china inferred from stated purpose</t>
        </is>
      </c>
    </row>
    <row r="150" ht="45.75" customHeight="1" s="24">
      <c r="A150" s="31" t="inlineStr">
        <is>
          <t>PS-0146</t>
        </is>
      </c>
      <c r="B150" s="31" t="inlineStr">
        <is>
          <t>2024-08-23</t>
        </is>
      </c>
      <c r="C150" s="31" t="inlineStr">
        <is>
          <t>Argentina</t>
        </is>
      </c>
      <c r="D150" s="31" t="inlineStr">
        <is>
          <t>Yes</t>
        </is>
      </c>
      <c r="E150" s="32" t="inlineStr">
        <is>
          <t>Government of Argentina and Government of the United States</t>
        </is>
      </c>
      <c r="F150" s="32" t="inlineStr">
        <is>
          <t>Signed by Foreign Minister Diana Mondino and US Under Secretary José W. Fernández</t>
        </is>
      </c>
      <c r="G150" s="32" t="inlineStr">
        <is>
          <t>LatAm executive</t>
        </is>
      </c>
      <c r="H150" s="32" t="inlineStr">
        <is>
          <t>joint declaration or mou</t>
        </is>
      </c>
      <c r="I150" s="32" t="inlineStr">
        <is>
          <t>Argentina-US MoU on critical minerals, Buenos Aires</t>
        </is>
      </c>
      <c r="J150" s="32" t="inlineStr">
        <is>
          <t>Argentina and the US signed an MoU to deepen cooperation on critical minerals, promoting investment in exploration, extraction, processing, refining and recycling and identifying co-financing opportunities, with Argentina linked to the Minerals Security Partnership.</t>
        </is>
      </c>
      <c r="K150" s="32" t="inlineStr">
        <is>
          <t>lithium, critical minerals general</t>
        </is>
      </c>
      <c r="L150" s="32" t="inlineStr">
        <is>
          <t>foreign investment, processing refining, energy transition, financing credit</t>
        </is>
      </c>
      <c r="M150" s="31" t="inlineStr">
        <is>
          <t>not mentioned</t>
        </is>
      </c>
      <c r="N150" s="31" t="inlineStr">
        <is>
          <t>positive</t>
        </is>
      </c>
      <c r="O150" s="32" t="inlineStr">
        <is>
          <t>By signing this Memorandum, the United States and Argentina are advancing their shared interest in supporting the energy transition and deploying clean energy technologies</t>
        </is>
      </c>
      <c r="P150" s="32" t="inlineStr">
        <is>
          <t>By signing this Memorandum, the United States and Argentina are advancing their shared interest in supporting the energy transition and deploying clean energy technologies</t>
        </is>
      </c>
      <c r="Q150" s="31" t="inlineStr">
        <is>
          <t>en</t>
        </is>
      </c>
      <c r="R150" s="33" t="inlineStr">
        <is>
          <t>Buenos Aires Times</t>
        </is>
      </c>
      <c r="S150" s="32" t="inlineStr">
        <is>
          <t>news media</t>
        </is>
      </c>
      <c r="T150" s="32" t="inlineStr">
        <is>
          <t>secondary reported</t>
        </is>
      </c>
      <c r="U150" s="32" t="inlineStr">
        <is>
          <t>Quote is from US statement; Argentina collaborates with, but did not formally join, the MSP per Bloomberg Línea correction.</t>
        </is>
      </c>
    </row>
    <row r="151" ht="45.75" customHeight="1" s="24">
      <c r="A151" s="31" t="inlineStr">
        <is>
          <t>PS-0147</t>
        </is>
      </c>
      <c r="B151" s="31" t="inlineStr">
        <is>
          <t>2024-08-23</t>
        </is>
      </c>
      <c r="C151" s="31" t="inlineStr">
        <is>
          <t>Argentina</t>
        </is>
      </c>
      <c r="D151" s="31" t="inlineStr">
        <is>
          <t>Yes</t>
        </is>
      </c>
      <c r="E151" s="32" t="inlineStr">
        <is>
          <t>José W. Fernández</t>
        </is>
      </c>
      <c r="F151" s="32" t="inlineStr">
        <is>
          <t>U.S. Under Secretary of State for Economic Growth, Energy, and the Environment</t>
        </is>
      </c>
      <c r="G151" s="32" t="inlineStr">
        <is>
          <t>United States</t>
        </is>
      </c>
      <c r="H151" s="32" t="inlineStr">
        <is>
          <t>joint declaration or mou</t>
        </is>
      </c>
      <c r="I151" s="32" t="inlineStr">
        <is>
          <t>US-Argentina critical minerals MoU signing / MSP Forum Buenos Aires</t>
        </is>
      </c>
      <c r="J151" s="32" t="inlineStr">
        <is>
          <t>Fernández and FM Diana Mondino signed an MoU to promote trade and investment in exploration, extraction, processing, refining and recycling of critical minerals; the US said it advances shared interest in the energy transition.</t>
        </is>
      </c>
      <c r="K151" s="32" t="inlineStr">
        <is>
          <t>critical minerals general, lithium</t>
        </is>
      </c>
      <c r="L151" s="32" t="inlineStr">
        <is>
          <t>energy transition, foreign investment, processing refining, financing credit</t>
        </is>
      </c>
      <c r="M151" s="31" t="inlineStr">
        <is>
          <t>not mentioned</t>
        </is>
      </c>
      <c r="N151" s="31" t="inlineStr">
        <is>
          <t>positive</t>
        </is>
      </c>
      <c r="O151" s="32" t="inlineStr">
        <is>
          <t>By signing this Memorandum, the United States and Argentina are advancing their shared interest in supporting the energy transition and deploying clean energy technologies.</t>
        </is>
      </c>
      <c r="P151" s="32" t="inlineStr">
        <is>
          <t>By signing this Memorandum, the United States and Argentina are advancing their shared interest in supporting the energy transition and deploying clean energy technologies.</t>
        </is>
      </c>
      <c r="Q151" s="31" t="inlineStr">
        <is>
          <t>en</t>
        </is>
      </c>
      <c r="R151" s="33" t="inlineStr">
        <is>
          <t>Buenos Aires Times</t>
        </is>
      </c>
      <c r="S151" s="32" t="inlineStr">
        <is>
          <t>news media</t>
        </is>
      </c>
      <c r="T151" s="32" t="inlineStr">
        <is>
          <t>secondary reported</t>
        </is>
      </c>
      <c r="U151" s="32" t="inlineStr"/>
    </row>
    <row r="152" ht="45.75" customHeight="1" s="24">
      <c r="A152" s="31" t="inlineStr">
        <is>
          <t>PS-0148</t>
        </is>
      </c>
      <c r="B152" s="31" t="inlineStr">
        <is>
          <t>2024-09-27</t>
        </is>
      </c>
      <c r="C152" s="31" t="inlineStr">
        <is>
          <t>Ecuador</t>
        </is>
      </c>
      <c r="D152" s="31" t="inlineStr">
        <is>
          <t>Yes</t>
        </is>
      </c>
      <c r="E152" s="32" t="inlineStr">
        <is>
          <t>Minerals Security Partnership (co-chaired by U.S. Department of State)</t>
        </is>
      </c>
      <c r="F152" s="32" t="inlineStr">
        <is>
          <t>US-led multilateral minerals partnership; U.S. co-chair Under Sec. José W. Fernández</t>
        </is>
      </c>
      <c r="G152" s="32" t="inlineStr">
        <is>
          <t>United States</t>
        </is>
      </c>
      <c r="H152" s="32" t="inlineStr">
        <is>
          <t>official statement</t>
        </is>
      </c>
      <c r="I152" s="32" t="inlineStr">
        <is>
          <t>MSP Forum ministerial, UNGA week New York</t>
        </is>
      </c>
      <c r="J152" s="32" t="inlineStr">
        <is>
          <t>The US and EU welcomed seven new members to the MSP Forum, including Ecuador and the Dominican Republic, at a meeting co-chaired by US Under Secretary Fernández.</t>
        </is>
      </c>
      <c r="K152" s="32" t="inlineStr">
        <is>
          <t>critical minerals general</t>
        </is>
      </c>
      <c r="L152" s="32" t="inlineStr">
        <is>
          <t>foreign investment, diplomatic relations</t>
        </is>
      </c>
      <c r="M152" s="31" t="inlineStr">
        <is>
          <t>not mentioned</t>
        </is>
      </c>
      <c r="N152" s="31" t="inlineStr">
        <is>
          <t>positive</t>
        </is>
      </c>
      <c r="O152" s="32" t="inlineStr"/>
      <c r="P152" s="32" t="inlineStr"/>
      <c r="Q152" s="31" t="inlineStr">
        <is>
          <t>en</t>
        </is>
      </c>
      <c r="R152" s="33" t="inlineStr">
        <is>
          <t>European Commission DG Trade</t>
        </is>
      </c>
      <c r="S152" s="32" t="inlineStr">
        <is>
          <t>primary official</t>
        </is>
      </c>
      <c r="T152" s="32" t="inlineStr">
        <is>
          <t>primary verified</t>
        </is>
      </c>
      <c r="U152" s="32" t="inlineStr"/>
    </row>
    <row r="153" ht="45.75" customHeight="1" s="24">
      <c r="A153" s="31" t="inlineStr">
        <is>
          <t>PS-0149</t>
        </is>
      </c>
      <c r="B153" s="31" t="inlineStr">
        <is>
          <t>2024-09-30</t>
        </is>
      </c>
      <c r="C153" s="31" t="inlineStr">
        <is>
          <t>Argentina</t>
        </is>
      </c>
      <c r="D153" s="31" t="inlineStr">
        <is>
          <t>Yes</t>
        </is>
      </c>
      <c r="E153" s="32" t="inlineStr">
        <is>
          <t>Javier Milei</t>
        </is>
      </c>
      <c r="F153" s="32" t="inlineStr">
        <is>
          <t>President of Argentina</t>
        </is>
      </c>
      <c r="G153" s="32" t="inlineStr">
        <is>
          <t>LatAm executive</t>
        </is>
      </c>
      <c r="H153" s="32" t="inlineStr">
        <is>
          <t>interview</t>
        </is>
      </c>
      <c r="I153" s="32" t="inlineStr">
        <is>
          <t>TV interview with Susana Giménez</t>
        </is>
      </c>
      <c r="J153" s="32" t="inlineStr">
        <is>
          <t>Milei called China a very interesting trade partner that demands nothing, said a meeting with the Chinese ambassador unblocked the currency swap, and confirmed a planned trip to China, marking a reversal from his campaign stance.</t>
        </is>
      </c>
      <c r="K153" s="32" t="inlineStr">
        <is>
          <t>critical minerals general</t>
        </is>
      </c>
      <c r="L153" s="32" t="inlineStr">
        <is>
          <t>diplomatic relations, trade deals offtake</t>
        </is>
      </c>
      <c r="M153" s="31" t="inlineStr">
        <is>
          <t>positive</t>
        </is>
      </c>
      <c r="N153" s="31" t="inlineStr">
        <is>
          <t>not mentioned</t>
        </is>
      </c>
      <c r="O153" s="32" t="inlineStr">
        <is>
          <t>China es un socio comercial muy interesante. No exigen nada, lo único que piden es que no los molesten</t>
        </is>
      </c>
      <c r="P153" s="32" t="inlineStr">
        <is>
          <t>China is a very interesting trade partner. They demand nothing; the only thing they ask is not to be bothered</t>
        </is>
      </c>
      <c r="Q153" s="31" t="inlineStr">
        <is>
          <t>es</t>
        </is>
      </c>
      <c r="R153" s="33" t="inlineStr">
        <is>
          <t>La Capital (Rosario)</t>
        </is>
      </c>
      <c r="S153" s="32" t="inlineStr">
        <is>
          <t>news media</t>
        </is>
      </c>
      <c r="T153" s="32" t="inlineStr">
        <is>
          <t>secondary reported</t>
        </is>
      </c>
      <c r="U153" s="32" t="inlineStr">
        <is>
          <t>General China stance, not mineral-specific; included per scope on Milei's China shift.</t>
        </is>
      </c>
    </row>
    <row r="154" ht="45.75" customHeight="1" s="24">
      <c r="A154" s="31" t="inlineStr">
        <is>
          <t>PS-0150</t>
        </is>
      </c>
      <c r="B154" s="31" t="inlineStr">
        <is>
          <t>2024-10-08</t>
        </is>
      </c>
      <c r="C154" s="31" t="inlineStr">
        <is>
          <t>Mexico</t>
        </is>
      </c>
      <c r="D154" s="31" t="inlineStr">
        <is>
          <t>No</t>
        </is>
      </c>
      <c r="E154" s="32" t="inlineStr">
        <is>
          <t>Claudia Sheinbaum</t>
        </is>
      </c>
      <c r="F154" s="32" t="inlineStr">
        <is>
          <t>President of Mexico</t>
        </is>
      </c>
      <c r="G154" s="32" t="inlineStr">
        <is>
          <t>LatAm executive</t>
        </is>
      </c>
      <c r="H154" s="32" t="inlineStr">
        <is>
          <t>press conference</t>
        </is>
      </c>
      <c r="I154" s="32" t="inlineStr">
        <is>
          <t>Mañanera on lithium technology and Plan Sonora</t>
        </is>
      </c>
      <c r="J154" s="32" t="inlineStr">
        <is>
          <t>Sheinbaum said Mexico's lithium has unique characteristics, mainly in Sonora clays, and that the goal is to use domestically developed technology to extract it and keep the whole production chain in Mexico rather than export it.</t>
        </is>
      </c>
      <c r="K154" s="32" t="inlineStr">
        <is>
          <t>lithium</t>
        </is>
      </c>
      <c r="L154" s="32" t="inlineStr">
        <is>
          <t>value added industrialization, state control nationalization, technology transfer</t>
        </is>
      </c>
      <c r="M154" s="31" t="inlineStr">
        <is>
          <t>not mentioned</t>
        </is>
      </c>
      <c r="N154" s="31" t="inlineStr">
        <is>
          <t>not mentioned</t>
        </is>
      </c>
      <c r="O154" s="32" t="inlineStr">
        <is>
          <t>Our goal is to implement this technology to extract lithium and establish the entire production chain within Mexico rather than exporting it.</t>
        </is>
      </c>
      <c r="P154" s="32" t="inlineStr">
        <is>
          <t>Our goal is to implement this technology to extract lithium and establish the entire production chain within Mexico rather than exporting it.</t>
        </is>
      </c>
      <c r="Q154" s="31" t="inlineStr">
        <is>
          <t>en</t>
        </is>
      </c>
      <c r="R154" s="33" t="inlineStr">
        <is>
          <t>Mexico Business News</t>
        </is>
      </c>
      <c r="S154" s="32" t="inlineStr">
        <is>
          <t>news media</t>
        </is>
      </c>
      <c r="T154" s="32" t="inlineStr">
        <is>
          <t>secondary reported</t>
        </is>
      </c>
      <c r="U154" s="32" t="inlineStr">
        <is>
          <t>Quote is MBN English translation of Spanish original; statement date approximate (article date).</t>
        </is>
      </c>
    </row>
    <row r="155" ht="45.75" customHeight="1" s="24">
      <c r="A155" s="31" t="inlineStr">
        <is>
          <t>PS-0151</t>
        </is>
      </c>
      <c r="B155" s="31" t="inlineStr">
        <is>
          <t>2024-11</t>
        </is>
      </c>
      <c r="C155" s="31" t="inlineStr">
        <is>
          <t>Brazil</t>
        </is>
      </c>
      <c r="D155" s="31" t="inlineStr">
        <is>
          <t>Yes</t>
        </is>
      </c>
      <c r="E155" s="32" t="inlineStr">
        <is>
          <t>Indústrias Nucleares do Brasil (INB)</t>
        </is>
      </c>
      <c r="F155" s="32" t="inlineStr">
        <is>
          <t>State nuclear company</t>
        </is>
      </c>
      <c r="G155" s="32" t="inlineStr">
        <is>
          <t>LatAm state company</t>
        </is>
      </c>
      <c r="H155" s="32" t="inlineStr">
        <is>
          <t>official statement</t>
        </is>
      </c>
      <c r="I155" s="32" t="inlineStr">
        <is>
          <t>Sale of Mineração Taboca (Pitinga mine) to China's CNMC</t>
        </is>
      </c>
      <c r="J155" s="32" t="inlineStr">
        <is>
          <t>After Chinese state-owned CNMC agreed to buy Mineração Taboca for US$340m, INB stated the uranium in the Pitinga ore goes to tailings and that any uranium in Brazil is an INB monopoly requiring government authorisation.</t>
        </is>
      </c>
      <c r="K155" s="32" t="inlineStr">
        <is>
          <t>tin, niobium, tantalum, rare earths</t>
        </is>
      </c>
      <c r="L155" s="32" t="inlineStr">
        <is>
          <t>state control nationalization, foreign investment, sovereignty</t>
        </is>
      </c>
      <c r="M155" s="31" t="inlineStr">
        <is>
          <t>neutral</t>
        </is>
      </c>
      <c r="N155" s="31" t="inlineStr">
        <is>
          <t>not mentioned</t>
        </is>
      </c>
      <c r="O155" s="32" t="inlineStr"/>
      <c r="P155" s="32" t="inlineStr"/>
      <c r="Q155" s="31" t="inlineStr">
        <is>
          <t>pt</t>
        </is>
      </c>
      <c r="R155" s="33" t="inlineStr">
        <is>
          <t>Poder360</t>
        </is>
      </c>
      <c r="S155" s="32" t="inlineStr">
        <is>
          <t>news media</t>
        </is>
      </c>
      <c r="T155" s="32" t="inlineStr">
        <is>
          <t>secondary reported</t>
        </is>
      </c>
      <c r="U155" s="32" t="inlineStr">
        <is>
          <t>Article dated 28 Nov 2024</t>
        </is>
      </c>
    </row>
    <row r="156" ht="45.75" customHeight="1" s="24">
      <c r="A156" s="31" t="inlineStr">
        <is>
          <t>PS-0396</t>
        </is>
      </c>
      <c r="B156" s="31" t="inlineStr">
        <is>
          <t>2024-11</t>
        </is>
      </c>
      <c r="C156" s="31" t="inlineStr">
        <is>
          <t>Suriname</t>
        </is>
      </c>
      <c r="D156" s="31" t="inlineStr">
        <is>
          <t>Yes</t>
        </is>
      </c>
      <c r="E156" s="32" t="inlineStr">
        <is>
          <t>Chandrikapersad Santokhi</t>
        </is>
      </c>
      <c r="F156" s="32" t="inlineStr">
        <is>
          <t>President of Suriname</t>
        </is>
      </c>
      <c r="G156" s="32" t="inlineStr">
        <is>
          <t>LatAm executive</t>
        </is>
      </c>
      <c r="H156" s="32" t="inlineStr">
        <is>
          <t>official statement</t>
        </is>
      </c>
      <c r="I156" s="32" t="inlineStr">
        <is>
          <t>Signing of the MoU with Chinalco for the Bakhuis bauxite project in West Suriname (US$426m, 13% state stake), 25 November 2024</t>
        </is>
      </c>
      <c r="J156" s="32" t="inlineStr">
        <is>
          <t>Santokhi welcomed the MoU with Chinalco for a bauxite mine and infrastructure in West Suriname, said earlier attempts to revive the industry had failed and that he placed his trust in Chinalco; the government said the MoU would go to the National Assembly for approval.</t>
        </is>
      </c>
      <c r="K156" s="32" t="inlineStr">
        <is>
          <t>bauxite aluminum</t>
        </is>
      </c>
      <c r="L156" s="32" t="inlineStr">
        <is>
          <t>foreign investment, value added industrialization</t>
        </is>
      </c>
      <c r="M156" s="31" t="inlineStr">
        <is>
          <t>positive</t>
        </is>
      </c>
      <c r="N156" s="31" t="inlineStr">
        <is>
          <t>not mentioned</t>
        </is>
      </c>
      <c r="O156" s="32" t="inlineStr">
        <is>
          <t>For years we have tried to revive the bauxite industry in West Suriname, but without success. I place my trust in Chinalco</t>
        </is>
      </c>
      <c r="P156" s="32" t="inlineStr">
        <is>
          <t>For years we have tried to revive the bauxite industry in West Suriname, but without success. I place my trust in Chinalco</t>
        </is>
      </c>
      <c r="Q156" s="31" t="inlineStr">
        <is>
          <t>en</t>
        </is>
      </c>
      <c r="R156" s="33" t="inlineStr">
        <is>
          <t>Caribbean Today (CMC)</t>
        </is>
      </c>
      <c r="S156" s="32" t="inlineStr">
        <is>
          <t>news media</t>
        </is>
      </c>
      <c r="T156" s="32" t="inlineStr">
        <is>
          <t>secondary reported</t>
        </is>
      </c>
      <c r="U156" s="32" t="inlineStr">
        <is>
          <t>Coded by an AI session (2026-10-09) under the README vocabularies, from web-search results that cite the page; the page itself was not opened. Quote as relayed in English by CMC from a statement of the state information service (CDS); the Dutch original was not seen. Month precision: the statement followed the signing of 25 November 2024.</t>
        </is>
      </c>
    </row>
    <row r="157" ht="45.75" customHeight="1" s="24">
      <c r="A157" s="31" t="inlineStr">
        <is>
          <t>PS-0152</t>
        </is>
      </c>
      <c r="B157" s="31" t="inlineStr">
        <is>
          <t>2024-11-08</t>
        </is>
      </c>
      <c r="C157" s="31" t="inlineStr">
        <is>
          <t>Peru</t>
        </is>
      </c>
      <c r="D157" s="31" t="inlineStr">
        <is>
          <t>Yes</t>
        </is>
      </c>
      <c r="E157" s="32" t="inlineStr">
        <is>
          <t>Elmer Schialer</t>
        </is>
      </c>
      <c r="F157" s="32" t="inlineStr">
        <is>
          <t>Minister of Foreign Affairs of Peru</t>
        </is>
      </c>
      <c r="G157" s="32" t="inlineStr">
        <is>
          <t>LatAm executive</t>
        </is>
      </c>
      <c r="H157" s="32" t="inlineStr">
        <is>
          <t>interview</t>
        </is>
      </c>
      <c r="I157" s="32" t="inlineStr">
        <is>
          <t>Ahead of Xi Jinping's APEC state visit and FTA upgrade signing</t>
        </is>
      </c>
      <c r="J157" s="32" t="inlineStr">
        <is>
          <t>Ahead of Xi's visit, Schialer said the upgraded FTA with China, Peru's main trading partner, would boost trade dynamism and that Chancay would take Peru's trade to another level, citing a US$54 billion mining portfolio and China's interest in infrastructure.</t>
        </is>
      </c>
      <c r="K157" s="32" t="inlineStr">
        <is>
          <t>mining general</t>
        </is>
      </c>
      <c r="L157" s="32" t="inlineStr">
        <is>
          <t>trade deals offtake, infrastructure ports, foreign investment</t>
        </is>
      </c>
      <c r="M157" s="31" t="inlineStr">
        <is>
          <t>positive</t>
        </is>
      </c>
      <c r="N157" s="31" t="inlineStr">
        <is>
          <t>not mentioned</t>
        </is>
      </c>
      <c r="O157" s="32" t="inlineStr">
        <is>
          <t>The port will launch Peru to another level of trade</t>
        </is>
      </c>
      <c r="P157" s="32" t="inlineStr">
        <is>
          <t>The port will launch Peru to another level of trade</t>
        </is>
      </c>
      <c r="Q157" s="31" t="inlineStr">
        <is>
          <t>en</t>
        </is>
      </c>
      <c r="R157" s="33" t="inlineStr">
        <is>
          <t>Reuters via bilaterals.org</t>
        </is>
      </c>
      <c r="S157" s="32" t="inlineStr">
        <is>
          <t>news media</t>
        </is>
      </c>
      <c r="T157" s="32" t="inlineStr">
        <is>
          <t>secondary reported</t>
        </is>
      </c>
      <c r="U157" s="32" t="inlineStr">
        <is>
          <t>Date approximate (8-9 Nov 2024); English translation of interview</t>
        </is>
      </c>
    </row>
    <row r="158" ht="45.75" customHeight="1" s="24">
      <c r="A158" s="31" t="inlineStr">
        <is>
          <t>PS-0153</t>
        </is>
      </c>
      <c r="B158" s="31" t="inlineStr">
        <is>
          <t>2024-11-14</t>
        </is>
      </c>
      <c r="C158" s="31" t="inlineStr">
        <is>
          <t>Peru</t>
        </is>
      </c>
      <c r="D158" s="31" t="inlineStr">
        <is>
          <t>Yes</t>
        </is>
      </c>
      <c r="E158" s="32" t="inlineStr">
        <is>
          <t>Xi Jinping</t>
        </is>
      </c>
      <c r="F158" s="32" t="inlineStr">
        <is>
          <t>President of the People's Republic of China</t>
        </is>
      </c>
      <c r="G158" s="32" t="inlineStr">
        <is>
          <t>China</t>
        </is>
      </c>
      <c r="H158" s="32" t="inlineStr">
        <is>
          <t>official statement</t>
        </is>
      </c>
      <c r="I158" s="32" t="inlineStr">
        <is>
          <t>Arrival statement at Callao Air Base, Lima; state visit and APEC 2024</t>
        </is>
      </c>
      <c r="J158" s="32" t="inlineStr">
        <is>
          <t>In his written arrival statement in Lima, Xi said major cooperation projects in mining and infrastructure had made steady progress, noted China had been Peru's largest trading partner for ten years, and said he would attend the Chancay port inauguration with Boluarte.</t>
        </is>
      </c>
      <c r="K158" s="32" t="inlineStr">
        <is>
          <t>mining general</t>
        </is>
      </c>
      <c r="L158" s="32" t="inlineStr">
        <is>
          <t>infrastructure ports, foreign investment, diplomatic relations</t>
        </is>
      </c>
      <c r="M158" s="31" t="inlineStr">
        <is>
          <t>positive</t>
        </is>
      </c>
      <c r="N158" s="31" t="inlineStr">
        <is>
          <t>not mentioned</t>
        </is>
      </c>
      <c r="O158" s="32" t="inlineStr">
        <is>
          <t>steady progress has been made on major cooperation projects in fields such as mining and infrastructure construction</t>
        </is>
      </c>
      <c r="P158" s="32" t="inlineStr">
        <is>
          <t>steady progress has been made on major cooperation projects in fields such as mining and infrastructure construction</t>
        </is>
      </c>
      <c r="Q158" s="31" t="inlineStr">
        <is>
          <t>en</t>
        </is>
      </c>
      <c r="R158" s="33" t="inlineStr">
        <is>
          <t>Ministry of Foreign Affairs of the PRC</t>
        </is>
      </c>
      <c r="S158" s="32" t="inlineStr">
        <is>
          <t>primary official</t>
        </is>
      </c>
      <c r="T158" s="32" t="inlineStr">
        <is>
          <t>primary verified</t>
        </is>
      </c>
      <c r="U158" s="32" t="inlineStr">
        <is>
          <t>Arrival date 14 Nov 2024 (Lima local time).</t>
        </is>
      </c>
    </row>
    <row r="159" ht="45.75" customHeight="1" s="24">
      <c r="A159" s="31" t="inlineStr">
        <is>
          <t>PS-0154</t>
        </is>
      </c>
      <c r="B159" s="31" t="inlineStr">
        <is>
          <t>2024-11-14</t>
        </is>
      </c>
      <c r="C159" s="31" t="inlineStr">
        <is>
          <t>Peru</t>
        </is>
      </c>
      <c r="D159" s="31" t="inlineStr">
        <is>
          <t>Yes</t>
        </is>
      </c>
      <c r="E159" s="32" t="inlineStr">
        <is>
          <t>Xi Jinping</t>
        </is>
      </c>
      <c r="F159" s="32" t="inlineStr">
        <is>
          <t>President of the People's Republic of China</t>
        </is>
      </c>
      <c r="G159" s="32" t="inlineStr">
        <is>
          <t>China</t>
        </is>
      </c>
      <c r="H159" s="32" t="inlineStr">
        <is>
          <t>op ed</t>
        </is>
      </c>
      <c r="I159" s="32" t="inlineStr">
        <is>
          <t>Signed article in Peruvian media ahead of state visit and APEC Lima 2024</t>
        </is>
      </c>
      <c r="J159" s="32" t="inlineStr">
        <is>
          <t>In a signed article titled 'China-Peru Friendship: Setting Sail Toward an Even Brighter Future', Xi cited the Chinese-invested Las Bambas copper mine as contributing about 1% of Peru's GDP and creating tens of thousands of jobs, and said Chancay port's first phase would cut shipping time to China to 23 days.</t>
        </is>
      </c>
      <c r="K159" s="32" t="inlineStr">
        <is>
          <t>copper, mining general</t>
        </is>
      </c>
      <c r="L159" s="32" t="inlineStr">
        <is>
          <t>foreign investment, infrastructure ports, diplomatic relations</t>
        </is>
      </c>
      <c r="M159" s="31" t="inlineStr">
        <is>
          <t>positive</t>
        </is>
      </c>
      <c r="N159" s="31" t="inlineStr">
        <is>
          <t>not mentioned</t>
        </is>
      </c>
      <c r="O159" s="32" t="inlineStr">
        <is>
          <t>The Las Bambas copper mine, a project with investment from Chinese enterprises, contributes to about 1 percent of Peru's GDP, creating tens of thousands of job opportunities.</t>
        </is>
      </c>
      <c r="P159" s="32" t="inlineStr">
        <is>
          <t>The Las Bambas copper mine, a project with investment from Chinese enterprises, contributes to about 1 percent of Peru's GDP, creating tens of thousands of job opportunities.</t>
        </is>
      </c>
      <c r="Q159" s="31" t="inlineStr">
        <is>
          <t>en</t>
        </is>
      </c>
      <c r="R159" s="33" t="inlineStr">
        <is>
          <t>Ministry of Foreign Affairs of the PRC</t>
        </is>
      </c>
      <c r="S159" s="32" t="inlineStr">
        <is>
          <t>primary official</t>
        </is>
      </c>
      <c r="T159" s="32" t="inlineStr">
        <is>
          <t>primary verified</t>
        </is>
      </c>
      <c r="U159" s="32" t="inlineStr">
        <is>
          <t>Published in Peruvian newspaper El Peruano (per MFA); date per MFA posting, print date may be 13 Nov. Las Bambas is operated by MMG.</t>
        </is>
      </c>
    </row>
    <row r="160" ht="45.75" customHeight="1" s="24">
      <c r="A160" s="31" t="inlineStr">
        <is>
          <t>PS-0155</t>
        </is>
      </c>
      <c r="B160" s="31" t="inlineStr">
        <is>
          <t>2024-11-14</t>
        </is>
      </c>
      <c r="C160" s="31" t="inlineStr">
        <is>
          <t>Peru</t>
        </is>
      </c>
      <c r="D160" s="31" t="inlineStr">
        <is>
          <t>Yes</t>
        </is>
      </c>
      <c r="E160" s="32" t="inlineStr">
        <is>
          <t>Xi Jinping</t>
        </is>
      </c>
      <c r="F160" s="32" t="inlineStr">
        <is>
          <t>President of the People's Republic of China</t>
        </is>
      </c>
      <c r="G160" s="32" t="inlineStr">
        <is>
          <t>China</t>
        </is>
      </c>
      <c r="H160" s="32" t="inlineStr">
        <is>
          <t>official statement</t>
        </is>
      </c>
      <c r="I160" s="32" t="inlineStr">
        <is>
          <t>Talks with President Dina Boluarte at Government Palace, Lima; state visit / APEC 2024</t>
        </is>
      </c>
      <c r="J160" s="32" t="inlineStr">
        <is>
          <t>In China's readout of talks in Lima, Xi said both sides should promote cooperation in traditional areas such as minerals and energy, infrastructure and transport, and proposed developing a China-Latin America land-sea corridor starting from Chancay port.</t>
        </is>
      </c>
      <c r="K160" s="32" t="inlineStr">
        <is>
          <t>mining general</t>
        </is>
      </c>
      <c r="L160" s="32" t="inlineStr">
        <is>
          <t>infrastructure ports, energy transition, diplomatic relations</t>
        </is>
      </c>
      <c r="M160" s="31" t="inlineStr">
        <is>
          <t>positive</t>
        </is>
      </c>
      <c r="N160" s="31" t="inlineStr">
        <is>
          <t>not mentioned</t>
        </is>
      </c>
      <c r="O160" s="32" t="inlineStr">
        <is>
          <t>Both sides should promote cooperation in traditional areas such as minerals and energy, infrastructure, and transportation.</t>
        </is>
      </c>
      <c r="P160" s="32" t="inlineStr">
        <is>
          <t>Both sides should promote cooperation in traditional areas such as minerals and energy, infrastructure, and transportation.</t>
        </is>
      </c>
      <c r="Q160" s="31" t="inlineStr">
        <is>
          <t>en</t>
        </is>
      </c>
      <c r="R160" s="33" t="inlineStr">
        <is>
          <t>Ministry of Foreign Affairs of the PRC</t>
        </is>
      </c>
      <c r="S160" s="32" t="inlineStr">
        <is>
          <t>primary official</t>
        </is>
      </c>
      <c r="T160" s="32" t="inlineStr">
        <is>
          <t>primary verified</t>
        </is>
      </c>
      <c r="U160" s="32" t="inlineStr">
        <is>
          <t>Distinct from the joint statement record (2024-11-15) and the Chancay inauguration record in PER.jsonl. Quote as rendered by the fetch tool; check exact MFA English wording.</t>
        </is>
      </c>
    </row>
    <row r="161" ht="45.75" customHeight="1" s="24">
      <c r="A161" s="31" t="inlineStr">
        <is>
          <t>PS-0156</t>
        </is>
      </c>
      <c r="B161" s="31" t="inlineStr">
        <is>
          <t>2024-11-15</t>
        </is>
      </c>
      <c r="C161" s="31" t="inlineStr">
        <is>
          <t>Peru</t>
        </is>
      </c>
      <c r="D161" s="31" t="inlineStr">
        <is>
          <t>Yes</t>
        </is>
      </c>
      <c r="E161" s="32" t="inlineStr">
        <is>
          <t>Dina Boluarte</t>
        </is>
      </c>
      <c r="F161" s="32" t="inlineStr">
        <is>
          <t>President of Peru</t>
        </is>
      </c>
      <c r="G161" s="32" t="inlineStr">
        <is>
          <t>LatAm executive</t>
        </is>
      </c>
      <c r="H161" s="32" t="inlineStr">
        <is>
          <t>speech</t>
        </is>
      </c>
      <c r="I161" s="32" t="inlineStr">
        <is>
          <t>Chancay port inauguration with Xi Jinping</t>
        </is>
      </c>
      <c r="J161" s="32" t="inlineStr">
        <is>
          <t>Boluarte described Chancay as a magnificent project jointly built by Peru and China and a crucial step toward Peru becoming an international shipping and trade center.</t>
        </is>
      </c>
      <c r="K161" s="32" t="inlineStr">
        <is>
          <t>mining general</t>
        </is>
      </c>
      <c r="L161" s="32" t="inlineStr">
        <is>
          <t>infrastructure ports, diplomatic relations</t>
        </is>
      </c>
      <c r="M161" s="31" t="inlineStr">
        <is>
          <t>positive</t>
        </is>
      </c>
      <c r="N161" s="31" t="inlineStr">
        <is>
          <t>not mentioned</t>
        </is>
      </c>
      <c r="O161" s="32" t="inlineStr"/>
      <c r="P161" s="32" t="inlineStr"/>
      <c r="Q161" s="31" t="inlineStr">
        <is>
          <t>es</t>
        </is>
      </c>
      <c r="R161" s="33" t="inlineStr">
        <is>
          <t>Ministry of Foreign Affairs of the PRC</t>
        </is>
      </c>
      <c r="S161" s="32" t="inlineStr">
        <is>
          <t>primary official</t>
        </is>
      </c>
      <c r="T161" s="32" t="inlineStr">
        <is>
          <t>primary verified</t>
        </is>
      </c>
      <c r="U161" s="32" t="inlineStr">
        <is>
          <t>Only Chinese MFA English rendering seen, so quote fields left empty; port record</t>
        </is>
      </c>
    </row>
    <row r="162" ht="45.75" customHeight="1" s="24">
      <c r="A162" s="31" t="inlineStr">
        <is>
          <t>PS-0157</t>
        </is>
      </c>
      <c r="B162" s="31" t="inlineStr">
        <is>
          <t>2024-11-15</t>
        </is>
      </c>
      <c r="C162" s="31" t="inlineStr">
        <is>
          <t>Peru</t>
        </is>
      </c>
      <c r="D162" s="31" t="inlineStr">
        <is>
          <t>Yes</t>
        </is>
      </c>
      <c r="E162" s="32" t="inlineStr">
        <is>
          <t>Xi Jinping</t>
        </is>
      </c>
      <c r="F162" s="32" t="inlineStr">
        <is>
          <t>President of the People's Republic of China</t>
        </is>
      </c>
      <c r="G162" s="32" t="inlineStr">
        <is>
          <t>China</t>
        </is>
      </c>
      <c r="H162" s="32" t="inlineStr">
        <is>
          <t>joint declaration or mou</t>
        </is>
      </c>
      <c r="I162" s="32" t="inlineStr">
        <is>
          <t>State visit to Peru / APEC Lima 2024; joint statement with President Dina Boluarte</t>
        </is>
      </c>
      <c r="J162" s="32" t="inlineStr">
        <is>
          <t>The China-Peru joint statement on deepening the comprehensive strategic partnership says cooperation will deepen in strategic sectors such as infrastructure, energy and mining, lists minerals among key cooperation areas under the Belt and Road framework, and congratulates the opening of Chancay port.</t>
        </is>
      </c>
      <c r="K162" s="32" t="inlineStr">
        <is>
          <t>mining general</t>
        </is>
      </c>
      <c r="L162" s="32" t="inlineStr">
        <is>
          <t>infrastructure ports, foreign investment, diplomatic relations</t>
        </is>
      </c>
      <c r="M162" s="31" t="inlineStr">
        <is>
          <t>positive</t>
        </is>
      </c>
      <c r="N162" s="31" t="inlineStr">
        <is>
          <t>not mentioned</t>
        </is>
      </c>
      <c r="O162" s="32" t="inlineStr">
        <is>
          <t>这将深化双方在基础设施、能源和矿业等战略领域的合作关系。</t>
        </is>
      </c>
      <c r="P162" s="32" t="inlineStr">
        <is>
          <t>This will deepen the two sides' cooperation in strategic fields such as infrastructure, energy and mining.</t>
        </is>
      </c>
      <c r="Q162" s="31" t="inlineStr">
        <is>
          <t>zh</t>
        </is>
      </c>
      <c r="R162" s="33" t="inlineStr">
        <is>
          <t>Ministry of Foreign Affairs of the PRC</t>
        </is>
      </c>
      <c r="S162" s="32" t="inlineStr">
        <is>
          <t>primary official</t>
        </is>
      </c>
      <c r="T162" s="32" t="inlineStr">
        <is>
          <t>primary verified</t>
        </is>
      </c>
      <c r="U162" s="32" t="inlineStr">
        <is>
          <t>Joint statement of Xi and Boluarte dated 2024-11-15; posted on MFA site 2024-12-18; also in People's Daily 2024-11-16.</t>
        </is>
      </c>
    </row>
    <row r="163" ht="45.75" customHeight="1" s="24">
      <c r="A163" s="31" t="inlineStr">
        <is>
          <t>PS-0158</t>
        </is>
      </c>
      <c r="B163" s="31" t="inlineStr">
        <is>
          <t>2024-11-15</t>
        </is>
      </c>
      <c r="C163" s="31" t="inlineStr">
        <is>
          <t>Peru</t>
        </is>
      </c>
      <c r="D163" s="31" t="inlineStr">
        <is>
          <t>Yes</t>
        </is>
      </c>
      <c r="E163" s="32" t="inlineStr">
        <is>
          <t>Xi Jinping</t>
        </is>
      </c>
      <c r="F163" s="32" t="inlineStr">
        <is>
          <t>President of the People's Republic of China</t>
        </is>
      </c>
      <c r="G163" s="32" t="inlineStr">
        <is>
          <t>China</t>
        </is>
      </c>
      <c r="H163" s="32" t="inlineStr">
        <is>
          <t>speech</t>
        </is>
      </c>
      <c r="I163" s="32" t="inlineStr">
        <is>
          <t>Chancay port inauguration by video link, Lima state visit / APEC 2024</t>
        </is>
      </c>
      <c r="J163" s="32" t="inlineStr">
        <is>
          <t>Xi, inaugurating Chancay with Boluarte by video link, called it South America's first smart, green port and the start of a new-era 'Inca Trail', presenting it as Belt and Road success in Peru.</t>
        </is>
      </c>
      <c r="K163" s="32" t="inlineStr">
        <is>
          <t>mining general</t>
        </is>
      </c>
      <c r="L163" s="32" t="inlineStr">
        <is>
          <t>infrastructure ports, diplomatic relations</t>
        </is>
      </c>
      <c r="M163" s="31" t="inlineStr">
        <is>
          <t>positive</t>
        </is>
      </c>
      <c r="N163" s="31" t="inlineStr">
        <is>
          <t>not mentioned</t>
        </is>
      </c>
      <c r="O163" s="32" t="inlineStr">
        <is>
          <t>From Chancay to Shanghai, the Belt and Road Initiative is bearing fruit in Peru before our eyes.</t>
        </is>
      </c>
      <c r="P163" s="32" t="inlineStr">
        <is>
          <t>From Chancay to Shanghai, the Belt and Road Initiative is bearing fruit in Peru before our eyes.</t>
        </is>
      </c>
      <c r="Q163" s="31" t="inlineStr">
        <is>
          <t>en</t>
        </is>
      </c>
      <c r="R163" s="33" t="inlineStr">
        <is>
          <t>Ministry of Foreign Affairs of the PRC</t>
        </is>
      </c>
      <c r="S163" s="32" t="inlineStr">
        <is>
          <t>primary official</t>
        </is>
      </c>
      <c r="T163" s="32" t="inlineStr">
        <is>
          <t>primary verified</t>
        </is>
      </c>
      <c r="U163" s="32" t="inlineStr">
        <is>
          <t>Official English translation; port record, minerals relevance indirect</t>
        </is>
      </c>
    </row>
    <row r="164" ht="45.75" customHeight="1" s="24">
      <c r="A164" s="31" t="inlineStr">
        <is>
          <t>PS-0159</t>
        </is>
      </c>
      <c r="B164" s="31" t="inlineStr">
        <is>
          <t>2024-11-18</t>
        </is>
      </c>
      <c r="C164" s="31" t="inlineStr">
        <is>
          <t>Peru</t>
        </is>
      </c>
      <c r="D164" s="31" t="inlineStr">
        <is>
          <t>Yes</t>
        </is>
      </c>
      <c r="E164" s="32" t="inlineStr">
        <is>
          <t>Desilú León</t>
        </is>
      </c>
      <c r="F164" s="32" t="inlineStr">
        <is>
          <t>Minister of Foreign Trade and Tourism of Peru</t>
        </is>
      </c>
      <c r="G164" s="32" t="inlineStr">
        <is>
          <t>LatAm executive</t>
        </is>
      </c>
      <c r="H164" s="32" t="inlineStr">
        <is>
          <t>press conference</t>
        </is>
      </c>
      <c r="I164" s="32" t="inlineStr">
        <is>
          <t>Response to Claver-Carone 60% tariff proposal on Chancay</t>
        </is>
      </c>
      <c r="J164" s="32" t="inlineStr">
        <is>
          <t>León downplayed the proposed US tariff, saying the US was invited to use Chancay but was not necessarily among its users, and that many countries saw an opportunity; ministers pointed to US$50 billion in mining projects open to US investment.</t>
        </is>
      </c>
      <c r="K164" s="32" t="inlineStr">
        <is>
          <t>mining general</t>
        </is>
      </c>
      <c r="L164" s="32" t="inlineStr">
        <is>
          <t>tariffs trade policy, infrastructure ports, foreign investment</t>
        </is>
      </c>
      <c r="M164" s="31" t="inlineStr">
        <is>
          <t>neutral</t>
        </is>
      </c>
      <c r="N164" s="31" t="inlineStr">
        <is>
          <t>neutral</t>
        </is>
      </c>
      <c r="O164" s="32" t="inlineStr">
        <is>
          <t>Estados Unidos, si bien está invitado a poder usar el Megapuerto Chancay, no necesariamente es uno de los países que lo va a usar.</t>
        </is>
      </c>
      <c r="P164" s="32" t="inlineStr">
        <is>
          <t>The United States, although invited to use the Chancay Megaport, is not necessarily one of the countries that will use it.</t>
        </is>
      </c>
      <c r="Q164" s="31" t="inlineStr">
        <is>
          <t>es</t>
        </is>
      </c>
      <c r="R164" s="33" t="inlineStr">
        <is>
          <t>Peru Retail</t>
        </is>
      </c>
      <c r="S164" s="32" t="inlineStr">
        <is>
          <t>news media</t>
        </is>
      </c>
      <c r="T164" s="32" t="inlineStr">
        <is>
          <t>secondary reported</t>
        </is>
      </c>
      <c r="U164" s="32" t="inlineStr"/>
    </row>
    <row r="165" ht="45.75" customHeight="1" s="24">
      <c r="A165" s="31" t="inlineStr">
        <is>
          <t>PS-0160</t>
        </is>
      </c>
      <c r="B165" s="31" t="inlineStr">
        <is>
          <t>2024-11-18</t>
        </is>
      </c>
      <c r="C165" s="31" t="inlineStr">
        <is>
          <t>Peru</t>
        </is>
      </c>
      <c r="D165" s="31" t="inlineStr">
        <is>
          <t>Yes</t>
        </is>
      </c>
      <c r="E165" s="32" t="inlineStr">
        <is>
          <t>Mauricio Claver-Carone</t>
        </is>
      </c>
      <c r="F165" s="32" t="inlineStr">
        <is>
          <t>Incoming Special Envoy for Latin America (Trump transition)</t>
        </is>
      </c>
      <c r="G165" s="32" t="inlineStr">
        <is>
          <t>United States</t>
        </is>
      </c>
      <c r="H165" s="32" t="inlineStr">
        <is>
          <t>interview</t>
        </is>
      </c>
      <c r="I165" s="32" t="inlineStr">
        <is>
          <t>Reaction to Chancay port inauguration</t>
        </is>
      </c>
      <c r="J165" s="32" t="inlineStr">
        <is>
          <t>Claver-Carone proposed that any product transiting Chancay or other Chinese-owned or controlled ports in the region face a 60% tariff as if it were Chinese, to prevent transshipment.</t>
        </is>
      </c>
      <c r="K165" s="32" t="inlineStr">
        <is>
          <t>mining general</t>
        </is>
      </c>
      <c r="L165" s="32" t="inlineStr">
        <is>
          <t>tariffs trade policy, geopolitics security, infrastructure ports</t>
        </is>
      </c>
      <c r="M165" s="31" t="inlineStr">
        <is>
          <t>negative</t>
        </is>
      </c>
      <c r="N165" s="31" t="inlineStr">
        <is>
          <t>not mentioned</t>
        </is>
      </c>
      <c r="O165" s="32" t="inlineStr">
        <is>
          <t>Any product passing through Chancay or any Chinese-owned or controlled port in the region should be subject to a 60% tariff as if the product were from China.</t>
        </is>
      </c>
      <c r="P165" s="32" t="inlineStr">
        <is>
          <t>Any product passing through Chancay or any Chinese-owned or controlled port in the region should be subject to a 60% tariff as if the product were from China.</t>
        </is>
      </c>
      <c r="Q165" s="31" t="inlineStr">
        <is>
          <t>en</t>
        </is>
      </c>
      <c r="R165" s="33" t="inlineStr">
        <is>
          <t>FreshFruitPortal</t>
        </is>
      </c>
      <c r="S165" s="32" t="inlineStr">
        <is>
          <t>news media</t>
        </is>
      </c>
      <c r="T165" s="32" t="inlineStr">
        <is>
          <t>secondary reported</t>
        </is>
      </c>
      <c r="U165" s="32" t="inlineStr">
        <is>
          <t>Role: had been named/advised Trump transition; formally appointed envoy later. Quote may be translated from Spanish-language interview</t>
        </is>
      </c>
    </row>
    <row r="166" ht="45.75" customHeight="1" s="24">
      <c r="A166" s="31" t="inlineStr">
        <is>
          <t>PS-0161</t>
        </is>
      </c>
      <c r="B166" s="31" t="inlineStr">
        <is>
          <t>2024-11-19</t>
        </is>
      </c>
      <c r="C166" s="31" t="inlineStr">
        <is>
          <t>Brazil</t>
        </is>
      </c>
      <c r="D166" s="31" t="inlineStr">
        <is>
          <t>Yes</t>
        </is>
      </c>
      <c r="E166" s="32" t="inlineStr">
        <is>
          <t>Joe Biden</t>
        </is>
      </c>
      <c r="F166" s="32" t="inlineStr">
        <is>
          <t>President of the United States</t>
        </is>
      </c>
      <c r="G166" s="32" t="inlineStr">
        <is>
          <t>United States</t>
        </is>
      </c>
      <c r="H166" s="32" t="inlineStr">
        <is>
          <t>official statement</t>
        </is>
      </c>
      <c r="I166" s="32" t="inlineStr">
        <is>
          <t>Biden-Lula meeting, G20 Rio de Janeiro; launch of Brazil-U.S. Partnership for the Energy Transition</t>
        </is>
      </c>
      <c r="J166" s="32" t="inlineStr">
        <is>
          <t>White House readout said Biden and Lula launched a partnership for the energy transition aiming, among other things, to expand energy and mineral supply chain development.</t>
        </is>
      </c>
      <c r="K166" s="32" t="inlineStr">
        <is>
          <t>critical minerals general</t>
        </is>
      </c>
      <c r="L166" s="32" t="inlineStr">
        <is>
          <t>energy transition, diplomatic relations</t>
        </is>
      </c>
      <c r="M166" s="31" t="inlineStr">
        <is>
          <t>not mentioned</t>
        </is>
      </c>
      <c r="N166" s="31" t="inlineStr">
        <is>
          <t>positive</t>
        </is>
      </c>
      <c r="O166" s="32" t="inlineStr">
        <is>
          <t>expand energy and mineral supply chain development</t>
        </is>
      </c>
      <c r="P166" s="32" t="inlineStr">
        <is>
          <t>expand energy and mineral supply chain development</t>
        </is>
      </c>
      <c r="Q166" s="31" t="inlineStr">
        <is>
          <t>en</t>
        </is>
      </c>
      <c r="R166" s="33" t="inlineStr">
        <is>
          <t>The White House (Biden archive)</t>
        </is>
      </c>
      <c r="S166" s="32" t="inlineStr">
        <is>
          <t>primary official</t>
        </is>
      </c>
      <c r="T166" s="32" t="inlineStr">
        <is>
          <t>primary verified</t>
        </is>
      </c>
      <c r="U166" s="32" t="inlineStr"/>
    </row>
    <row r="167" ht="45.75" customHeight="1" s="24">
      <c r="A167" s="31" t="inlineStr">
        <is>
          <t>PS-0162</t>
        </is>
      </c>
      <c r="B167" s="31" t="inlineStr">
        <is>
          <t>2024-11-20</t>
        </is>
      </c>
      <c r="C167" s="31" t="inlineStr">
        <is>
          <t>Brazil</t>
        </is>
      </c>
      <c r="D167" s="31" t="inlineStr">
        <is>
          <t>Yes</t>
        </is>
      </c>
      <c r="E167" s="32" t="inlineStr">
        <is>
          <t>National Development and Reform Commission (NDRC)</t>
        </is>
      </c>
      <c r="F167" s="32" t="inlineStr">
        <is>
          <t>Chinese central government planning agency</t>
        </is>
      </c>
      <c r="G167" s="32" t="inlineStr">
        <is>
          <t>China</t>
        </is>
      </c>
      <c r="H167" s="32" t="inlineStr">
        <is>
          <t>joint declaration or mou</t>
        </is>
      </c>
      <c r="I167" s="32" t="inlineStr">
        <is>
          <t>Xi Jinping state visit to Brazil (Brasilia), list of 38 cooperation documents</t>
        </is>
      </c>
      <c r="J167" s="32" t="inlineStr">
        <is>
          <t>Among the 38 documents signed during Xi Jinping's state visit to Brazil, China's NDRC and Brazil's Ministry of Mines and Energy signed a memorandum of understanding on cooperation in sustainable mining development. The MFA's outcome list gives only the title, not the text.</t>
        </is>
      </c>
      <c r="K167" s="32" t="inlineStr">
        <is>
          <t>mining general</t>
        </is>
      </c>
      <c r="L167" s="32" t="inlineStr">
        <is>
          <t>environment water, foreign investment, diplomatic relations</t>
        </is>
      </c>
      <c r="M167" s="31" t="inlineStr">
        <is>
          <t>positive</t>
        </is>
      </c>
      <c r="N167" s="31" t="inlineStr">
        <is>
          <t>not mentioned</t>
        </is>
      </c>
      <c r="O167" s="32" t="inlineStr">
        <is>
          <t>关于开展矿业可持续发展合作的谅解备忘录</t>
        </is>
      </c>
      <c r="P167" s="32" t="inlineStr">
        <is>
          <t>Memorandum of understanding on carrying out cooperation in sustainable mining development</t>
        </is>
      </c>
      <c r="Q167" s="31" t="inlineStr">
        <is>
          <t>zh</t>
        </is>
      </c>
      <c r="R167" s="33" t="inlineStr">
        <is>
          <t>Ministry of Foreign Affairs of the PRC</t>
        </is>
      </c>
      <c r="S167" s="32" t="inlineStr">
        <is>
          <t>primary official</t>
        </is>
      </c>
      <c r="T167" s="32" t="inlineStr">
        <is>
          <t>primary verified</t>
        </is>
      </c>
      <c r="U167" s="32" t="inlineStr">
        <is>
          <t>Item 2 of 'List of outcome documents of President Xi Jinping's state visit to Brazil' (dated 2024-11-21; signing 2024-11-20). Also printed in People's Daily 2024-11-22. Quote is the MoU title only; MoU text not seen.</t>
        </is>
      </c>
    </row>
    <row r="168" ht="45.75" customHeight="1" s="24">
      <c r="A168" s="31" t="inlineStr">
        <is>
          <t>PS-0163</t>
        </is>
      </c>
      <c r="B168" s="31" t="inlineStr">
        <is>
          <t>2024-11-26</t>
        </is>
      </c>
      <c r="C168" s="31" t="inlineStr">
        <is>
          <t>Mexico</t>
        </is>
      </c>
      <c r="D168" s="31" t="inlineStr">
        <is>
          <t>No</t>
        </is>
      </c>
      <c r="E168" s="32" t="inlineStr">
        <is>
          <t>Óscar Ocampo</t>
        </is>
      </c>
      <c r="F168" s="32" t="inlineStr">
        <is>
          <t>Energy and Environment Coordinator, IMCO</t>
        </is>
      </c>
      <c r="G168" s="32" t="inlineStr">
        <is>
          <t>Other (business, civil society, third countries)</t>
        </is>
      </c>
      <c r="H168" s="32" t="inlineStr">
        <is>
          <t>report</t>
        </is>
      </c>
      <c r="I168" s="32" t="inlineStr">
        <is>
          <t>Analysis of LitioMx 2025 budget</t>
        </is>
      </c>
      <c r="J168" s="32" t="inlineStr">
        <is>
          <t>IMCO's Ocampo said that although LitioMx's proposed 2025 funding rose about 31.6% it remained insufficient to develop lithium projects.</t>
        </is>
      </c>
      <c r="K168" s="32" t="inlineStr">
        <is>
          <t>lithium</t>
        </is>
      </c>
      <c r="L168" s="32" t="inlineStr">
        <is>
          <t>state control nationalization, financing credit</t>
        </is>
      </c>
      <c r="M168" s="31" t="inlineStr">
        <is>
          <t>not mentioned</t>
        </is>
      </c>
      <c r="N168" s="31" t="inlineStr">
        <is>
          <t>not mentioned</t>
        </is>
      </c>
      <c r="O168" s="32" t="inlineStr"/>
      <c r="P168" s="32" t="inlineStr"/>
      <c r="Q168" s="31" t="inlineStr">
        <is>
          <t>en</t>
        </is>
      </c>
      <c r="R168" s="33" t="inlineStr">
        <is>
          <t>Mexico Business News</t>
        </is>
      </c>
      <c r="S168" s="32" t="inlineStr">
        <is>
          <t>news media</t>
        </is>
      </c>
      <c r="T168" s="32" t="inlineStr">
        <is>
          <t>secondary reported</t>
        </is>
      </c>
      <c r="U168" s="32" t="inlineStr">
        <is>
          <t>Think tank actor; quote attribution in article unclear, so paraphrased.</t>
        </is>
      </c>
    </row>
    <row r="169" ht="45.75" customHeight="1" s="24">
      <c r="A169" s="31" t="inlineStr">
        <is>
          <t>PS-0164</t>
        </is>
      </c>
      <c r="B169" s="31" t="inlineStr">
        <is>
          <t>2024-11-27</t>
        </is>
      </c>
      <c r="C169" s="31" t="inlineStr">
        <is>
          <t>Argentina</t>
        </is>
      </c>
      <c r="D169" s="31" t="inlineStr">
        <is>
          <t>Yes</t>
        </is>
      </c>
      <c r="E169" s="32" t="inlineStr">
        <is>
          <t>Carlos Sadir</t>
        </is>
      </c>
      <c r="F169" s="32" t="inlineStr">
        <is>
          <t>Governor of Jujuy</t>
        </is>
      </c>
      <c r="G169" s="32" t="inlineStr">
        <is>
          <t>LatAm executive</t>
        </is>
      </c>
      <c r="H169" s="32" t="inlineStr">
        <is>
          <t>speech</t>
        </is>
      </c>
      <c r="I169" s="32" t="inlineStr">
        <is>
          <t>Cumbre de Minería Sostenible 2024, Mendoza</t>
        </is>
      </c>
      <c r="J169" s="32" t="inlineStr">
        <is>
          <t>Sadir said Jujuy's two lithium producers would reach about 50,000 tonnes that year but must produce more, highlighting clean energy use and that communities must grow alongside mining projects.</t>
        </is>
      </c>
      <c r="K169" s="32" t="inlineStr">
        <is>
          <t>lithium</t>
        </is>
      </c>
      <c r="L169" s="32" t="inlineStr">
        <is>
          <t>indigenous community rights, energy transition, infrastructure ports</t>
        </is>
      </c>
      <c r="M169" s="31" t="inlineStr">
        <is>
          <t>not mentioned</t>
        </is>
      </c>
      <c r="N169" s="31" t="inlineStr">
        <is>
          <t>not mentioned</t>
        </is>
      </c>
      <c r="O169" s="32" t="inlineStr">
        <is>
          <t>dos empresas produciendo litio, las que este año alcanzarán un volumen aproximado a las 50.000 toneladas, pero hay que producir más</t>
        </is>
      </c>
      <c r="P169" s="32" t="inlineStr">
        <is>
          <t>two companies producing lithium, which this year will reach roughly 50,000 tonnes, but we must produce more</t>
        </is>
      </c>
      <c r="Q169" s="31" t="inlineStr">
        <is>
          <t>es</t>
        </is>
      </c>
      <c r="R169" s="33" t="inlineStr">
        <is>
          <t>TodoJujuy</t>
        </is>
      </c>
      <c r="S169" s="32" t="inlineStr">
        <is>
          <t>news media</t>
        </is>
      </c>
      <c r="T169" s="32" t="inlineStr">
        <is>
          <t>secondary reported</t>
        </is>
      </c>
      <c r="U169" s="32" t="inlineStr"/>
    </row>
    <row r="170" ht="45.75" customHeight="1" s="24">
      <c r="A170" s="31" t="inlineStr">
        <is>
          <t>PS-0165</t>
        </is>
      </c>
      <c r="B170" s="31" t="inlineStr">
        <is>
          <t>2024-11-29</t>
        </is>
      </c>
      <c r="C170" s="31" t="inlineStr">
        <is>
          <t>Peru</t>
        </is>
      </c>
      <c r="D170" s="31" t="inlineStr">
        <is>
          <t>Yes</t>
        </is>
      </c>
      <c r="E170" s="32" t="inlineStr">
        <is>
          <t>Congress of the Republic of Peru</t>
        </is>
      </c>
      <c r="F170" s="32" t="inlineStr">
        <is>
          <t>Plenary of Congress</t>
        </is>
      </c>
      <c r="G170" s="32" t="inlineStr">
        <is>
          <t>LatAm legislature</t>
        </is>
      </c>
      <c r="H170" s="32" t="inlineStr">
        <is>
          <t>legislative debate</t>
        </is>
      </c>
      <c r="I170" s="32" t="inlineStr">
        <is>
          <t>Vote extending REINFO informal mining registry to 30 Jun 2025</t>
        </is>
      </c>
      <c r="J170" s="32" t="inlineStr">
        <is>
          <t>After 12 days of blockades by informal miners, the plenary approved with 87 votes a six-month REINFO extension to 30 June 2025, extendable another six months by supreme decree; the text was presented by Energy and Mines Commission chair Paul Gutiérrez.</t>
        </is>
      </c>
      <c r="K170" s="32" t="inlineStr">
        <is>
          <t>mining general</t>
        </is>
      </c>
      <c r="L170" s="32" t="inlineStr">
        <is>
          <t>corruption governance, labor social conflict</t>
        </is>
      </c>
      <c r="M170" s="31" t="inlineStr">
        <is>
          <t>not mentioned</t>
        </is>
      </c>
      <c r="N170" s="31" t="inlineStr">
        <is>
          <t>not mentioned</t>
        </is>
      </c>
      <c r="O170" s="32" t="inlineStr"/>
      <c r="P170" s="32" t="inlineStr"/>
      <c r="Q170" s="31" t="inlineStr">
        <is>
          <t>es</t>
        </is>
      </c>
      <c r="R170" s="33" t="inlineStr">
        <is>
          <t>El Búho</t>
        </is>
      </c>
      <c r="S170" s="32" t="inlineStr">
        <is>
          <t>news media</t>
        </is>
      </c>
      <c r="T170" s="32" t="inlineStr">
        <is>
          <t>secondary reported</t>
        </is>
      </c>
      <c r="U170" s="32" t="inlineStr"/>
    </row>
    <row r="171" ht="45.75" customHeight="1" s="24">
      <c r="A171" s="31" t="inlineStr">
        <is>
          <t>PS-0166</t>
        </is>
      </c>
      <c r="B171" s="31" t="inlineStr">
        <is>
          <t>2024-12-09</t>
        </is>
      </c>
      <c r="C171" s="31" t="inlineStr">
        <is>
          <t>Bolivia</t>
        </is>
      </c>
      <c r="D171" s="31" t="inlineStr">
        <is>
          <t>Yes</t>
        </is>
      </c>
      <c r="E171" s="32" t="inlineStr">
        <is>
          <t>Teresa Morales</t>
        </is>
      </c>
      <c r="F171" s="32" t="inlineStr">
        <is>
          <t>Former Minister (Morales government); evista MAS faction</t>
        </is>
      </c>
      <c r="G171" s="32" t="inlineStr">
        <is>
          <t>Other (business, civil society, third countries)</t>
        </is>
      </c>
      <c r="H171" s="32" t="inlineStr">
        <is>
          <t>press conference</t>
        </is>
      </c>
      <c r="I171" s="32" t="inlineStr">
        <is>
          <t>Announcement of responsibility trial against Arce over lithium contracts</t>
        </is>
      </c>
      <c r="J171" s="32" t="inlineStr">
        <is>
          <t>Former ministers Teresa Morales and Wilma Alanoca announced a responsibility trial against President Arce for 'treason', alleging the Uranium One contract violated the Constitution and its cost rose from US$450m to US$976m without justification.</t>
        </is>
      </c>
      <c r="K171" s="32" t="inlineStr">
        <is>
          <t>lithium</t>
        </is>
      </c>
      <c r="L171" s="32" t="inlineStr">
        <is>
          <t>corruption governance, sovereignty</t>
        </is>
      </c>
      <c r="M171" s="31" t="inlineStr">
        <is>
          <t>not mentioned</t>
        </is>
      </c>
      <c r="N171" s="31" t="inlineStr">
        <is>
          <t>not mentioned</t>
        </is>
      </c>
      <c r="O171" s="32" t="inlineStr"/>
      <c r="P171" s="32" t="inlineStr"/>
      <c r="Q171" s="31" t="inlineStr">
        <is>
          <t>es</t>
        </is>
      </c>
      <c r="R171" s="33" t="inlineStr">
        <is>
          <t>EJU.tv</t>
        </is>
      </c>
      <c r="S171" s="32" t="inlineStr">
        <is>
          <t>news media</t>
        </is>
      </c>
      <c r="T171" s="32" t="inlineStr">
        <is>
          <t>secondary reported</t>
        </is>
      </c>
      <c r="U171" s="32" t="inlineStr">
        <is>
          <t>Only paraphrase/translated fragments available.</t>
        </is>
      </c>
    </row>
    <row r="172" ht="45.75" customHeight="1" s="24">
      <c r="A172" s="31" t="inlineStr">
        <is>
          <t>PS-0167</t>
        </is>
      </c>
      <c r="B172" s="31" t="inlineStr">
        <is>
          <t>2024-12-14</t>
        </is>
      </c>
      <c r="C172" s="31" t="inlineStr">
        <is>
          <t>Peru</t>
        </is>
      </c>
      <c r="D172" s="31" t="inlineStr">
        <is>
          <t>Yes</t>
        </is>
      </c>
      <c r="E172" s="32" t="inlineStr">
        <is>
          <t>Congress of the Republic of Peru</t>
        </is>
      </c>
      <c r="F172" s="32" t="inlineStr">
        <is>
          <t>Plenary of Congress</t>
        </is>
      </c>
      <c r="G172" s="32" t="inlineStr">
        <is>
          <t>LatAm legislature</t>
        </is>
      </c>
      <c r="H172" s="32" t="inlineStr">
        <is>
          <t>bill or law</t>
        </is>
      </c>
      <c r="I172" s="32" t="inlineStr">
        <is>
          <t>Framework law on Private Special Economic Zones (ZEEP)</t>
        </is>
      </c>
      <c r="J172" s="32" t="inlineStr">
        <is>
          <t>Congress approved (80-15-5) a framework law for private special economic zones with a 0% income tax for five years then graduated rates, aimed at value-added exports; a separate proposal to create zones in Chancay, Ancón and Iñapari failed to win enough votes.</t>
        </is>
      </c>
      <c r="K172" s="32" t="inlineStr">
        <is>
          <t>mining general</t>
        </is>
      </c>
      <c r="L172" s="32" t="inlineStr">
        <is>
          <t>foreign investment, value added industrialization, royalties taxation, infrastructure ports</t>
        </is>
      </c>
      <c r="M172" s="31" t="inlineStr">
        <is>
          <t>not mentioned</t>
        </is>
      </c>
      <c r="N172" s="31" t="inlineStr">
        <is>
          <t>not mentioned</t>
        </is>
      </c>
      <c r="O172" s="32" t="inlineStr"/>
      <c r="P172" s="32" t="inlineStr"/>
      <c r="Q172" s="31" t="inlineStr">
        <is>
          <t>es</t>
        </is>
      </c>
      <c r="R172" s="33" t="inlineStr">
        <is>
          <t>Peru Retail</t>
        </is>
      </c>
      <c r="S172" s="32" t="inlineStr">
        <is>
          <t>news media</t>
        </is>
      </c>
      <c r="T172" s="32" t="inlineStr">
        <is>
          <t>secondary reported</t>
        </is>
      </c>
      <c r="U172" s="32" t="inlineStr">
        <is>
          <t>Minerals relevance indirect (industrial/processing zones near Chancay); enacted as Ley 32449 per congress.gob.pe</t>
        </is>
      </c>
    </row>
    <row r="173" ht="45.75" customHeight="1" s="24">
      <c r="A173" s="31" t="inlineStr">
        <is>
          <t>PS-0168</t>
        </is>
      </c>
      <c r="B173" s="31" t="inlineStr">
        <is>
          <t>2024-12-23</t>
        </is>
      </c>
      <c r="C173" s="31" t="inlineStr">
        <is>
          <t>Mexico</t>
        </is>
      </c>
      <c r="D173" s="31" t="inlineStr">
        <is>
          <t>No</t>
        </is>
      </c>
      <c r="E173" s="32" t="inlineStr">
        <is>
          <t>Marcelo Ebrard</t>
        </is>
      </c>
      <c r="F173" s="32" t="inlineStr">
        <is>
          <t>Secretary of Economy of Mexico</t>
        </is>
      </c>
      <c r="G173" s="32" t="inlineStr">
        <is>
          <t>LatAm executive</t>
        </is>
      </c>
      <c r="H173" s="32" t="inlineStr">
        <is>
          <t>press conference</t>
        </is>
      </c>
      <c r="I173" s="32" t="inlineStr">
        <is>
          <t>Plan Sonora progress with US support</t>
        </is>
      </c>
      <c r="J173" s="32" t="inlineStr">
        <is>
          <t>Ebrard said the Economy Ministry was facilitating agreements to speed up Mexico's lithium production on Sheinbaum's instruction, describing Plan Sonora as jointly designed with the United States around electromobility and semiconductors.</t>
        </is>
      </c>
      <c r="K173" s="32" t="inlineStr">
        <is>
          <t>lithium</t>
        </is>
      </c>
      <c r="L173" s="32" t="inlineStr">
        <is>
          <t>value added industrialization, foreign investment, energy transition</t>
        </is>
      </c>
      <c r="M173" s="31" t="inlineStr">
        <is>
          <t>not mentioned</t>
        </is>
      </c>
      <c r="N173" s="31" t="inlineStr">
        <is>
          <t>positive</t>
        </is>
      </c>
      <c r="O173" s="32" t="inlineStr">
        <is>
          <t>The Ministry of Economy is facilitating the necessary agreements, and President Sheinbaum's directive is to expedite Mexico's lithium production</t>
        </is>
      </c>
      <c r="P173" s="32" t="inlineStr">
        <is>
          <t>The Ministry of Economy is facilitating the necessary agreements, and President Sheinbaum's directive is to expedite Mexico's lithium production</t>
        </is>
      </c>
      <c r="Q173" s="31" t="inlineStr">
        <is>
          <t>en</t>
        </is>
      </c>
      <c r="R173" s="33" t="inlineStr">
        <is>
          <t>Mexico Business News</t>
        </is>
      </c>
      <c r="S173" s="32" t="inlineStr">
        <is>
          <t>news media</t>
        </is>
      </c>
      <c r="T173" s="32" t="inlineStr">
        <is>
          <t>secondary reported</t>
        </is>
      </c>
      <c r="U173" s="32" t="inlineStr">
        <is>
          <t>Quote is MBN English translation; date approximate (article date).</t>
        </is>
      </c>
    </row>
    <row r="174" ht="45.75" customHeight="1" s="24">
      <c r="A174" s="31" t="inlineStr">
        <is>
          <t>PS-0400</t>
        </is>
      </c>
      <c r="B174" s="31" t="inlineStr">
        <is>
          <t>2025-01</t>
        </is>
      </c>
      <c r="C174" s="31" t="inlineStr">
        <is>
          <t>Guyana</t>
        </is>
      </c>
      <c r="D174" s="31" t="inlineStr">
        <is>
          <t>Yes</t>
        </is>
      </c>
      <c r="E174" s="32" t="inlineStr">
        <is>
          <t>Vickram Bharrat</t>
        </is>
      </c>
      <c r="F174" s="32" t="inlineStr">
        <is>
          <t>Minister of Natural Resources</t>
        </is>
      </c>
      <c r="G174" s="32" t="inlineStr">
        <is>
          <t>LatAm executive</t>
        </is>
      </c>
      <c r="H174" s="32" t="inlineStr">
        <is>
          <t>press conference</t>
        </is>
      </c>
      <c r="I174" s="32" t="inlineStr">
        <is>
          <t>Ministry of Natural Resources year-in-review press conference, January 2025</t>
        </is>
      </c>
      <c r="J174" s="32" t="inlineStr">
        <is>
          <t>Bharrat reported that bauxite output rose from 523,732 tonnes in 2023 to about 1.7 million tonnes in 2024, credited the rebound mainly to investment by the Chinese-owned Bosai Minerals Group after Rusal's withdrawal, and said more than 1,000 Guyanese now work in the sector.</t>
        </is>
      </c>
      <c r="K174" s="32" t="inlineStr">
        <is>
          <t>bauxite aluminum</t>
        </is>
      </c>
      <c r="L174" s="32" t="inlineStr">
        <is>
          <t>foreign investment, value added industrialization</t>
        </is>
      </c>
      <c r="M174" s="31" t="inlineStr">
        <is>
          <t>positive</t>
        </is>
      </c>
      <c r="N174" s="31" t="inlineStr">
        <is>
          <t>not mentioned</t>
        </is>
      </c>
      <c r="O174" s="32" t="inlineStr">
        <is>
          <t>In 2023, the production in bauxite was 523,732 tonnes, but in 2024, production jumped to 1.7 million tonnes</t>
        </is>
      </c>
      <c r="P174" s="32" t="inlineStr">
        <is>
          <t>In 2023, the production in bauxite was 523,732 tonnes, but in 2024, production jumped to 1.7 million tonnes</t>
        </is>
      </c>
      <c r="Q174" s="31" t="inlineStr">
        <is>
          <t>en</t>
        </is>
      </c>
      <c r="R174" s="33" t="inlineStr">
        <is>
          <t>Guyana Chronicle</t>
        </is>
      </c>
      <c r="S174" s="32" t="inlineStr">
        <is>
          <t>news media</t>
        </is>
      </c>
      <c r="T174" s="32" t="inlineStr">
        <is>
          <t>secondary reported</t>
        </is>
      </c>
      <c r="U174" s="32" t="inlineStr">
        <is>
          <t>Coded by an AI session (2026-10-09) under the README vocabularies, from web-search results that cite the page; the page itself was not opened. State-owned newspaper reporting a government briefing; the figures are the ministry's own. Month precision.</t>
        </is>
      </c>
    </row>
    <row r="175" ht="45.75" customHeight="1" s="24">
      <c r="A175" s="31" t="inlineStr">
        <is>
          <t>PS-0402</t>
        </is>
      </c>
      <c r="B175" s="31" t="inlineStr">
        <is>
          <t>2025-01-12</t>
        </is>
      </c>
      <c r="C175" s="31" t="inlineStr">
        <is>
          <t>Paraguay</t>
        </is>
      </c>
      <c r="D175" s="31" t="inlineStr">
        <is>
          <t>Yes</t>
        </is>
      </c>
      <c r="E175" s="32" t="inlineStr">
        <is>
          <t>Mauricio Bejarano</t>
        </is>
      </c>
      <c r="F175" s="32" t="inlineStr">
        <is>
          <t>Vice Minister of Mines and Energy</t>
        </is>
      </c>
      <c r="G175" s="32" t="inlineStr">
        <is>
          <t>LatAm executive</t>
        </is>
      </c>
      <c r="H175" s="32" t="inlineStr">
        <is>
          <t>interview</t>
        </is>
      </c>
      <c r="I175" s="32" t="inlineStr">
        <is>
          <t>Interview on Paraguay's geological potential (uranium in Caazapá/Yuty, lithium prospects in the Chaco)</t>
        </is>
      </c>
      <c r="J175" s="32" t="inlineStr">
        <is>
          <t>Bejarano described Paraguay's geology as attractive for mining, pointed to the uranium resources of Caazapá (Yuty) and said it would be a dream to extract lithium in the Chaco.</t>
        </is>
      </c>
      <c r="K175" s="32" t="inlineStr">
        <is>
          <t>uranium, lithium</t>
        </is>
      </c>
      <c r="L175" s="32" t="inlineStr">
        <is>
          <t>foreign investment</t>
        </is>
      </c>
      <c r="M175" s="31" t="inlineStr">
        <is>
          <t>not mentioned</t>
        </is>
      </c>
      <c r="N175" s="31" t="inlineStr">
        <is>
          <t>not mentioned</t>
        </is>
      </c>
      <c r="O175" s="32" t="inlineStr">
        <is>
          <t>sería un sueño que se pueda extraer litio en el Chaco</t>
        </is>
      </c>
      <c r="P175" s="32" t="inlineStr">
        <is>
          <t>it would be a dream to be able to extract lithium in the Chaco</t>
        </is>
      </c>
      <c r="Q175" s="31" t="inlineStr">
        <is>
          <t>es</t>
        </is>
      </c>
      <c r="R175" s="33" t="inlineStr">
        <is>
          <t>La Nación (Paraguay)</t>
        </is>
      </c>
      <c r="S175" s="32" t="inlineStr">
        <is>
          <t>news media</t>
        </is>
      </c>
      <c r="T175" s="32" t="inlineStr">
        <is>
          <t>secondary reported</t>
        </is>
      </c>
      <c r="U175" s="32" t="inlineStr">
        <is>
          <t>Coded by an AI session (2026-10-09) under the README vocabularies, from web-search results that cite the page; the page itself was not opened. The same article gives '8 millones de toneladas' of uranium 'según los recursos probados'; the snippet does not make clear whether that sentence is the vice minister's, so it is not quoted here.</t>
        </is>
      </c>
    </row>
    <row r="176" ht="45.75" customHeight="1" s="24">
      <c r="A176" s="31" t="inlineStr">
        <is>
          <t>PS-0169</t>
        </is>
      </c>
      <c r="B176" s="31" t="inlineStr">
        <is>
          <t>2025-02</t>
        </is>
      </c>
      <c r="C176" s="31" t="inlineStr">
        <is>
          <t>Bolivia</t>
        </is>
      </c>
      <c r="D176" s="31" t="inlineStr">
        <is>
          <t>Yes</t>
        </is>
      </c>
      <c r="E176" s="32" t="inlineStr">
        <is>
          <t>Dmitry Verchenko</t>
        </is>
      </c>
      <c r="F176" s="32" t="inlineStr">
        <is>
          <t>Russian Ambassador to Bolivia</t>
        </is>
      </c>
      <c r="G176" s="32" t="inlineStr">
        <is>
          <t>Other (business, civil society, third countries)</t>
        </is>
      </c>
      <c r="H176" s="32" t="inlineStr">
        <is>
          <t>interview</t>
        </is>
      </c>
      <c r="I176" s="32" t="inlineStr">
        <is>
          <t>Statement to local media on Uranium One contract</t>
        </is>
      </c>
      <c r="J176" s="32" t="inlineStr">
        <is>
          <t>The Russian ambassador said Moscow expected prompt legislative approval of Uranium One's lithium contract.</t>
        </is>
      </c>
      <c r="K176" s="32" t="inlineStr">
        <is>
          <t>lithium</t>
        </is>
      </c>
      <c r="L176" s="32" t="inlineStr">
        <is>
          <t>foreign investment, diplomatic relations</t>
        </is>
      </c>
      <c r="M176" s="31" t="inlineStr">
        <is>
          <t>not mentioned</t>
        </is>
      </c>
      <c r="N176" s="31" t="inlineStr">
        <is>
          <t>not mentioned</t>
        </is>
      </c>
      <c r="O176" s="32" t="inlineStr"/>
      <c r="P176" s="32" t="inlineStr"/>
      <c r="Q176" s="31" t="inlineStr">
        <is>
          <t>es</t>
        </is>
      </c>
      <c r="R176" s="33" t="inlineStr">
        <is>
          <t>Bloomberg Línea</t>
        </is>
      </c>
      <c r="S176" s="32" t="inlineStr">
        <is>
          <t>news media</t>
        </is>
      </c>
      <c r="T176" s="32" t="inlineStr">
        <is>
          <t>secondary reported</t>
        </is>
      </c>
      <c r="U176" s="32" t="inlineStr">
        <is>
          <t>Reported indirectly in Nov 2025 article ('February statement'); exact date unknown; no Russian embassy category in codebook, coded 'other'.</t>
        </is>
      </c>
    </row>
    <row r="177" ht="45.75" customHeight="1" s="24">
      <c r="A177" s="31" t="inlineStr">
        <is>
          <t>PS-0170</t>
        </is>
      </c>
      <c r="B177" s="31" t="inlineStr">
        <is>
          <t>2025-02</t>
        </is>
      </c>
      <c r="C177" s="31" t="inlineStr">
        <is>
          <t>Bolivia</t>
        </is>
      </c>
      <c r="D177" s="31" t="inlineStr">
        <is>
          <t>Yes</t>
        </is>
      </c>
      <c r="E177" s="32" t="inlineStr">
        <is>
          <t>Donny Alí</t>
        </is>
      </c>
      <c r="F177" s="32" t="inlineStr">
        <is>
          <t>Community leader, Río Grande (Potosí)</t>
        </is>
      </c>
      <c r="G177" s="32" t="inlineStr">
        <is>
          <t>Other (business, civil society, third countries)</t>
        </is>
      </c>
      <c r="H177" s="32" t="inlineStr">
        <is>
          <t>interview</t>
        </is>
      </c>
      <c r="I177" s="32" t="inlineStr">
        <is>
          <t>Mongabay report on lithium contracts</t>
        </is>
      </c>
      <c r="J177" s="32" t="inlineStr">
        <is>
          <t>A Río Grande community leader warned that over-exploitation of brine under the new contracts would leave communities practically without water.</t>
        </is>
      </c>
      <c r="K177" s="32" t="inlineStr">
        <is>
          <t>lithium</t>
        </is>
      </c>
      <c r="L177" s="32" t="inlineStr">
        <is>
          <t>environment water, indigenous community rights</t>
        </is>
      </c>
      <c r="M177" s="31" t="inlineStr">
        <is>
          <t>not mentioned</t>
        </is>
      </c>
      <c r="N177" s="31" t="inlineStr">
        <is>
          <t>not mentioned</t>
        </is>
      </c>
      <c r="O177" s="32" t="inlineStr">
        <is>
          <t>Una sobreexplotación nos dejaría prácticamente sin agua</t>
        </is>
      </c>
      <c r="P177" s="32" t="inlineStr">
        <is>
          <t>Over-exploitation would leave us practically without water</t>
        </is>
      </c>
      <c r="Q177" s="31" t="inlineStr">
        <is>
          <t>es</t>
        </is>
      </c>
      <c r="R177" s="33" t="inlineStr">
        <is>
          <t>Mongabay Latam</t>
        </is>
      </c>
      <c r="S177" s="32" t="inlineStr">
        <is>
          <t>news media</t>
        </is>
      </c>
      <c r="T177" s="32" t="inlineStr">
        <is>
          <t>secondary reported</t>
        </is>
      </c>
      <c r="U177" s="32" t="inlineStr">
        <is>
          <t>Exact day unknown.</t>
        </is>
      </c>
    </row>
    <row r="178" ht="45.75" customHeight="1" s="24">
      <c r="A178" s="31" t="inlineStr">
        <is>
          <t>PS-0171</t>
        </is>
      </c>
      <c r="B178" s="31" t="inlineStr">
        <is>
          <t>2025-02</t>
        </is>
      </c>
      <c r="C178" s="31" t="inlineStr">
        <is>
          <t>Bolivia</t>
        </is>
      </c>
      <c r="D178" s="31" t="inlineStr">
        <is>
          <t>Yes</t>
        </is>
      </c>
      <c r="E178" s="32" t="inlineStr">
        <is>
          <t>Omar Alarcón</t>
        </is>
      </c>
      <c r="F178" s="32" t="inlineStr">
        <is>
          <t>President of YLB</t>
        </is>
      </c>
      <c r="G178" s="32" t="inlineStr">
        <is>
          <t>LatAm state company</t>
        </is>
      </c>
      <c r="H178" s="32" t="inlineStr">
        <is>
          <t>interview</t>
        </is>
      </c>
      <c r="I178" s="32" t="inlineStr">
        <is>
          <t>Mongabay report on CBC/Uranium One contracts and water concerns</t>
        </is>
      </c>
      <c r="J178" s="32" t="inlineStr">
        <is>
          <t>Alarcón said an environmental impact assessment would be carried out once the contracts are approved, as communities warned of water over-exploitation.</t>
        </is>
      </c>
      <c r="K178" s="32" t="inlineStr">
        <is>
          <t>lithium</t>
        </is>
      </c>
      <c r="L178" s="32" t="inlineStr">
        <is>
          <t>environment water</t>
        </is>
      </c>
      <c r="M178" s="31" t="inlineStr">
        <is>
          <t>not mentioned</t>
        </is>
      </c>
      <c r="N178" s="31" t="inlineStr">
        <is>
          <t>not mentioned</t>
        </is>
      </c>
      <c r="O178" s="32" t="inlineStr">
        <is>
          <t>Al inicio, una vez que se tenga aprobado el contrato, vamos a tener una evaluación de impacto ambiental</t>
        </is>
      </c>
      <c r="P178" s="32" t="inlineStr">
        <is>
          <t>At the start, once the contract is approved, we will have an environmental impact assessment</t>
        </is>
      </c>
      <c r="Q178" s="31" t="inlineStr">
        <is>
          <t>es</t>
        </is>
      </c>
      <c r="R178" s="33" t="inlineStr">
        <is>
          <t>Mongabay Latam</t>
        </is>
      </c>
      <c r="S178" s="32" t="inlineStr">
        <is>
          <t>news media</t>
        </is>
      </c>
      <c r="T178" s="32" t="inlineStr">
        <is>
          <t>secondary reported</t>
        </is>
      </c>
      <c r="U178" s="32" t="inlineStr">
        <is>
          <t>Exact day in Feb 2025 unknown.</t>
        </is>
      </c>
    </row>
    <row r="179" ht="45.75" customHeight="1" s="24">
      <c r="A179" s="31" t="inlineStr">
        <is>
          <t>PS-0403</t>
        </is>
      </c>
      <c r="B179" s="31" t="inlineStr">
        <is>
          <t>2025-02-04</t>
        </is>
      </c>
      <c r="C179" s="31" t="inlineStr">
        <is>
          <t>Paraguay</t>
        </is>
      </c>
      <c r="D179" s="31" t="inlineStr">
        <is>
          <t>Yes</t>
        </is>
      </c>
      <c r="E179" s="32" t="inlineStr">
        <is>
          <t>Mauricio Bejarano</t>
        </is>
      </c>
      <c r="F179" s="32" t="inlineStr">
        <is>
          <t>Vice Minister of Mines and Energy</t>
        </is>
      </c>
      <c r="G179" s="32" t="inlineStr">
        <is>
          <t>LatAm executive</t>
        </is>
      </c>
      <c r="H179" s="32" t="inlineStr">
        <is>
          <t>interview</t>
        </is>
      </c>
      <c r="I179" s="32" t="inlineStr">
        <is>
          <t>On uranium resources and companies analysing their extraction</t>
        </is>
      </c>
      <c r="J179" s="32" t="inlineStr">
        <is>
          <t>Bejarano said Paraguay has approximately 8 million tonnes of confirmed uranium and expects extraction in the short term, with companies already analysing it.</t>
        </is>
      </c>
      <c r="K179" s="32" t="inlineStr">
        <is>
          <t>uranium</t>
        </is>
      </c>
      <c r="L179" s="32" t="inlineStr">
        <is>
          <t>foreign investment, trade deals offtake</t>
        </is>
      </c>
      <c r="M179" s="31" t="inlineStr">
        <is>
          <t>not mentioned</t>
        </is>
      </c>
      <c r="N179" s="31" t="inlineStr">
        <is>
          <t>not mentioned</t>
        </is>
      </c>
      <c r="O179" s="32" t="inlineStr">
        <is>
          <t>en Paraguay hay aproximadamente 8 millones de toneladas de uranio confirmadas</t>
        </is>
      </c>
      <c r="P179" s="32" t="inlineStr">
        <is>
          <t>in Paraguay there are approximately 8 million tonnes of confirmed uranium</t>
        </is>
      </c>
      <c r="Q179" s="31" t="inlineStr">
        <is>
          <t>es</t>
        </is>
      </c>
      <c r="R179" s="33" t="inlineStr">
        <is>
          <t>InfoNegocios (Paraguay)</t>
        </is>
      </c>
      <c r="S179" s="32" t="inlineStr">
        <is>
          <t>news media</t>
        </is>
      </c>
      <c r="T179" s="32" t="inlineStr">
        <is>
          <t>secondary reported</t>
        </is>
      </c>
      <c r="U179" s="32" t="inlineStr">
        <is>
          <t>Coded by an AI session (2026-10-09) under the README vocabularies, from web-search results that cite the page; the page itself was not opened. The unit is inconsistent across reports (tonnes here, pounds in December 2025); the Yuty project's preliminary certification is about 11 million pounds. The figure is the speaker's claim, not a certified reserve.</t>
        </is>
      </c>
    </row>
    <row r="180" ht="45.75" customHeight="1" s="24">
      <c r="A180" s="31" t="inlineStr">
        <is>
          <t>PS-0172</t>
        </is>
      </c>
      <c r="B180" s="31" t="inlineStr">
        <is>
          <t>2025-02-05</t>
        </is>
      </c>
      <c r="C180" s="31" t="inlineStr">
        <is>
          <t>Bolivia</t>
        </is>
      </c>
      <c r="D180" s="31" t="inlineStr">
        <is>
          <t>Yes</t>
        </is>
      </c>
      <c r="E180" s="32" t="inlineStr">
        <is>
          <t>Omar Alarcón</t>
        </is>
      </c>
      <c r="F180" s="32" t="inlineStr">
        <is>
          <t>President of YLB</t>
        </is>
      </c>
      <c r="G180" s="32" t="inlineStr">
        <is>
          <t>LatAm state company</t>
        </is>
      </c>
      <c r="H180" s="32" t="inlineStr">
        <is>
          <t>official statement</t>
        </is>
      </c>
      <c r="I180" s="32" t="inlineStr">
        <is>
          <t>Legislative review of CBC and Uranium One contracts</t>
        </is>
      </c>
      <c r="J180" s="32" t="inlineStr">
        <is>
          <t>YLB's president urged legislators to approve both lithium contracts to develop a large-scale industry, projecting about US$19bn in revenue from the CBC contract alone, amid civil-society objections.</t>
        </is>
      </c>
      <c r="K180" s="32" t="inlineStr">
        <is>
          <t>lithium</t>
        </is>
      </c>
      <c r="L180" s="32" t="inlineStr">
        <is>
          <t>foreign investment, value added industrialization</t>
        </is>
      </c>
      <c r="M180" s="31" t="inlineStr">
        <is>
          <t>positive</t>
        </is>
      </c>
      <c r="N180" s="31" t="inlineStr">
        <is>
          <t>not mentioned</t>
        </is>
      </c>
      <c r="O180" s="32" t="inlineStr">
        <is>
          <t>desarrollar una industria a gran escala</t>
        </is>
      </c>
      <c r="P180" s="32" t="inlineStr">
        <is>
          <t>develop a large-scale industry</t>
        </is>
      </c>
      <c r="Q180" s="31" t="inlineStr">
        <is>
          <t>es</t>
        </is>
      </c>
      <c r="R180" s="33" t="inlineStr">
        <is>
          <t>Correo del Sur</t>
        </is>
      </c>
      <c r="S180" s="32" t="inlineStr">
        <is>
          <t>news media</t>
        </is>
      </c>
      <c r="T180" s="32" t="inlineStr">
        <is>
          <t>secondary reported</t>
        </is>
      </c>
      <c r="U180" s="32" t="inlineStr"/>
    </row>
    <row r="181" ht="45.75" customHeight="1" s="24">
      <c r="A181" s="31" t="inlineStr">
        <is>
          <t>PS-0173</t>
        </is>
      </c>
      <c r="B181" s="31" t="inlineStr">
        <is>
          <t>2025-02-11</t>
        </is>
      </c>
      <c r="C181" s="31" t="inlineStr">
        <is>
          <t>Bolivia</t>
        </is>
      </c>
      <c r="D181" s="31" t="inlineStr">
        <is>
          <t>Yes</t>
        </is>
      </c>
      <c r="E181" s="32" t="inlineStr">
        <is>
          <t>Freddy Soto</t>
        </is>
      </c>
      <c r="F181" s="32" t="inlineStr">
        <is>
          <t>President of District 2, Potosí (civic leader)</t>
        </is>
      </c>
      <c r="G181" s="32" t="inlineStr">
        <is>
          <t>Other (business, civil society, third countries)</t>
        </is>
      </c>
      <c r="H181" s="32" t="inlineStr">
        <is>
          <t>interview</t>
        </is>
      </c>
      <c r="I181" s="32" t="inlineStr">
        <is>
          <t>Potosí protest demanding lithium royalties and contract transparency</t>
        </is>
      </c>
      <c r="J181" s="32" t="inlineStr">
        <is>
          <t>Potosí protesters demanded at least 12% participation in lithium benefits and suspension of the CBC and Uranium One contracts until community demands are met.</t>
        </is>
      </c>
      <c r="K181" s="32" t="inlineStr">
        <is>
          <t>lithium</t>
        </is>
      </c>
      <c r="L181" s="32" t="inlineStr">
        <is>
          <t>royalties taxation, corruption governance, labor social conflict</t>
        </is>
      </c>
      <c r="M181" s="31" t="inlineStr">
        <is>
          <t>not mentioned</t>
        </is>
      </c>
      <c r="N181" s="31" t="inlineStr">
        <is>
          <t>not mentioned</t>
        </is>
      </c>
      <c r="O181" s="32" t="inlineStr">
        <is>
          <t>El litio es de Potosí, pero lo están negociando sin considerar a la población</t>
        </is>
      </c>
      <c r="P181" s="32" t="inlineStr">
        <is>
          <t>Lithium belongs to Potosí, but they are negotiating it without considering the population</t>
        </is>
      </c>
      <c r="Q181" s="31" t="inlineStr">
        <is>
          <t>es</t>
        </is>
      </c>
      <c r="R181" s="33" t="inlineStr">
        <is>
          <t>Los Tiempos</t>
        </is>
      </c>
      <c r="S181" s="32" t="inlineStr">
        <is>
          <t>news media</t>
        </is>
      </c>
      <c r="T181" s="32" t="inlineStr">
        <is>
          <t>secondary reported</t>
        </is>
      </c>
      <c r="U181" s="32" t="inlineStr"/>
    </row>
    <row r="182" ht="45.75" customHeight="1" s="24">
      <c r="A182" s="31" t="inlineStr">
        <is>
          <t>PS-0174</t>
        </is>
      </c>
      <c r="B182" s="31" t="inlineStr">
        <is>
          <t>2025-02-12</t>
        </is>
      </c>
      <c r="C182" s="31" t="inlineStr">
        <is>
          <t>Argentina</t>
        </is>
      </c>
      <c r="D182" s="31" t="inlineStr">
        <is>
          <t>Yes</t>
        </is>
      </c>
      <c r="E182" s="32" t="inlineStr">
        <is>
          <t>Gustavo Sáenz</t>
        </is>
      </c>
      <c r="F182" s="32" t="inlineStr">
        <is>
          <t>Governor of Salta</t>
        </is>
      </c>
      <c r="G182" s="32" t="inlineStr">
        <is>
          <t>LatAm executive</t>
        </is>
      </c>
      <c r="H182" s="32" t="inlineStr">
        <is>
          <t>speech</t>
        </is>
      </c>
      <c r="I182" s="32" t="inlineStr">
        <is>
          <t>Inauguration of Ganfeng's Mariana lithium chloride plant</t>
        </is>
      </c>
      <c r="J182" s="32" t="inlineStr">
        <is>
          <t>At the opening of Chinese firm Ganfeng's Mariana plant, Sáenz hailed a day of great significance for Salta and Argentina, noting 600 workers and 20,000 tonnes a year of lithium chloride.</t>
        </is>
      </c>
      <c r="K182" s="32" t="inlineStr">
        <is>
          <t>lithium</t>
        </is>
      </c>
      <c r="L182" s="32" t="inlineStr">
        <is>
          <t>foreign investment, processing refining, energy transition</t>
        </is>
      </c>
      <c r="M182" s="31" t="inlineStr">
        <is>
          <t>positive</t>
        </is>
      </c>
      <c r="N182" s="31" t="inlineStr">
        <is>
          <t>not mentioned</t>
        </is>
      </c>
      <c r="O182" s="32" t="inlineStr">
        <is>
          <t>Avanzamos hacia un futuro donde la minería y la sostenibilidad caminan juntas</t>
        </is>
      </c>
      <c r="P182" s="32" t="inlineStr">
        <is>
          <t>We are moving toward a future where mining and sustainability walk together</t>
        </is>
      </c>
      <c r="Q182" s="31" t="inlineStr">
        <is>
          <t>es</t>
        </is>
      </c>
      <c r="R182" s="33" t="inlineStr">
        <is>
          <t>Ámbito</t>
        </is>
      </c>
      <c r="S182" s="32" t="inlineStr">
        <is>
          <t>news media</t>
        </is>
      </c>
      <c r="T182" s="32" t="inlineStr">
        <is>
          <t>secondary reported</t>
        </is>
      </c>
      <c r="U182" s="32" t="inlineStr">
        <is>
          <t>Stance toward China inferred from celebrating Chinese-owned project. Project later denied RIGI (Jul 2025).</t>
        </is>
      </c>
    </row>
    <row r="183" ht="45.75" customHeight="1" s="24">
      <c r="A183" s="31" t="inlineStr">
        <is>
          <t>PS-0175</t>
        </is>
      </c>
      <c r="B183" s="31" t="inlineStr">
        <is>
          <t>2025-02-13</t>
        </is>
      </c>
      <c r="C183" s="31" t="inlineStr">
        <is>
          <t>Regional</t>
        </is>
      </c>
      <c r="D183" s="31" t="inlineStr">
        <is>
          <t>No</t>
        </is>
      </c>
      <c r="E183" s="32" t="inlineStr">
        <is>
          <t>Alvin Holsey</t>
        </is>
      </c>
      <c r="F183" s="32" t="inlineStr">
        <is>
          <t>Admiral, Commander, U.S. Southern Command</t>
        </is>
      </c>
      <c r="G183" s="32" t="inlineStr">
        <is>
          <t>United States</t>
        </is>
      </c>
      <c r="H183" s="32" t="inlineStr">
        <is>
          <t>report</t>
        </is>
      </c>
      <c r="I183" s="32" t="inlineStr">
        <is>
          <t>SOUTHCOM 2025 Posture Statement to Senate Armed Services Committee</t>
        </is>
      </c>
      <c r="J183" s="32" t="inlineStr">
        <is>
          <t>Holsey's posture statement said China is 'plowing fertile ground' in a region holding half the world's lithium reserves and a quarter of strategic metals, and that Chinese SOEs dominate rare earth mining and refining and use BRI to gain access to rare earths and ports.</t>
        </is>
      </c>
      <c r="K183" s="32" t="inlineStr">
        <is>
          <t>lithium, rare earths, critical minerals general</t>
        </is>
      </c>
      <c r="L183" s="32" t="inlineStr">
        <is>
          <t>geopolitics security, infrastructure ports, foreign investment</t>
        </is>
      </c>
      <c r="M183" s="31" t="inlineStr">
        <is>
          <t>negative</t>
        </is>
      </c>
      <c r="N183" s="31" t="inlineStr">
        <is>
          <t>positive</t>
        </is>
      </c>
      <c r="O183" s="32" t="inlineStr">
        <is>
          <t>Fifty percent of the world's lithium reserves are found in Argentina, Bolivia, and Chile.</t>
        </is>
      </c>
      <c r="P183" s="32" t="inlineStr">
        <is>
          <t>Fifty percent of the world's lithium reserves are found in Argentina, Bolivia, and Chile.</t>
        </is>
      </c>
      <c r="Q183" s="31" t="inlineStr">
        <is>
          <t>en</t>
        </is>
      </c>
      <c r="R183" s="33" t="inlineStr">
        <is>
          <t>U.S. Senate Armed Services Committee</t>
        </is>
      </c>
      <c r="S183" s="32" t="inlineStr">
        <is>
          <t>legislative record</t>
        </is>
      </c>
      <c r="T183" s="32" t="inlineStr">
        <is>
          <t>primary verified</t>
        </is>
      </c>
      <c r="U183" s="32" t="inlineStr">
        <is>
          <t>Written statement dated 13 Feb 2025 (SASC); also delivered to HASC 1 Apr 2025.</t>
        </is>
      </c>
    </row>
    <row r="184" ht="45.75" customHeight="1" s="24">
      <c r="A184" s="31" t="inlineStr">
        <is>
          <t>PS-0176</t>
        </is>
      </c>
      <c r="B184" s="31" t="inlineStr">
        <is>
          <t>2025-02-17</t>
        </is>
      </c>
      <c r="C184" s="31" t="inlineStr">
        <is>
          <t>Bolivia</t>
        </is>
      </c>
      <c r="D184" s="31" t="inlineStr">
        <is>
          <t>Yes</t>
        </is>
      </c>
      <c r="E184" s="32" t="inlineStr">
        <is>
          <t>Gualberto Arispe</t>
        </is>
      </c>
      <c r="F184" s="32" t="inlineStr">
        <is>
          <t>Deputy (MAS, evista bloc)</t>
        </is>
      </c>
      <c r="G184" s="32" t="inlineStr">
        <is>
          <t>LatAm legislature</t>
        </is>
      </c>
      <c r="H184" s="32" t="inlineStr">
        <is>
          <t>interview</t>
        </is>
      </c>
      <c r="I184" s="32" t="inlineStr">
        <is>
          <t>Chamber of Deputies review of lithium contracts</t>
        </is>
      </c>
      <c r="J184" s="32" t="inlineStr">
        <is>
          <t>Arispe said the Evo Morales-aligned bloc would not approve the lithium contracts with Chinese and Russian firms, arguing the state's 51% share plus interest payments left foreign firms with more than half the value.</t>
        </is>
      </c>
      <c r="K184" s="32" t="inlineStr">
        <is>
          <t>lithium</t>
        </is>
      </c>
      <c r="L184" s="32" t="inlineStr">
        <is>
          <t>sovereignty, royalties taxation</t>
        </is>
      </c>
      <c r="M184" s="31" t="inlineStr">
        <is>
          <t>negative</t>
        </is>
      </c>
      <c r="N184" s="31" t="inlineStr">
        <is>
          <t>not mentioned</t>
        </is>
      </c>
      <c r="O184" s="32" t="inlineStr">
        <is>
          <t>No vamos a dar curso, porque no vemos conveniente para el pueblo boliviano</t>
        </is>
      </c>
      <c r="P184" s="32" t="inlineStr">
        <is>
          <t>We will not let it proceed, because we do not see it as convenient for the Bolivian people</t>
        </is>
      </c>
      <c r="Q184" s="31" t="inlineStr">
        <is>
          <t>es</t>
        </is>
      </c>
      <c r="R184" s="33" t="inlineStr">
        <is>
          <t>EJU.tv</t>
        </is>
      </c>
      <c r="S184" s="32" t="inlineStr">
        <is>
          <t>news media</t>
        </is>
      </c>
      <c r="T184" s="32" t="inlineStr">
        <is>
          <t>secondary reported</t>
        </is>
      </c>
      <c r="U184" s="32" t="inlineStr"/>
    </row>
    <row r="185" ht="45.75" customHeight="1" s="24">
      <c r="A185" s="31" t="inlineStr">
        <is>
          <t>PS-0177</t>
        </is>
      </c>
      <c r="B185" s="31" t="inlineStr">
        <is>
          <t>2025-02-19</t>
        </is>
      </c>
      <c r="C185" s="31" t="inlineStr">
        <is>
          <t>Bolivia</t>
        </is>
      </c>
      <c r="D185" s="31" t="inlineStr">
        <is>
          <t>Yes</t>
        </is>
      </c>
      <c r="E185" s="32" t="inlineStr">
        <is>
          <t>Janira Román</t>
        </is>
      </c>
      <c r="F185" s="32" t="inlineStr">
        <is>
          <t>Deputy (Comunidad Ciudadana)</t>
        </is>
      </c>
      <c r="G185" s="32" t="inlineStr">
        <is>
          <t>LatAm legislature</t>
        </is>
      </c>
      <c r="H185" s="32" t="inlineStr">
        <is>
          <t>official statement</t>
        </is>
      </c>
      <c r="I185" s="32" t="inlineStr">
        <is>
          <t>Chamber of Deputies review of Uranium One contract</t>
        </is>
      </c>
      <c r="J185" s="32" t="inlineStr">
        <is>
          <t>Román argued Uranium One's registered Bolivian branch is focused on nuclear materials, not lithium, and called on the legislature to reject the contract.</t>
        </is>
      </c>
      <c r="K185" s="32" t="inlineStr">
        <is>
          <t>lithium</t>
        </is>
      </c>
      <c r="L185" s="32" t="inlineStr">
        <is>
          <t>corruption governance, geopolitics security</t>
        </is>
      </c>
      <c r="M185" s="31" t="inlineStr">
        <is>
          <t>not mentioned</t>
        </is>
      </c>
      <c r="N185" s="31" t="inlineStr">
        <is>
          <t>not mentioned</t>
        </is>
      </c>
      <c r="O185" s="32" t="inlineStr">
        <is>
          <t>la sucursal rusa puede realizar trabajos geofísicos, exploración y extracción de minerales que contengan sustancias nucleares</t>
        </is>
      </c>
      <c r="P185" s="32" t="inlineStr">
        <is>
          <t>the Russian branch can carry out geophysical work, exploration and extraction of minerals containing nuclear substances</t>
        </is>
      </c>
      <c r="Q185" s="31" t="inlineStr">
        <is>
          <t>es</t>
        </is>
      </c>
      <c r="R185" s="33" t="inlineStr">
        <is>
          <t>EJU.tv</t>
        </is>
      </c>
      <c r="S185" s="32" t="inlineStr">
        <is>
          <t>news media</t>
        </is>
      </c>
      <c r="T185" s="32" t="inlineStr">
        <is>
          <t>secondary reported</t>
        </is>
      </c>
      <c r="U185" s="32" t="inlineStr"/>
    </row>
    <row r="186" ht="45.75" customHeight="1" s="24">
      <c r="A186" s="31" t="inlineStr">
        <is>
          <t>PS-0178</t>
        </is>
      </c>
      <c r="B186" s="31" t="inlineStr">
        <is>
          <t>2025-02-20</t>
        </is>
      </c>
      <c r="C186" s="31" t="inlineStr">
        <is>
          <t>Bolivia</t>
        </is>
      </c>
      <c r="D186" s="31" t="inlineStr">
        <is>
          <t>Yes</t>
        </is>
      </c>
      <c r="E186" s="32" t="inlineStr">
        <is>
          <t>Constitutional Chamber, La Paz</t>
        </is>
      </c>
      <c r="F186" s="32" t="inlineStr">
        <is>
          <t>Departmental court constitutional chamber</t>
        </is>
      </c>
      <c r="G186" s="32" t="inlineStr">
        <is>
          <t>LatAm judiciary</t>
        </is>
      </c>
      <c r="H186" s="32" t="inlineStr">
        <is>
          <t>court ruling</t>
        </is>
      </c>
      <c r="I186" s="32" t="inlineStr">
        <is>
          <t>Challenge to Uranium One lithium contract</t>
        </is>
      </c>
      <c r="J186" s="32" t="inlineStr">
        <is>
          <t>A La Paz constitutional chamber rejected a challenge to the lithium contract, reasoning that it would not be perfected until the legislative procedure was completed.</t>
        </is>
      </c>
      <c r="K186" s="32" t="inlineStr">
        <is>
          <t>lithium</t>
        </is>
      </c>
      <c r="L186" s="32" t="inlineStr">
        <is>
          <t>corruption governance, indigenous community rights</t>
        </is>
      </c>
      <c r="M186" s="31" t="inlineStr">
        <is>
          <t>not mentioned</t>
        </is>
      </c>
      <c r="N186" s="31" t="inlineStr">
        <is>
          <t>not mentioned</t>
        </is>
      </c>
      <c r="O186" s="32" t="inlineStr"/>
      <c r="P186" s="32" t="inlineStr"/>
      <c r="Q186" s="31" t="inlineStr">
        <is>
          <t>es</t>
        </is>
      </c>
      <c r="R186" s="33" t="inlineStr">
        <is>
          <t>Swissinfo (EFE)</t>
        </is>
      </c>
      <c r="S186" s="32" t="inlineStr">
        <is>
          <t>news media</t>
        </is>
      </c>
      <c r="T186" s="32" t="inlineStr">
        <is>
          <t>secondary reported</t>
        </is>
      </c>
      <c r="U186" s="32" t="inlineStr">
        <is>
          <t>Reported in background of June 2025 article.</t>
        </is>
      </c>
    </row>
    <row r="187" ht="45.75" customHeight="1" s="24">
      <c r="A187" s="31" t="inlineStr">
        <is>
          <t>PS-0415</t>
        </is>
      </c>
      <c r="B187" s="31" t="inlineStr">
        <is>
          <t>2025-04</t>
        </is>
      </c>
      <c r="C187" s="31" t="inlineStr">
        <is>
          <t>Chile</t>
        </is>
      </c>
      <c r="D187" s="31" t="inlineStr">
        <is>
          <t>Yes</t>
        </is>
      </c>
      <c r="E187" s="32" t="inlineStr">
        <is>
          <t>Niu Qingbao</t>
        </is>
      </c>
      <c r="F187" s="32" t="inlineStr">
        <is>
          <t>Ambassador of China to Chile</t>
        </is>
      </c>
      <c r="G187" s="32" t="inlineStr">
        <is>
          <t>China</t>
        </is>
      </c>
      <c r="H187" s="32" t="inlineStr">
        <is>
          <t>interview</t>
        </is>
      </c>
      <c r="I187" s="32" t="inlineStr">
        <is>
          <t>Written interview with La Tercera on US tariff threats and the Codelco-SQM lithium agreement</t>
        </is>
      </c>
      <c r="J187" s="32" t="inlineStr">
        <is>
          <t>Niu said US threats would not change the basis of China-Chile cooperation, that China was injecting certainty into an uncertain world, and hoped the Chilean authorities would protect the legitimate rights and interests of Tianqi in the Codelco-SQM deal.</t>
        </is>
      </c>
      <c r="K187" s="32" t="inlineStr">
        <is>
          <t>lithium</t>
        </is>
      </c>
      <c r="L187" s="32" t="inlineStr">
        <is>
          <t>foreign investment, geopolitics security, tariffs trade policy</t>
        </is>
      </c>
      <c r="M187" s="31" t="inlineStr">
        <is>
          <t>positive</t>
        </is>
      </c>
      <c r="N187" s="31" t="inlineStr">
        <is>
          <t>negative</t>
        </is>
      </c>
      <c r="O187" s="32" t="inlineStr"/>
      <c r="P187" s="32" t="inlineStr"/>
      <c r="Q187" s="31" t="inlineStr">
        <is>
          <t>es</t>
        </is>
      </c>
      <c r="R187" s="33" t="inlineStr">
        <is>
          <t>La Tercera</t>
        </is>
      </c>
      <c r="S187" s="32" t="inlineStr">
        <is>
          <t>news media</t>
        </is>
      </c>
      <c r="T187" s="32" t="inlineStr">
        <is>
          <t>secondary reported</t>
        </is>
      </c>
      <c r="U187" s="32" t="inlineStr">
        <is>
          <t>Coded by an AI session (2026-10-09) under the README vocabularies, from web-search results that cite the page; the page itself was not opened. Month precision (April 2025); the Spanish wording of the Tianqi sentence was not seen, so no quote is given.</t>
        </is>
      </c>
    </row>
    <row r="188" ht="45.75" customHeight="1" s="24">
      <c r="A188" s="31" t="inlineStr">
        <is>
          <t>PS-0179</t>
        </is>
      </c>
      <c r="B188" s="31" t="inlineStr">
        <is>
          <t>2025-04-06</t>
        </is>
      </c>
      <c r="C188" s="31" t="inlineStr">
        <is>
          <t>Chile</t>
        </is>
      </c>
      <c r="D188" s="31" t="inlineStr">
        <is>
          <t>Yes</t>
        </is>
      </c>
      <c r="E188" s="32" t="inlineStr">
        <is>
          <t>Niu Qingbao</t>
        </is>
      </c>
      <c r="F188" s="32" t="inlineStr">
        <is>
          <t>Chinese Ambassador to Chile</t>
        </is>
      </c>
      <c r="G188" s="32" t="inlineStr">
        <is>
          <t>China</t>
        </is>
      </c>
      <c r="H188" s="32" t="inlineStr">
        <is>
          <t>interview</t>
        </is>
      </c>
      <c r="I188" s="32" t="inlineStr">
        <is>
          <t>La Tercera interview amid US tariff escalation</t>
        </is>
      </c>
      <c r="J188" s="32" t="inlineStr">
        <is>
          <t>The ambassador said US hegemonic measures would not change China-Chile cooperation, noted China is the largest lithium consumer, and hoped Chilean authorities would protect Tianqi's legitimate rights in the Codelco-SQM deal.</t>
        </is>
      </c>
      <c r="K188" s="32" t="inlineStr">
        <is>
          <t>lithium, copper</t>
        </is>
      </c>
      <c r="L188" s="32" t="inlineStr">
        <is>
          <t>geopolitics security, foreign investment, tariffs trade policy</t>
        </is>
      </c>
      <c r="M188" s="31" t="inlineStr">
        <is>
          <t>positive</t>
        </is>
      </c>
      <c r="N188" s="31" t="inlineStr">
        <is>
          <t>negative</t>
        </is>
      </c>
      <c r="O188" s="32" t="inlineStr">
        <is>
          <t>las autoridades chilenas protegerán efectivamente los derechos e intereses legítimos de Tianqi</t>
        </is>
      </c>
      <c r="P188" s="32" t="inlineStr">
        <is>
          <t>Chilean authorities will effectively protect Tianqi's legitimate rights and interests</t>
        </is>
      </c>
      <c r="Q188" s="31" t="inlineStr">
        <is>
          <t>es</t>
        </is>
      </c>
      <c r="R188" s="33" t="inlineStr">
        <is>
          <t>La Tercera</t>
        </is>
      </c>
      <c r="S188" s="32" t="inlineStr">
        <is>
          <t>news media</t>
        </is>
      </c>
      <c r="T188" s="32" t="inlineStr">
        <is>
          <t>secondary reported</t>
        </is>
      </c>
      <c r="U188" s="32" t="inlineStr">
        <is>
          <t>Quote phrased as hope in original interview</t>
        </is>
      </c>
    </row>
    <row r="189" ht="45.75" customHeight="1" s="24">
      <c r="A189" s="31" t="inlineStr">
        <is>
          <t>PS-0180</t>
        </is>
      </c>
      <c r="B189" s="31" t="inlineStr">
        <is>
          <t>2025-04-14</t>
        </is>
      </c>
      <c r="C189" s="31" t="inlineStr">
        <is>
          <t>Argentina</t>
        </is>
      </c>
      <c r="D189" s="31" t="inlineStr">
        <is>
          <t>Yes</t>
        </is>
      </c>
      <c r="E189" s="32" t="inlineStr">
        <is>
          <t>Scott Bessent</t>
        </is>
      </c>
      <c r="F189" s="32" t="inlineStr">
        <is>
          <t>U.S. Secretary of the Treasury</t>
        </is>
      </c>
      <c r="G189" s="32" t="inlineStr">
        <is>
          <t>United States</t>
        </is>
      </c>
      <c r="H189" s="32" t="inlineStr">
        <is>
          <t>interview</t>
        </is>
      </c>
      <c r="I189" s="32" t="inlineStr">
        <is>
          <t>Bessent visit to Buenos Aires after IMF deal; remarks on China swap</t>
        </is>
      </c>
      <c r="J189" s="32" t="inlineStr">
        <is>
          <t>During his Buenos Aires visit, Bessent urged Argentina to wind down its currency swap with China and warned against Chinese 'predatory' deals like those in Africa, where China took over mineral rights and saddled countries with debt.</t>
        </is>
      </c>
      <c r="K189" s="32" t="inlineStr">
        <is>
          <t>mining general</t>
        </is>
      </c>
      <c r="L189" s="32" t="inlineStr">
        <is>
          <t>geopolitics security, financing credit</t>
        </is>
      </c>
      <c r="M189" s="31" t="inlineStr">
        <is>
          <t>negative</t>
        </is>
      </c>
      <c r="N189" s="31" t="inlineStr">
        <is>
          <t>positive</t>
        </is>
      </c>
      <c r="O189" s="32" t="inlineStr"/>
      <c r="P189" s="32" t="inlineStr"/>
      <c r="Q189" s="31" t="inlineStr">
        <is>
          <t>en</t>
        </is>
      </c>
      <c r="R189" s="33" t="inlineStr">
        <is>
          <t>La Política Online</t>
        </is>
      </c>
      <c r="S189" s="32" t="inlineStr">
        <is>
          <t>news media</t>
        </is>
      </c>
      <c r="T189" s="32" t="inlineStr">
        <is>
          <t>secondary reported</t>
        </is>
      </c>
      <c r="U189" s="32" t="inlineStr">
        <is>
          <t>Remarks (reportedly to Bloomberg) quoted only in Spanish translation; quote fields left empty. Minerals reference is to Africa as cautionary example for Argentina.</t>
        </is>
      </c>
    </row>
    <row r="190" ht="45.75" customHeight="1" s="24">
      <c r="A190" s="31" t="inlineStr">
        <is>
          <t>PS-0181</t>
        </is>
      </c>
      <c r="B190" s="31" t="inlineStr">
        <is>
          <t>2025-04-15</t>
        </is>
      </c>
      <c r="C190" s="31" t="inlineStr">
        <is>
          <t>Chile</t>
        </is>
      </c>
      <c r="D190" s="31" t="inlineStr">
        <is>
          <t>Yes</t>
        </is>
      </c>
      <c r="E190" s="32" t="inlineStr">
        <is>
          <t>Aisén Etcheverry</t>
        </is>
      </c>
      <c r="F190" s="32" t="inlineStr">
        <is>
          <t>Government Spokesperson (Minister Secretary General of Government)</t>
        </is>
      </c>
      <c r="G190" s="32" t="inlineStr">
        <is>
          <t>LatAm executive</t>
        </is>
      </c>
      <c r="H190" s="32" t="inlineStr">
        <is>
          <t>press conference</t>
        </is>
      </c>
      <c r="I190" s="32" t="inlineStr">
        <is>
          <t>Government response to Matthei on Codelco-SQM</t>
        </is>
      </c>
      <c r="J190" s="32" t="inlineStr">
        <is>
          <t>The government spokesperson defended the Codelco-SQM deal as fundamental and valued by national and international experts and urged Matthei to retract her doubts.</t>
        </is>
      </c>
      <c r="K190" s="32" t="inlineStr">
        <is>
          <t>lithium</t>
        </is>
      </c>
      <c r="L190" s="32" t="inlineStr">
        <is>
          <t>state control nationalization</t>
        </is>
      </c>
      <c r="M190" s="31" t="inlineStr">
        <is>
          <t>not mentioned</t>
        </is>
      </c>
      <c r="N190" s="31" t="inlineStr">
        <is>
          <t>not mentioned</t>
        </is>
      </c>
      <c r="O190" s="32" t="inlineStr">
        <is>
          <t>ojalá la candidata se desdiga de este manto de dudas que está instalando</t>
        </is>
      </c>
      <c r="P190" s="32" t="inlineStr">
        <is>
          <t>hopefully the candidate will retract this cloak of doubt she is spreading</t>
        </is>
      </c>
      <c r="Q190" s="31" t="inlineStr">
        <is>
          <t>es</t>
        </is>
      </c>
      <c r="R190" s="33" t="inlineStr">
        <is>
          <t>El Dínamo</t>
        </is>
      </c>
      <c r="S190" s="32" t="inlineStr">
        <is>
          <t>news media</t>
        </is>
      </c>
      <c r="T190" s="32" t="inlineStr">
        <is>
          <t>secondary reported</t>
        </is>
      </c>
      <c r="U190" s="32" t="inlineStr"/>
    </row>
    <row r="191" ht="45.75" customHeight="1" s="24">
      <c r="A191" s="31" t="inlineStr">
        <is>
          <t>PS-0182</t>
        </is>
      </c>
      <c r="B191" s="31" t="inlineStr">
        <is>
          <t>2025-04-15</t>
        </is>
      </c>
      <c r="C191" s="31" t="inlineStr">
        <is>
          <t>Chile</t>
        </is>
      </c>
      <c r="D191" s="31" t="inlineStr">
        <is>
          <t>Yes</t>
        </is>
      </c>
      <c r="E191" s="32" t="inlineStr">
        <is>
          <t>Codelco</t>
        </is>
      </c>
      <c r="F191" s="32" t="inlineStr">
        <is>
          <t>State copper company (corporate statement)</t>
        </is>
      </c>
      <c r="G191" s="32" t="inlineStr">
        <is>
          <t>LatAm state company</t>
        </is>
      </c>
      <c r="H191" s="32" t="inlineStr">
        <is>
          <t>official statement</t>
        </is>
      </c>
      <c r="I191" s="32" t="inlineStr">
        <is>
          <t>Codelco response to Matthei on SQM agreement</t>
        </is>
      </c>
      <c r="J191" s="32" t="inlineStr">
        <is>
          <t>Codelco said the SQM partnership had been scrutinised in several jurisdictions, approved without conditions by the EU and upheld by Chile's higher courts, and asked that it not become an electoral issue.</t>
        </is>
      </c>
      <c r="K191" s="32" t="inlineStr">
        <is>
          <t>lithium</t>
        </is>
      </c>
      <c r="L191" s="32" t="inlineStr">
        <is>
          <t>corruption governance, state control nationalization</t>
        </is>
      </c>
      <c r="M191" s="31" t="inlineStr">
        <is>
          <t>not mentioned</t>
        </is>
      </c>
      <c r="N191" s="31" t="inlineStr">
        <is>
          <t>not mentioned</t>
        </is>
      </c>
      <c r="O191" s="32" t="inlineStr">
        <is>
          <t>nuestros Tribunales Superiores de Justicia han confirmado la validez y legalidad</t>
        </is>
      </c>
      <c r="P191" s="32" t="inlineStr">
        <is>
          <t>our Higher Courts of Justice have confirmed the validity and legality</t>
        </is>
      </c>
      <c r="Q191" s="31" t="inlineStr">
        <is>
          <t>es</t>
        </is>
      </c>
      <c r="R191" s="33" t="inlineStr">
        <is>
          <t>El Dínamo</t>
        </is>
      </c>
      <c r="S191" s="32" t="inlineStr">
        <is>
          <t>news media</t>
        </is>
      </c>
      <c r="T191" s="32" t="inlineStr">
        <is>
          <t>secondary reported</t>
        </is>
      </c>
      <c r="U191" s="32" t="inlineStr"/>
    </row>
    <row r="192" ht="45.75" customHeight="1" s="24">
      <c r="A192" s="31" t="inlineStr">
        <is>
          <t>PS-0183</t>
        </is>
      </c>
      <c r="B192" s="31" t="inlineStr">
        <is>
          <t>2025-04-15</t>
        </is>
      </c>
      <c r="C192" s="31" t="inlineStr">
        <is>
          <t>Chile</t>
        </is>
      </c>
      <c r="D192" s="31" t="inlineStr">
        <is>
          <t>Yes</t>
        </is>
      </c>
      <c r="E192" s="32" t="inlineStr">
        <is>
          <t>Evelyn Matthei</t>
        </is>
      </c>
      <c r="F192" s="32" t="inlineStr">
        <is>
          <t>Presidential pre-candidate (Chile Vamos)</t>
        </is>
      </c>
      <c r="G192" s="32" t="inlineStr">
        <is>
          <t>LatAm party/candidate</t>
        </is>
      </c>
      <c r="H192" s="32" t="inlineStr">
        <is>
          <t>campaign statement</t>
        </is>
      </c>
      <c r="I192" s="32" t="inlineStr">
        <is>
          <t>Questioning of Codelco-SQM lithium deal</t>
        </is>
      </c>
      <c r="J192" s="32" t="inlineStr">
        <is>
          <t>Matthei asked Chile Vamos legislators to request all information on the Codelco-SQM agreement to review whether it was convenient for the country.</t>
        </is>
      </c>
      <c r="K192" s="32" t="inlineStr">
        <is>
          <t>lithium</t>
        </is>
      </c>
      <c r="L192" s="32" t="inlineStr">
        <is>
          <t>corruption governance, state control nationalization</t>
        </is>
      </c>
      <c r="M192" s="31" t="inlineStr">
        <is>
          <t>not mentioned</t>
        </is>
      </c>
      <c r="N192" s="31" t="inlineStr">
        <is>
          <t>not mentioned</t>
        </is>
      </c>
      <c r="O192" s="32" t="inlineStr">
        <is>
          <t>he pedido a los parlamentarios de Chile Vamos que soliciten toda la información respecto del acuerdo SQM-Codelco</t>
        </is>
      </c>
      <c r="P192" s="32" t="inlineStr">
        <is>
          <t>I have asked Chile Vamos legislators to request all the information regarding the SQM-Codelco agreement</t>
        </is>
      </c>
      <c r="Q192" s="31" t="inlineStr">
        <is>
          <t>es</t>
        </is>
      </c>
      <c r="R192" s="33" t="inlineStr">
        <is>
          <t>El Dínamo</t>
        </is>
      </c>
      <c r="S192" s="32" t="inlineStr">
        <is>
          <t>news media</t>
        </is>
      </c>
      <c r="T192" s="32" t="inlineStr">
        <is>
          <t>secondary reported</t>
        </is>
      </c>
      <c r="U192" s="32" t="inlineStr"/>
    </row>
    <row r="193" ht="45.75" customHeight="1" s="24">
      <c r="A193" s="31" t="inlineStr">
        <is>
          <t>PS-0184</t>
        </is>
      </c>
      <c r="B193" s="31" t="inlineStr">
        <is>
          <t>2025-04-16</t>
        </is>
      </c>
      <c r="C193" s="31" t="inlineStr">
        <is>
          <t>Mexico</t>
        </is>
      </c>
      <c r="D193" s="31" t="inlineStr">
        <is>
          <t>No</t>
        </is>
      </c>
      <c r="E193" s="32" t="inlineStr">
        <is>
          <t>Claudia Sheinbaum</t>
        </is>
      </c>
      <c r="F193" s="32" t="inlineStr">
        <is>
          <t>President of Mexico</t>
        </is>
      </c>
      <c r="G193" s="32" t="inlineStr">
        <is>
          <t>LatAm executive</t>
        </is>
      </c>
      <c r="H193" s="32" t="inlineStr">
        <is>
          <t>press conference</t>
        </is>
      </c>
      <c r="I193" s="32" t="inlineStr">
        <is>
          <t>New national lithium strategy expanding LitioMx</t>
        </is>
      </c>
      <c r="J193" s="32" t="inlineStr">
        <is>
          <t>Sheinbaum announced a broadened role for LitioMx beyond extraction, including research and battery and solar panel manufacturing, with Pemex to create a lithium subsidiary to lead exploration and exploitation.</t>
        </is>
      </c>
      <c r="K193" s="32" t="inlineStr">
        <is>
          <t>lithium</t>
        </is>
      </c>
      <c r="L193" s="32" t="inlineStr">
        <is>
          <t>value added industrialization, state control nationalization, energy transition, technology transfer</t>
        </is>
      </c>
      <c r="M193" s="31" t="inlineStr">
        <is>
          <t>not mentioned</t>
        </is>
      </c>
      <c r="N193" s="31" t="inlineStr">
        <is>
          <t>not mentioned</t>
        </is>
      </c>
      <c r="O193" s="32" t="inlineStr"/>
      <c r="P193" s="32" t="inlineStr"/>
      <c r="Q193" s="31" t="inlineStr">
        <is>
          <t>es</t>
        </is>
      </c>
      <c r="R193" s="33" t="inlineStr">
        <is>
          <t>Mexico Business News</t>
        </is>
      </c>
      <c r="S193" s="32" t="inlineStr">
        <is>
          <t>news media</t>
        </is>
      </c>
      <c r="T193" s="32" t="inlineStr">
        <is>
          <t>secondary reported</t>
        </is>
      </c>
      <c r="U193" s="32" t="inlineStr">
        <is>
          <t>Date approximate (article date).</t>
        </is>
      </c>
    </row>
    <row r="194" ht="45.75" customHeight="1" s="24">
      <c r="A194" s="31" t="inlineStr">
        <is>
          <t>PS-0185</t>
        </is>
      </c>
      <c r="B194" s="31" t="inlineStr">
        <is>
          <t>2025-04-23</t>
        </is>
      </c>
      <c r="C194" s="31" t="inlineStr">
        <is>
          <t>Brazil</t>
        </is>
      </c>
      <c r="D194" s="31" t="inlineStr">
        <is>
          <t>Yes</t>
        </is>
      </c>
      <c r="E194" s="32" t="inlineStr">
        <is>
          <t>Alexandre Silveira</t>
        </is>
      </c>
      <c r="F194" s="32" t="inlineStr">
        <is>
          <t>Minister of Mines and Energy of Brazil</t>
        </is>
      </c>
      <c r="G194" s="32" t="inlineStr">
        <is>
          <t>LatAm executive</t>
        </is>
      </c>
      <c r="H194" s="32" t="inlineStr">
        <is>
          <t>speech</t>
        </is>
      </c>
      <c r="I194" s="32" t="inlineStr">
        <is>
          <t>Summit Valor Econômico Brazil-China 2025, Shanghai</t>
        </is>
      </c>
      <c r="J194" s="32" t="inlineStr">
        <is>
          <t>In Shanghai, Silveira announced that Brazil would establish a national critical minerals policy in 2025 to strengthen the chain and speed environmental licensing without abandoning legal rigour, seeking investment amid strong Chinese interest.</t>
        </is>
      </c>
      <c r="K194" s="32" t="inlineStr">
        <is>
          <t>critical minerals general, lithium, niobium, rare earths</t>
        </is>
      </c>
      <c r="L194" s="32" t="inlineStr">
        <is>
          <t>foreign investment, environment water, diplomatic relations</t>
        </is>
      </c>
      <c r="M194" s="31" t="inlineStr">
        <is>
          <t>positive</t>
        </is>
      </c>
      <c r="N194" s="31" t="inlineStr">
        <is>
          <t>not mentioned</t>
        </is>
      </c>
      <c r="O194" s="32" t="inlineStr"/>
      <c r="P194" s="32" t="inlineStr"/>
      <c r="Q194" s="31" t="inlineStr">
        <is>
          <t>pt</t>
        </is>
      </c>
      <c r="R194" s="33" t="inlineStr">
        <is>
          <t>Movimento Econômico</t>
        </is>
      </c>
      <c r="S194" s="32" t="inlineStr">
        <is>
          <t>news media</t>
        </is>
      </c>
      <c r="T194" s="32" t="inlineStr">
        <is>
          <t>secondary reported</t>
        </is>
      </c>
      <c r="U194" s="32" t="inlineStr">
        <is>
          <t>stance_china inferred from investment-pitch context</t>
        </is>
      </c>
    </row>
    <row r="195" ht="45.75" customHeight="1" s="24">
      <c r="A195" s="31" t="inlineStr">
        <is>
          <t>PS-0416</t>
        </is>
      </c>
      <c r="B195" s="31" t="inlineStr">
        <is>
          <t>2025-04-25</t>
        </is>
      </c>
      <c r="C195" s="31" t="inlineStr">
        <is>
          <t>Peru</t>
        </is>
      </c>
      <c r="D195" s="31" t="inlineStr">
        <is>
          <t>Yes</t>
        </is>
      </c>
      <c r="E195" s="32" t="inlineStr">
        <is>
          <t>Song Yang</t>
        </is>
      </c>
      <c r="F195" s="32" t="inlineStr">
        <is>
          <t>Ambassador of China to Peru</t>
        </is>
      </c>
      <c r="G195" s="32" t="inlineStr">
        <is>
          <t>China</t>
        </is>
      </c>
      <c r="H195" s="32" t="inlineStr">
        <is>
          <t>interview</t>
        </is>
      </c>
      <c r="I195" s="32" t="inlineStr">
        <is>
          <t>After Indecopi found no competition between Chancay and Callao and Ositrán moved to regulate Chancay's tariffs</t>
        </is>
      </c>
      <c r="J195" s="32" t="inlineStr">
        <is>
          <t>Song said regulating the Chancay port would be irrational, asked that the competition question not lead to rules out of step with international port practice, acknowledged competitive pressure and noise complaints, and asked for institutional guarantees rather than restrictions.</t>
        </is>
      </c>
      <c r="K195" s="32" t="inlineStr">
        <is>
          <t>mining general</t>
        </is>
      </c>
      <c r="L195" s="32" t="inlineStr">
        <is>
          <t>infrastructure ports, foreign investment</t>
        </is>
      </c>
      <c r="M195" s="31" t="inlineStr">
        <is>
          <t>positive</t>
        </is>
      </c>
      <c r="N195" s="31" t="inlineStr">
        <is>
          <t>not mentioned</t>
        </is>
      </c>
      <c r="O195" s="32" t="inlineStr">
        <is>
          <t>regulaciones o exigencias que no sean acordes a la dinámica portuaria internacional</t>
        </is>
      </c>
      <c r="P195" s="32" t="inlineStr">
        <is>
          <t>regulations or requirements that are not in line with international port dynamics</t>
        </is>
      </c>
      <c r="Q195" s="31" t="inlineStr">
        <is>
          <t>es</t>
        </is>
      </c>
      <c r="R195" s="33" t="inlineStr">
        <is>
          <t>Gestión</t>
        </is>
      </c>
      <c r="S195" s="32" t="inlineStr">
        <is>
          <t>news media</t>
        </is>
      </c>
      <c r="T195" s="32" t="inlineStr">
        <is>
          <t>secondary reported</t>
        </is>
      </c>
      <c r="U195" s="32" t="inlineStr">
        <is>
          <t>Coded by an AI session (2026-10-09) under the README vocabularies, from web-search results that cite the page; the page itself was not opened. Chancay is the export gateway the dataset's Peru records already discuss; the statement is about port regulation, not a mineral.</t>
        </is>
      </c>
    </row>
    <row r="196" ht="45.75" customHeight="1" s="24">
      <c r="A196" s="31" t="inlineStr">
        <is>
          <t>PS-0186</t>
        </is>
      </c>
      <c r="B196" s="31" t="inlineStr">
        <is>
          <t>2025-04-28</t>
        </is>
      </c>
      <c r="C196" s="31" t="inlineStr">
        <is>
          <t>Peru</t>
        </is>
      </c>
      <c r="D196" s="31" t="inlineStr">
        <is>
          <t>Yes</t>
        </is>
      </c>
      <c r="E196" s="32" t="inlineStr">
        <is>
          <t>Song Yang</t>
        </is>
      </c>
      <c r="F196" s="32" t="inlineStr">
        <is>
          <t>Chinese Ambassador to Peru</t>
        </is>
      </c>
      <c r="G196" s="32" t="inlineStr">
        <is>
          <t>China</t>
        </is>
      </c>
      <c r="H196" s="32" t="inlineStr">
        <is>
          <t>op ed</t>
        </is>
      </c>
      <c r="I196" s="32" t="inlineStr">
        <is>
          <t>US reciprocal tariffs; Chancay; ZEEP</t>
        </is>
      </c>
      <c r="J196" s="32" t="inlineStr">
        <is>
          <t>Song Yang criticized US reciprocal tariffs as harming the world trade order, said Chancay had opened a new historic era in relations, and encouraged Peru to promote special economic zones that would open doors for more Chinese investment.</t>
        </is>
      </c>
      <c r="K196" s="32" t="inlineStr">
        <is>
          <t>mining general</t>
        </is>
      </c>
      <c r="L196" s="32" t="inlineStr">
        <is>
          <t>tariffs trade policy, infrastructure ports, foreign investment, geopolitics security</t>
        </is>
      </c>
      <c r="M196" s="31" t="inlineStr">
        <is>
          <t>positive</t>
        </is>
      </c>
      <c r="N196" s="31" t="inlineStr">
        <is>
          <t>negative</t>
        </is>
      </c>
      <c r="O196" s="32" t="inlineStr">
        <is>
          <t>La política estadounidense de 'aranceles recíprocos' no solo perjudica el orden del comercio económico mundial</t>
        </is>
      </c>
      <c r="P196" s="32" t="inlineStr">
        <is>
          <t>The US 'reciprocal tariffs' policy not only harms the world economic trade order</t>
        </is>
      </c>
      <c r="Q196" s="31" t="inlineStr">
        <is>
          <t>es</t>
        </is>
      </c>
      <c r="R196" s="33" t="inlineStr">
        <is>
          <t>ProActivo</t>
        </is>
      </c>
      <c r="S196" s="32" t="inlineStr">
        <is>
          <t>news media</t>
        </is>
      </c>
      <c r="T196" s="32" t="inlineStr">
        <is>
          <t>secondary reported</t>
        </is>
      </c>
      <c r="U196" s="32" t="inlineStr">
        <is>
          <t>Channel uncertain (op-ed or speech)</t>
        </is>
      </c>
    </row>
    <row r="197" ht="45.75" customHeight="1" s="24">
      <c r="A197" s="31" t="inlineStr">
        <is>
          <t>PS-0187</t>
        </is>
      </c>
      <c r="B197" s="31" t="inlineStr">
        <is>
          <t>2025-04-30</t>
        </is>
      </c>
      <c r="C197" s="31" t="inlineStr">
        <is>
          <t>Chile</t>
        </is>
      </c>
      <c r="D197" s="31" t="inlineStr">
        <is>
          <t>Yes</t>
        </is>
      </c>
      <c r="E197" s="32" t="inlineStr">
        <is>
          <t>Máximo Pacheco</t>
        </is>
      </c>
      <c r="F197" s="32" t="inlineStr">
        <is>
          <t>Chairman of Codelco</t>
        </is>
      </c>
      <c r="G197" s="32" t="inlineStr">
        <is>
          <t>LatAm state company</t>
        </is>
      </c>
      <c r="H197" s="32" t="inlineStr">
        <is>
          <t>speech</t>
        </is>
      </c>
      <c r="I197" s="32" t="inlineStr">
        <is>
          <t>Codelco shareholders meeting</t>
        </is>
      </c>
      <c r="J197" s="32" t="inlineStr">
        <is>
          <t>Pacheco called the SQM deal perhaps the most transparent business deal in Chilean history, said he was optimistic China would approve it as Chilean lithium is highly valued there, and advocated a new copper smelter.</t>
        </is>
      </c>
      <c r="K197" s="32" t="inlineStr">
        <is>
          <t>copper, lithium</t>
        </is>
      </c>
      <c r="L197" s="32" t="inlineStr">
        <is>
          <t>processing refining, foreign investment</t>
        </is>
      </c>
      <c r="M197" s="31" t="inlineStr">
        <is>
          <t>positive</t>
        </is>
      </c>
      <c r="N197" s="31" t="inlineStr">
        <is>
          <t>not mentioned</t>
        </is>
      </c>
      <c r="O197" s="32" t="inlineStr">
        <is>
          <t>Estamos optimistas de que esto va a salir, porque el litio chileno es tremendamente importante y valorado en China</t>
        </is>
      </c>
      <c r="P197" s="32" t="inlineStr">
        <is>
          <t>We are optimistic this will go through, because Chilean lithium is tremendously important and valued in China</t>
        </is>
      </c>
      <c r="Q197" s="31" t="inlineStr">
        <is>
          <t>es</t>
        </is>
      </c>
      <c r="R197" s="33" t="inlineStr">
        <is>
          <t>Diario Financiero</t>
        </is>
      </c>
      <c r="S197" s="32" t="inlineStr">
        <is>
          <t>news media</t>
        </is>
      </c>
      <c r="T197" s="32" t="inlineStr">
        <is>
          <t>secondary reported</t>
        </is>
      </c>
      <c r="U197" s="32" t="inlineStr"/>
    </row>
    <row r="198" ht="45.75" customHeight="1" s="24">
      <c r="A198" s="31" t="inlineStr">
        <is>
          <t>PS-0188</t>
        </is>
      </c>
      <c r="B198" s="31" t="inlineStr">
        <is>
          <t>2025-05-04</t>
        </is>
      </c>
      <c r="C198" s="31" t="inlineStr">
        <is>
          <t>Peru</t>
        </is>
      </c>
      <c r="D198" s="31" t="inlineStr">
        <is>
          <t>Yes</t>
        </is>
      </c>
      <c r="E198" s="32" t="inlineStr">
        <is>
          <t>Jorge Montero</t>
        </is>
      </c>
      <c r="F198" s="32" t="inlineStr">
        <is>
          <t>Minister of Energy and Mines of Peru</t>
        </is>
      </c>
      <c r="G198" s="32" t="inlineStr">
        <is>
          <t>LatAm executive</t>
        </is>
      </c>
      <c r="H198" s="32" t="inlineStr">
        <is>
          <t>press conference</t>
        </is>
      </c>
      <c r="I198" s="32" t="inlineStr">
        <is>
          <t>Visit to Arequipa; Tía María and Pataz violence</t>
        </is>
      </c>
      <c r="J198" s="32" t="inlineStr">
        <is>
          <t>Montero said Tía María would move forward in the coming months with construction starting in 2025, noting it would use seawater, and pledged to radicalize emergency measures in Pataz.</t>
        </is>
      </c>
      <c r="K198" s="32" t="inlineStr">
        <is>
          <t>copper</t>
        </is>
      </c>
      <c r="L198" s="32" t="inlineStr">
        <is>
          <t>foreign investment, environment water, geopolitics security</t>
        </is>
      </c>
      <c r="M198" s="31" t="inlineStr">
        <is>
          <t>not mentioned</t>
        </is>
      </c>
      <c r="N198" s="31" t="inlineStr">
        <is>
          <t>not mentioned</t>
        </is>
      </c>
      <c r="O198" s="32" t="inlineStr">
        <is>
          <t>Lo que están manifestando es que ese proyecto va adelante en los próximos meses.</t>
        </is>
      </c>
      <c r="P198" s="32" t="inlineStr">
        <is>
          <t>What they are stating is that this project goes ahead in the coming months.</t>
        </is>
      </c>
      <c r="Q198" s="31" t="inlineStr">
        <is>
          <t>es</t>
        </is>
      </c>
      <c r="R198" s="33" t="inlineStr">
        <is>
          <t>El Búho</t>
        </is>
      </c>
      <c r="S198" s="32" t="inlineStr">
        <is>
          <t>news media</t>
        </is>
      </c>
      <c r="T198" s="32" t="inlineStr">
        <is>
          <t>secondary reported</t>
        </is>
      </c>
      <c r="U198" s="32" t="inlineStr"/>
    </row>
    <row r="199" ht="45.75" customHeight="1" s="24">
      <c r="A199" s="31" t="inlineStr">
        <is>
          <t>PS-0189</t>
        </is>
      </c>
      <c r="B199" s="31" t="inlineStr">
        <is>
          <t>2025-05-08</t>
        </is>
      </c>
      <c r="C199" s="31" t="inlineStr">
        <is>
          <t>Chile</t>
        </is>
      </c>
      <c r="D199" s="31" t="inlineStr">
        <is>
          <t>Yes</t>
        </is>
      </c>
      <c r="E199" s="32" t="inlineStr">
        <is>
          <t>CORFO</t>
        </is>
      </c>
      <c r="F199" s="32" t="inlineStr">
        <is>
          <t>Chilean Production Development Corporation</t>
        </is>
      </c>
      <c r="G199" s="32" t="inlineStr">
        <is>
          <t>LatAm executive</t>
        </is>
      </c>
      <c r="H199" s="32" t="inlineStr">
        <is>
          <t>official statement</t>
        </is>
      </c>
      <c r="I199" s="32" t="inlineStr">
        <is>
          <t>BYD and Tsingshan withdrawal from preferential-price lithium value-added projects</t>
        </is>
      </c>
      <c r="J199" s="32" t="inlineStr">
        <is>
          <t>CORFO said the companies it selected for preferential lithium supply (BYD and Tsingshan) had been affected in their investment decisions by global market conditions and the sharp fall in lithium prices.</t>
        </is>
      </c>
      <c r="K199" s="32" t="inlineStr">
        <is>
          <t>lithium</t>
        </is>
      </c>
      <c r="L199" s="32" t="inlineStr">
        <is>
          <t>value added industrialization, foreign investment</t>
        </is>
      </c>
      <c r="M199" s="31" t="inlineStr">
        <is>
          <t>neutral</t>
        </is>
      </c>
      <c r="N199" s="31" t="inlineStr">
        <is>
          <t>not mentioned</t>
        </is>
      </c>
      <c r="O199" s="32" t="inlineStr"/>
      <c r="P199" s="32" t="inlineStr"/>
      <c r="Q199" s="31" t="inlineStr">
        <is>
          <t>en</t>
        </is>
      </c>
      <c r="R199" s="33" t="inlineStr">
        <is>
          <t>electrive</t>
        </is>
      </c>
      <c r="S199" s="32" t="inlineStr">
        <is>
          <t>news media</t>
        </is>
      </c>
      <c r="T199" s="32" t="inlineStr">
        <is>
          <t>secondary reported</t>
        </is>
      </c>
      <c r="U199" s="32" t="inlineStr">
        <is>
          <t>Quote only available in English translation; date of statement approx. 7-8 May 2025</t>
        </is>
      </c>
    </row>
    <row r="200" ht="45.75" customHeight="1" s="24">
      <c r="A200" s="31" t="inlineStr">
        <is>
          <t>PS-0414</t>
        </is>
      </c>
      <c r="B200" s="31" t="inlineStr">
        <is>
          <t>2025-05-08</t>
        </is>
      </c>
      <c r="C200" s="31" t="inlineStr">
        <is>
          <t>Chile</t>
        </is>
      </c>
      <c r="D200" s="31" t="inlineStr">
        <is>
          <t>Yes</t>
        </is>
      </c>
      <c r="E200" s="32" t="inlineStr">
        <is>
          <t>Embajada de China en Chile</t>
        </is>
      </c>
      <c r="F200" s="32" t="inlineStr">
        <is>
          <t>Embassy statement</t>
        </is>
      </c>
      <c r="G200" s="32" t="inlineStr">
        <is>
          <t>China</t>
        </is>
      </c>
      <c r="H200" s="32" t="inlineStr">
        <is>
          <t>official statement</t>
        </is>
      </c>
      <c r="I200" s="32" t="inlineStr">
        <is>
          <t>Reply to reports that BYD and Tsingshan had abandoned their lithium projects under the National Lithium Strategy</t>
        </is>
      </c>
      <c r="J200" s="32" t="inlineStr">
        <is>
          <t>The embassy said neither BYD nor Tsingshan had declared an end to their investments in Chile, that many Chinese companies wanted to join the lithium strategy through different forms of cooperation, praised Chile's stable market and legal framework, and pledged to keep encouraging Chinese investment.</t>
        </is>
      </c>
      <c r="K200" s="32" t="inlineStr">
        <is>
          <t>lithium</t>
        </is>
      </c>
      <c r="L200" s="32" t="inlineStr">
        <is>
          <t>foreign investment, value added industrialization</t>
        </is>
      </c>
      <c r="M200" s="31" t="inlineStr">
        <is>
          <t>positive</t>
        </is>
      </c>
      <c r="N200" s="31" t="inlineStr">
        <is>
          <t>not mentioned</t>
        </is>
      </c>
      <c r="O200" s="32" t="inlineStr">
        <is>
          <t>un mercado maduro y estable, con un sólido marco jurídico y una política de apertura e inclusión</t>
        </is>
      </c>
      <c r="P200" s="32" t="inlineStr">
        <is>
          <t>a mature and stable market, with a solid legal framework and a policy of openness and inclusion</t>
        </is>
      </c>
      <c r="Q200" s="31" t="inlineStr">
        <is>
          <t>es</t>
        </is>
      </c>
      <c r="R200" s="33" t="inlineStr">
        <is>
          <t>CNN Chile</t>
        </is>
      </c>
      <c r="S200" s="32" t="inlineStr">
        <is>
          <t>news media</t>
        </is>
      </c>
      <c r="T200" s="32" t="inlineStr">
        <is>
          <t>secondary reported</t>
        </is>
      </c>
      <c r="U200" s="32" t="inlineStr">
        <is>
          <t>Coded by an AI session (2026-10-09) under the README vocabularies, from web-search results that cite the page; the page itself was not opened. Economy Minister Grau replied the same day that the firms might not take part in the specific Corfo contract.</t>
        </is>
      </c>
    </row>
    <row r="201" ht="45.75" customHeight="1" s="24">
      <c r="A201" s="31" t="inlineStr">
        <is>
          <t>PS-0190</t>
        </is>
      </c>
      <c r="B201" s="31" t="inlineStr">
        <is>
          <t>2025-05-09</t>
        </is>
      </c>
      <c r="C201" s="31" t="inlineStr">
        <is>
          <t>Chile</t>
        </is>
      </c>
      <c r="D201" s="31" t="inlineStr">
        <is>
          <t>Yes</t>
        </is>
      </c>
      <c r="E201" s="32" t="inlineStr">
        <is>
          <t>Embassy of the People's Republic of China in Chile</t>
        </is>
      </c>
      <c r="F201" s="32" t="inlineStr">
        <is>
          <t>Chinese Embassy in Chile</t>
        </is>
      </c>
      <c r="G201" s="32" t="inlineStr">
        <is>
          <t>China</t>
        </is>
      </c>
      <c r="H201" s="32" t="inlineStr">
        <is>
          <t>official statement</t>
        </is>
      </c>
      <c r="I201" s="32" t="inlineStr">
        <is>
          <t>Response to reports BYD and Tsingshan abandoned lithium projects</t>
        </is>
      </c>
      <c r="J201" s="32" t="inlineStr">
        <is>
          <t>The Chinese embassy said that after checking with BYD and Tsingshan neither had ended their investments in Chile and both remained willing to continue dialogue, contradicting the Chilean government.</t>
        </is>
      </c>
      <c r="K201" s="32" t="inlineStr">
        <is>
          <t>lithium</t>
        </is>
      </c>
      <c r="L201" s="32" t="inlineStr">
        <is>
          <t>foreign investment, diplomatic relations</t>
        </is>
      </c>
      <c r="M201" s="31" t="inlineStr">
        <is>
          <t>positive</t>
        </is>
      </c>
      <c r="N201" s="31" t="inlineStr">
        <is>
          <t>not mentioned</t>
        </is>
      </c>
      <c r="O201" s="32" t="inlineStr">
        <is>
          <t>Tras verificar con las dos empresas, resulta que ambas nunca han manifestado haber terminado sus inversiones en Chile y mantienen la disposición de continuar el diálogo</t>
        </is>
      </c>
      <c r="P201" s="32" t="inlineStr">
        <is>
          <t>After checking with the two companies, it turns out neither has ever stated it ended its investments in Chile and both remain willing to continue dialogue</t>
        </is>
      </c>
      <c r="Q201" s="31" t="inlineStr">
        <is>
          <t>es</t>
        </is>
      </c>
      <c r="R201" s="33" t="inlineStr">
        <is>
          <t>Forbes Chile</t>
        </is>
      </c>
      <c r="S201" s="32" t="inlineStr">
        <is>
          <t>news media</t>
        </is>
      </c>
      <c r="T201" s="32" t="inlineStr">
        <is>
          <t>secondary reported</t>
        </is>
      </c>
      <c r="U201" s="32" t="inlineStr">
        <is>
          <t>Statement issued days before Boric's state visit to China</t>
        </is>
      </c>
    </row>
    <row r="202" ht="45.75" customHeight="1" s="24">
      <c r="A202" s="31" t="inlineStr">
        <is>
          <t>PS-0191</t>
        </is>
      </c>
      <c r="B202" s="31" t="inlineStr">
        <is>
          <t>2025-05-09</t>
        </is>
      </c>
      <c r="C202" s="31" t="inlineStr">
        <is>
          <t>Chile</t>
        </is>
      </c>
      <c r="D202" s="31" t="inlineStr">
        <is>
          <t>Yes</t>
        </is>
      </c>
      <c r="E202" s="32" t="inlineStr">
        <is>
          <t>Nicolás Grau</t>
        </is>
      </c>
      <c r="F202" s="32" t="inlineStr">
        <is>
          <t>Minister of Economy</t>
        </is>
      </c>
      <c r="G202" s="32" t="inlineStr">
        <is>
          <t>LatAm executive</t>
        </is>
      </c>
      <c r="H202" s="32" t="inlineStr">
        <is>
          <t>interview</t>
        </is>
      </c>
      <c r="I202" s="32" t="inlineStr">
        <is>
          <t>Radio ADN; clarification after Chinese embassy statement on BYD/Tsingshan</t>
        </is>
      </c>
      <c r="J202" s="32" t="inlineStr">
        <is>
          <t>Grau said BYD and Tsingshan declined CORFO's preferential lithium contracts but could still invest in lithium through other channels, after speaking by phone with Ambassador Niu Qingbao.</t>
        </is>
      </c>
      <c r="K202" s="32" t="inlineStr">
        <is>
          <t>lithium</t>
        </is>
      </c>
      <c r="L202" s="32" t="inlineStr">
        <is>
          <t>value added industrialization, foreign investment, diplomatic relations</t>
        </is>
      </c>
      <c r="M202" s="31" t="inlineStr">
        <is>
          <t>neutral</t>
        </is>
      </c>
      <c r="N202" s="31" t="inlineStr">
        <is>
          <t>not mentioned</t>
        </is>
      </c>
      <c r="O202" s="32" t="inlineStr">
        <is>
          <t>Son dos informaciones distintas</t>
        </is>
      </c>
      <c r="P202" s="32" t="inlineStr">
        <is>
          <t>These are two different pieces of information</t>
        </is>
      </c>
      <c r="Q202" s="31" t="inlineStr">
        <is>
          <t>es</t>
        </is>
      </c>
      <c r="R202" s="33" t="inlineStr">
        <is>
          <t>Diario Financiero</t>
        </is>
      </c>
      <c r="S202" s="32" t="inlineStr">
        <is>
          <t>news media</t>
        </is>
      </c>
      <c r="T202" s="32" t="inlineStr">
        <is>
          <t>secondary reported</t>
        </is>
      </c>
      <c r="U202" s="32" t="inlineStr"/>
    </row>
    <row r="203" ht="45.75" customHeight="1" s="24">
      <c r="A203" s="31" t="inlineStr">
        <is>
          <t>PS-0192</t>
        </is>
      </c>
      <c r="B203" s="31" t="inlineStr">
        <is>
          <t>2025-05-13</t>
        </is>
      </c>
      <c r="C203" s="31" t="inlineStr">
        <is>
          <t>Regional</t>
        </is>
      </c>
      <c r="D203" s="31" t="inlineStr">
        <is>
          <t>No</t>
        </is>
      </c>
      <c r="E203" s="32" t="inlineStr">
        <is>
          <t>China-CELAC Forum (Fourth Ministerial Meeting)</t>
        </is>
      </c>
      <c r="F203" s="32" t="inlineStr">
        <is>
          <t>Joint document of China and CELAC member states</t>
        </is>
      </c>
      <c r="G203" s="32" t="inlineStr">
        <is>
          <t>China</t>
        </is>
      </c>
      <c r="H203" s="32" t="inlineStr">
        <is>
          <t>joint declaration or mou</t>
        </is>
      </c>
      <c r="I203" s="32" t="inlineStr">
        <is>
          <t>China-CELAC Forum Fourth Ministerial Meeting, Beijing; Joint Action Plan 2025-2027</t>
        </is>
      </c>
      <c r="J203" s="32" t="inlineStr">
        <is>
          <t>The China-CELAC Joint Action Plan 2025-2027 contains an 'Energy and resources' chapter that commits to exploring investment in energy transition and advanced energy storage and to geoscience cooperation; it names no specific minerals. Its law-enforcement section calls for exchanges on combating illegal mining and illegal trade in precious metals.</t>
        </is>
      </c>
      <c r="K203" s="32" t="inlineStr">
        <is>
          <t>mining general</t>
        </is>
      </c>
      <c r="L203" s="32" t="inlineStr">
        <is>
          <t>energy transition, corruption governance, diplomatic relations</t>
        </is>
      </c>
      <c r="M203" s="31" t="inlineStr">
        <is>
          <t>positive</t>
        </is>
      </c>
      <c r="N203" s="31" t="inlineStr">
        <is>
          <t>not mentioned</t>
        </is>
      </c>
      <c r="O203" s="32" t="inlineStr">
        <is>
          <t>探索双方能源转型与先进储能技术合作投资机遇，助力双方共同实现能源绿色低碳转型。</t>
        </is>
      </c>
      <c r="P203" s="32" t="inlineStr">
        <is>
          <t>Explore cooperation and investment opportunities in energy transition and advanced energy storage technology, helping both sides achieve a green, low-carbon energy transition.</t>
        </is>
      </c>
      <c r="Q203" s="31" t="inlineStr">
        <is>
          <t>zh</t>
        </is>
      </c>
      <c r="R203" s="33" t="inlineStr">
        <is>
          <t>Ministry of Foreign Affairs of the PRC</t>
        </is>
      </c>
      <c r="S203" s="32" t="inlineStr">
        <is>
          <t>primary official</t>
        </is>
      </c>
      <c r="T203" s="32" t="inlineStr">
        <is>
          <t>primary verified</t>
        </is>
      </c>
      <c r="U203" s="32" t="inlineStr">
        <is>
          <t>No explicit lithium/copper language; Spanish version: static.poder360.com.br/2025/05/plano-de-acao-china-latina.pdf. Joint China-CELAC text, coded as china_central_gov.</t>
        </is>
      </c>
    </row>
    <row r="204" ht="45.75" customHeight="1" s="24">
      <c r="A204" s="31" t="inlineStr">
        <is>
          <t>PS-0193</t>
        </is>
      </c>
      <c r="B204" s="31" t="inlineStr">
        <is>
          <t>2025-05-14</t>
        </is>
      </c>
      <c r="C204" s="31" t="inlineStr">
        <is>
          <t>Chile</t>
        </is>
      </c>
      <c r="D204" s="31" t="inlineStr">
        <is>
          <t>Yes</t>
        </is>
      </c>
      <c r="E204" s="32" t="inlineStr">
        <is>
          <t>Xi Jinping</t>
        </is>
      </c>
      <c r="F204" s="32" t="inlineStr">
        <is>
          <t>President of the People's Republic of China</t>
        </is>
      </c>
      <c r="G204" s="32" t="inlineStr">
        <is>
          <t>China</t>
        </is>
      </c>
      <c r="H204" s="32" t="inlineStr">
        <is>
          <t>official statement</t>
        </is>
      </c>
      <c r="I204" s="32" t="inlineStr">
        <is>
          <t>Talks with Gabriel Boric, Beijing state visit</t>
        </is>
      </c>
      <c r="J204" s="32" t="inlineStr">
        <is>
          <t>In talks with Boric in Beijing, Xi called for deepening China-Chile cooperation in agriculture, industrial investment, infrastructure and green mining, and for defending Global South interests.</t>
        </is>
      </c>
      <c r="K204" s="32" t="inlineStr">
        <is>
          <t>mining general</t>
        </is>
      </c>
      <c r="L204" s="32" t="inlineStr">
        <is>
          <t>diplomatic relations, foreign investment, environment water</t>
        </is>
      </c>
      <c r="M204" s="31" t="inlineStr">
        <is>
          <t>positive</t>
        </is>
      </c>
      <c r="N204" s="31" t="inlineStr">
        <is>
          <t>not mentioned</t>
        </is>
      </c>
      <c r="O204" s="32" t="inlineStr">
        <is>
          <t>profundizar la cooperación en áreas como agricultura, silvicultura, ganadería, pesquería, inversión industrial, infraestructura y minería verde</t>
        </is>
      </c>
      <c r="P204" s="32" t="inlineStr">
        <is>
          <t>deepen cooperation in areas such as agriculture, forestry, livestock, fisheries, industrial investment, infrastructure and green mining</t>
        </is>
      </c>
      <c r="Q204" s="31" t="inlineStr">
        <is>
          <t>es</t>
        </is>
      </c>
      <c r="R204" s="33" t="inlineStr">
        <is>
          <t>Ministry of Foreign Affairs of the PRC</t>
        </is>
      </c>
      <c r="S204" s="32" t="inlineStr">
        <is>
          <t>primary official</t>
        </is>
      </c>
      <c r="T204" s="32" t="inlineStr">
        <is>
          <t>primary verified</t>
        </is>
      </c>
      <c r="U204" s="32" t="inlineStr">
        <is>
          <t>Spanish version of MFA readout</t>
        </is>
      </c>
    </row>
    <row r="205" ht="45.75" customHeight="1" s="24">
      <c r="A205" s="31" t="inlineStr">
        <is>
          <t>PS-0194</t>
        </is>
      </c>
      <c r="B205" s="31" t="inlineStr">
        <is>
          <t>2025-05-23</t>
        </is>
      </c>
      <c r="C205" s="31" t="inlineStr">
        <is>
          <t>Chile</t>
        </is>
      </c>
      <c r="D205" s="31" t="inlineStr">
        <is>
          <t>Yes</t>
        </is>
      </c>
      <c r="E205" s="32" t="inlineStr">
        <is>
          <t>Iván Mlynarz</t>
        </is>
      </c>
      <c r="F205" s="32" t="inlineStr">
        <is>
          <t>Executive Vice President of ENAMI</t>
        </is>
      </c>
      <c r="G205" s="32" t="inlineStr">
        <is>
          <t>LatAm state company</t>
        </is>
      </c>
      <c r="H205" s="32" t="inlineStr">
        <is>
          <t>interview</t>
        </is>
      </c>
      <c r="I205" s="32" t="inlineStr">
        <is>
          <t>Selection of Rio Tinto as partner for Salares Altoandinos lithium project</t>
        </is>
      </c>
      <c r="J205" s="32" t="inlineStr">
        <is>
          <t>ENAMI's head defended choosing Rio Tinto for Salares Altoandinos, saying two binding offers were received (Rio Tinto, Eramet) while BYD and Posco did not bid, and that Rio Tinto would finance the ~US$3bn project.</t>
        </is>
      </c>
      <c r="K205" s="32" t="inlineStr">
        <is>
          <t>lithium</t>
        </is>
      </c>
      <c r="L205" s="32" t="inlineStr">
        <is>
          <t>foreign investment, state control nationalization</t>
        </is>
      </c>
      <c r="M205" s="31" t="inlineStr">
        <is>
          <t>neutral</t>
        </is>
      </c>
      <c r="N205" s="31" t="inlineStr">
        <is>
          <t>not mentioned</t>
        </is>
      </c>
      <c r="O205" s="32" t="inlineStr">
        <is>
          <t>Nadie puede cuestionar ni la experiencia en minería, ni las capacidades técnicas</t>
        </is>
      </c>
      <c r="P205" s="32" t="inlineStr">
        <is>
          <t>No one can question either the mining experience or the technical capabilities</t>
        </is>
      </c>
      <c r="Q205" s="31" t="inlineStr">
        <is>
          <t>es</t>
        </is>
      </c>
      <c r="R205" s="33" t="inlineStr">
        <is>
          <t>La Tercera</t>
        </is>
      </c>
      <c r="S205" s="32" t="inlineStr">
        <is>
          <t>news media</t>
        </is>
      </c>
      <c r="T205" s="32" t="inlineStr">
        <is>
          <t>secondary reported</t>
        </is>
      </c>
      <c r="U205" s="32" t="inlineStr">
        <is>
          <t>Article dated 23 May 2025; selection announced 22 May</t>
        </is>
      </c>
    </row>
    <row r="206" ht="45.75" customHeight="1" s="24">
      <c r="A206" s="31" t="inlineStr">
        <is>
          <t>PS-0195</t>
        </is>
      </c>
      <c r="B206" s="31" t="inlineStr">
        <is>
          <t>2025-05-27</t>
        </is>
      </c>
      <c r="C206" s="31" t="inlineStr">
        <is>
          <t>Bolivia</t>
        </is>
      </c>
      <c r="D206" s="31" t="inlineStr">
        <is>
          <t>Yes</t>
        </is>
      </c>
      <c r="E206" s="32" t="inlineStr">
        <is>
          <t>Juzgado Mixto de Colcha K (Potosí)</t>
        </is>
      </c>
      <c r="F206" s="32" t="inlineStr">
        <is>
          <t>Mixed court, Colcha K</t>
        </is>
      </c>
      <c r="G206" s="32" t="inlineStr">
        <is>
          <t>LatAm judiciary</t>
        </is>
      </c>
      <c r="H206" s="32" t="inlineStr">
        <is>
          <t>court ruling</t>
        </is>
      </c>
      <c r="I206" s="32" t="inlineStr">
        <is>
          <t>Popular action by indigenous/campesino organizations against lithium contracts</t>
        </is>
      </c>
      <c r="J206" s="32" t="inlineStr">
        <is>
          <t>The court granted precautionary measures ordering the immediate halt of legislative treatment of the CBC and Uranium One lithium contracts and instructing YLB and the ministry to refrain from any related work.</t>
        </is>
      </c>
      <c r="K206" s="32" t="inlineStr">
        <is>
          <t>lithium</t>
        </is>
      </c>
      <c r="L206" s="32" t="inlineStr">
        <is>
          <t>indigenous community rights, environment water</t>
        </is>
      </c>
      <c r="M206" s="31" t="inlineStr">
        <is>
          <t>not mentioned</t>
        </is>
      </c>
      <c r="N206" s="31" t="inlineStr">
        <is>
          <t>not mentioned</t>
        </is>
      </c>
      <c r="O206" s="32" t="inlineStr"/>
      <c r="P206" s="32" t="inlineStr"/>
      <c r="Q206" s="31" t="inlineStr">
        <is>
          <t>es</t>
        </is>
      </c>
      <c r="R206" s="33" t="inlineStr">
        <is>
          <t>Correo del Sur</t>
        </is>
      </c>
      <c r="S206" s="32" t="inlineStr">
        <is>
          <t>news media</t>
        </is>
      </c>
      <c r="T206" s="32" t="inlineStr">
        <is>
          <t>secondary reported</t>
        </is>
      </c>
      <c r="U206" s="32" t="inlineStr">
        <is>
          <t>Details also in Swissinfo/EFE.</t>
        </is>
      </c>
    </row>
    <row r="207" ht="45.75" customHeight="1" s="24">
      <c r="A207" s="31" t="inlineStr">
        <is>
          <t>PS-0196</t>
        </is>
      </c>
      <c r="B207" s="31" t="inlineStr">
        <is>
          <t>2025-06-05</t>
        </is>
      </c>
      <c r="C207" s="31" t="inlineStr">
        <is>
          <t>Chile</t>
        </is>
      </c>
      <c r="D207" s="31" t="inlineStr">
        <is>
          <t>Yes</t>
        </is>
      </c>
      <c r="E207" s="32" t="inlineStr">
        <is>
          <t>Gonzalo Winter</t>
        </is>
      </c>
      <c r="F207" s="32" t="inlineStr">
        <is>
          <t>Presidential primary candidate; Deputy</t>
        </is>
      </c>
      <c r="G207" s="32" t="inlineStr">
        <is>
          <t>LatAm party/candidate</t>
        </is>
      </c>
      <c r="H207" s="32" t="inlineStr">
        <is>
          <t>campaign statement</t>
        </is>
      </c>
      <c r="I207" s="32" t="inlineStr">
        <is>
          <t>Unidad por Chile primary debate</t>
        </is>
      </c>
      <c r="J207" s="32" t="inlineStr">
        <is>
          <t>Winter defended the Codelco-SQM deal against Jara, saying she treated its supporters as naive or unable to dream and asking whether she would oppose it even if good for Chile.</t>
        </is>
      </c>
      <c r="K207" s="32" t="inlineStr">
        <is>
          <t>lithium</t>
        </is>
      </c>
      <c r="L207" s="32" t="inlineStr">
        <is>
          <t>state control nationalization</t>
        </is>
      </c>
      <c r="M207" s="31" t="inlineStr">
        <is>
          <t>not mentioned</t>
        </is>
      </c>
      <c r="N207" s="31" t="inlineStr">
        <is>
          <t>not mentioned</t>
        </is>
      </c>
      <c r="O207" s="32" t="inlineStr">
        <is>
          <t>¿Aunque sea bueno para Chile?</t>
        </is>
      </c>
      <c r="P207" s="32" t="inlineStr">
        <is>
          <t>Even if it is good for Chile?</t>
        </is>
      </c>
      <c r="Q207" s="31" t="inlineStr">
        <is>
          <t>es</t>
        </is>
      </c>
      <c r="R207" s="33" t="inlineStr">
        <is>
          <t>La Tercera</t>
        </is>
      </c>
      <c r="S207" s="32" t="inlineStr">
        <is>
          <t>news media</t>
        </is>
      </c>
      <c r="T207" s="32" t="inlineStr">
        <is>
          <t>secondary reported</t>
        </is>
      </c>
      <c r="U207" s="32" t="inlineStr"/>
    </row>
    <row r="208" ht="45.75" customHeight="1" s="24">
      <c r="A208" s="31" t="inlineStr">
        <is>
          <t>PS-0197</t>
        </is>
      </c>
      <c r="B208" s="31" t="inlineStr">
        <is>
          <t>2025-06-05</t>
        </is>
      </c>
      <c r="C208" s="31" t="inlineStr">
        <is>
          <t>Chile</t>
        </is>
      </c>
      <c r="D208" s="31" t="inlineStr">
        <is>
          <t>Yes</t>
        </is>
      </c>
      <c r="E208" s="32" t="inlineStr">
        <is>
          <t>Jeannette Jara</t>
        </is>
      </c>
      <c r="F208" s="32" t="inlineStr">
        <is>
          <t>Presidential primary candidate; former Minister of Labour</t>
        </is>
      </c>
      <c r="G208" s="32" t="inlineStr">
        <is>
          <t>LatAm party/candidate</t>
        </is>
      </c>
      <c r="H208" s="32" t="inlineStr">
        <is>
          <t>campaign statement</t>
        </is>
      </c>
      <c r="I208" s="32" t="inlineStr">
        <is>
          <t>Unidad por Chile primary debate</t>
        </is>
      </c>
      <c r="J208" s="32" t="inlineStr">
        <is>
          <t>In the ruling coalition's primary debate, Jara criticised the Codelco-SQM deal, objecting to doing business with SQM because of its Pinochet-era origins and calling supporters naive.</t>
        </is>
      </c>
      <c r="K208" s="32" t="inlineStr">
        <is>
          <t>lithium</t>
        </is>
      </c>
      <c r="L208" s="32" t="inlineStr">
        <is>
          <t>state control nationalization, corruption governance</t>
        </is>
      </c>
      <c r="M208" s="31" t="inlineStr">
        <is>
          <t>not mentioned</t>
        </is>
      </c>
      <c r="N208" s="31" t="inlineStr">
        <is>
          <t>not mentioned</t>
        </is>
      </c>
      <c r="O208" s="32" t="inlineStr">
        <is>
          <t>No me gusta que hagamos negocios con SQM...por su herencia pinochetista</t>
        </is>
      </c>
      <c r="P208" s="32" t="inlineStr">
        <is>
          <t>I don't like us doing business with SQM... because of its Pinochet-era heritage</t>
        </is>
      </c>
      <c r="Q208" s="31" t="inlineStr">
        <is>
          <t>es</t>
        </is>
      </c>
      <c r="R208" s="33" t="inlineStr">
        <is>
          <t>La Tercera</t>
        </is>
      </c>
      <c r="S208" s="32" t="inlineStr">
        <is>
          <t>news media</t>
        </is>
      </c>
      <c r="T208" s="32" t="inlineStr">
        <is>
          <t>secondary reported</t>
        </is>
      </c>
      <c r="U208" s="32" t="inlineStr"/>
    </row>
    <row r="209" ht="45.75" customHeight="1" s="24">
      <c r="A209" s="31" t="inlineStr">
        <is>
          <t>PS-0198</t>
        </is>
      </c>
      <c r="B209" s="31" t="inlineStr">
        <is>
          <t>2025-06-06</t>
        </is>
      </c>
      <c r="C209" s="31" t="inlineStr">
        <is>
          <t>Bolivia</t>
        </is>
      </c>
      <c r="D209" s="31" t="inlineStr">
        <is>
          <t>Yes</t>
        </is>
      </c>
      <c r="E209" s="32" t="inlineStr">
        <is>
          <t>Juzgado Mixto de Colcha K (Potosí)</t>
        </is>
      </c>
      <c r="F209" s="32" t="inlineStr">
        <is>
          <t>Mixed court, Colcha K</t>
        </is>
      </c>
      <c r="G209" s="32" t="inlineStr">
        <is>
          <t>LatAm judiciary</t>
        </is>
      </c>
      <c r="H209" s="32" t="inlineStr">
        <is>
          <t>court ruling</t>
        </is>
      </c>
      <c r="I209" s="32" t="inlineStr">
        <is>
          <t>Ruling on popular action against lithium contracts</t>
        </is>
      </c>
      <c r="J209" s="32" t="inlineStr">
        <is>
          <t>The same court denied the popular action and lifted its precautionary measures, allowing legislative treatment of the Russian and Chinese lithium contracts to resume.</t>
        </is>
      </c>
      <c r="K209" s="32" t="inlineStr">
        <is>
          <t>lithium</t>
        </is>
      </c>
      <c r="L209" s="32" t="inlineStr">
        <is>
          <t>indigenous community rights, foreign investment</t>
        </is>
      </c>
      <c r="M209" s="31" t="inlineStr">
        <is>
          <t>not mentioned</t>
        </is>
      </c>
      <c r="N209" s="31" t="inlineStr">
        <is>
          <t>not mentioned</t>
        </is>
      </c>
      <c r="O209" s="32" t="inlineStr"/>
      <c r="P209" s="32" t="inlineStr"/>
      <c r="Q209" s="31" t="inlineStr">
        <is>
          <t>es</t>
        </is>
      </c>
      <c r="R209" s="33" t="inlineStr">
        <is>
          <t>Swissinfo (EFE)</t>
        </is>
      </c>
      <c r="S209" s="32" t="inlineStr">
        <is>
          <t>news media</t>
        </is>
      </c>
      <c r="T209" s="32" t="inlineStr">
        <is>
          <t>secondary reported</t>
        </is>
      </c>
      <c r="U209" s="32" t="inlineStr"/>
    </row>
    <row r="210" ht="45.75" customHeight="1" s="24">
      <c r="A210" s="31" t="inlineStr">
        <is>
          <t>PS-0199</t>
        </is>
      </c>
      <c r="B210" s="31" t="inlineStr">
        <is>
          <t>2025-06-06</t>
        </is>
      </c>
      <c r="C210" s="31" t="inlineStr">
        <is>
          <t>Bolivia</t>
        </is>
      </c>
      <c r="D210" s="31" t="inlineStr">
        <is>
          <t>Yes</t>
        </is>
      </c>
      <c r="E210" s="32" t="inlineStr">
        <is>
          <t>Lissa Claros</t>
        </is>
      </c>
      <c r="F210" s="32" t="inlineStr">
        <is>
          <t>Deputy (Comunidad Ciudadana)</t>
        </is>
      </c>
      <c r="G210" s="32" t="inlineStr">
        <is>
          <t>LatAm legislature</t>
        </is>
      </c>
      <c r="H210" s="32" t="inlineStr">
        <is>
          <t>interview</t>
        </is>
      </c>
      <c r="I210" s="32" t="inlineStr">
        <is>
          <t>Reaction to court lifting suspension of lithium contracts</t>
        </is>
      </c>
      <c r="J210" s="32" t="inlineStr">
        <is>
          <t>Claros criticized the court's decision to lift precautionary measures, saying it meant indigenous peoples' rights would continue to be violated and alleging judicial bias.</t>
        </is>
      </c>
      <c r="K210" s="32" t="inlineStr">
        <is>
          <t>lithium</t>
        </is>
      </c>
      <c r="L210" s="32" t="inlineStr">
        <is>
          <t>indigenous community rights, corruption governance</t>
        </is>
      </c>
      <c r="M210" s="31" t="inlineStr">
        <is>
          <t>not mentioned</t>
        </is>
      </c>
      <c r="N210" s="31" t="inlineStr">
        <is>
          <t>not mentioned</t>
        </is>
      </c>
      <c r="O210" s="32" t="inlineStr">
        <is>
          <t>Esto significa que se seguirá vulnerando el derecho de los pueblos indígenas</t>
        </is>
      </c>
      <c r="P210" s="32" t="inlineStr">
        <is>
          <t>This means the rights of indigenous peoples will continue to be violated</t>
        </is>
      </c>
      <c r="Q210" s="31" t="inlineStr">
        <is>
          <t>es</t>
        </is>
      </c>
      <c r="R210" s="33" t="inlineStr">
        <is>
          <t>Correo del Sur</t>
        </is>
      </c>
      <c r="S210" s="32" t="inlineStr">
        <is>
          <t>news media</t>
        </is>
      </c>
      <c r="T210" s="32" t="inlineStr">
        <is>
          <t>secondary reported</t>
        </is>
      </c>
      <c r="U210" s="32" t="inlineStr"/>
    </row>
    <row r="211" ht="45.75" customHeight="1" s="24">
      <c r="A211" s="31" t="inlineStr">
        <is>
          <t>PS-0200</t>
        </is>
      </c>
      <c r="B211" s="31" t="inlineStr">
        <is>
          <t>2025-06-16</t>
        </is>
      </c>
      <c r="C211" s="31" t="inlineStr">
        <is>
          <t>Ecuador</t>
        </is>
      </c>
      <c r="D211" s="31" t="inlineStr">
        <is>
          <t>Yes</t>
        </is>
      </c>
      <c r="E211" s="32" t="inlineStr">
        <is>
          <t>Inés Manzano</t>
        </is>
      </c>
      <c r="F211" s="32" t="inlineStr">
        <is>
          <t>Minister of Energy and Mines of Ecuador</t>
        </is>
      </c>
      <c r="G211" s="32" t="inlineStr">
        <is>
          <t>LatAm executive</t>
        </is>
      </c>
      <c r="H211" s="32" t="inlineStr">
        <is>
          <t>interview</t>
        </is>
      </c>
      <c r="I211" s="32" t="inlineStr">
        <is>
          <t>Debate on new mining supervision fee (Resolution 003-25)</t>
        </is>
      </c>
      <c r="J211" s="32" t="inlineStr">
        <is>
          <t>The minister refused to negotiate or delay a new semiannual supervision fee on all mining concessions, expected to raise about USD 200-220 million a year, despite industry objections.</t>
        </is>
      </c>
      <c r="K211" s="32" t="inlineStr">
        <is>
          <t>mining general</t>
        </is>
      </c>
      <c r="L211" s="32" t="inlineStr">
        <is>
          <t>royalties taxation, corruption governance</t>
        </is>
      </c>
      <c r="M211" s="31" t="inlineStr">
        <is>
          <t>not mentioned</t>
        </is>
      </c>
      <c r="N211" s="31" t="inlineStr">
        <is>
          <t>not mentioned</t>
        </is>
      </c>
      <c r="O211" s="32" t="inlineStr">
        <is>
          <t>Yo no estoy ni para negociar ni para dilatar un proceso que es necesario</t>
        </is>
      </c>
      <c r="P211" s="32" t="inlineStr">
        <is>
          <t>I am neither here to negotiate nor to delay a process that is necessary</t>
        </is>
      </c>
      <c r="Q211" s="31" t="inlineStr">
        <is>
          <t>es</t>
        </is>
      </c>
      <c r="R211" s="33" t="inlineStr">
        <is>
          <t>Primicias</t>
        </is>
      </c>
      <c r="S211" s="32" t="inlineStr">
        <is>
          <t>news media</t>
        </is>
      </c>
      <c r="T211" s="32" t="inlineStr">
        <is>
          <t>secondary reported</t>
        </is>
      </c>
      <c r="U211" s="32" t="inlineStr">
        <is>
          <t>Fee published in Registro Oficial 2025-06-20; ministry title per article.</t>
        </is>
      </c>
    </row>
    <row r="212" ht="45.75" customHeight="1" s="24">
      <c r="A212" s="31" t="inlineStr">
        <is>
          <t>PS-0201</t>
        </is>
      </c>
      <c r="B212" s="31" t="inlineStr">
        <is>
          <t>2025-06-19</t>
        </is>
      </c>
      <c r="C212" s="31" t="inlineStr">
        <is>
          <t>Mexico</t>
        </is>
      </c>
      <c r="D212" s="31" t="inlineStr">
        <is>
          <t>No</t>
        </is>
      </c>
      <c r="E212" s="32" t="inlineStr">
        <is>
          <t>Ernesto Sánchez Rodríguez</t>
        </is>
      </c>
      <c r="F212" s="32" t="inlineStr">
        <is>
          <t>Federal Deputy (PAN)</t>
        </is>
      </c>
      <c r="G212" s="32" t="inlineStr">
        <is>
          <t>LatAm legislature</t>
        </is>
      </c>
      <c r="H212" s="32" t="inlineStr">
        <is>
          <t>bill or law</t>
        </is>
      </c>
      <c r="I212" s="32" t="inlineStr">
        <is>
          <t>Announcement of constitutional reform initiative to dissolve LitioMx</t>
        </is>
      </c>
      <c r="J212" s="32" t="inlineStr">
        <is>
          <t>PAN deputy Sánchez announced an initiative to abolish LitioMx, calling it a bankrupt 'white elephant' with payroll spending but no extraction projects despite a budget increase.</t>
        </is>
      </c>
      <c r="K212" s="32" t="inlineStr">
        <is>
          <t>lithium</t>
        </is>
      </c>
      <c r="L212" s="32" t="inlineStr">
        <is>
          <t>state control nationalization, corruption governance</t>
        </is>
      </c>
      <c r="M212" s="31" t="inlineStr">
        <is>
          <t>not mentioned</t>
        </is>
      </c>
      <c r="N212" s="31" t="inlineStr">
        <is>
          <t>not mentioned</t>
        </is>
      </c>
      <c r="O212" s="32" t="inlineStr">
        <is>
          <t>Hablamos de la manada de elefantes blancos en la granja corrupta de Morena</t>
        </is>
      </c>
      <c r="P212" s="32" t="inlineStr">
        <is>
          <t>We are talking about the herd of white elephants on Morena's corrupt farm</t>
        </is>
      </c>
      <c r="Q212" s="31" t="inlineStr">
        <is>
          <t>es</t>
        </is>
      </c>
      <c r="R212" s="33" t="inlineStr">
        <is>
          <t>Quadratín</t>
        </is>
      </c>
      <c r="S212" s="32" t="inlineStr">
        <is>
          <t>news media</t>
        </is>
      </c>
      <c r="T212" s="32" t="inlineStr">
        <is>
          <t>secondary reported</t>
        </is>
      </c>
      <c r="U212" s="32" t="inlineStr"/>
    </row>
    <row r="213" ht="45.75" customHeight="1" s="24">
      <c r="A213" s="31" t="inlineStr">
        <is>
          <t>PS-0202</t>
        </is>
      </c>
      <c r="B213" s="31" t="inlineStr">
        <is>
          <t>2025-06-27</t>
        </is>
      </c>
      <c r="C213" s="31" t="inlineStr">
        <is>
          <t>Ecuador</t>
        </is>
      </c>
      <c r="D213" s="31" t="inlineStr">
        <is>
          <t>Yes</t>
        </is>
      </c>
      <c r="E213" s="32" t="inlineStr">
        <is>
          <t>Javier Subía</t>
        </is>
      </c>
      <c r="F213" s="32" t="inlineStr">
        <is>
          <t>Vice Minister of Mines of Ecuador</t>
        </is>
      </c>
      <c r="G213" s="32" t="inlineStr">
        <is>
          <t>LatAm executive</t>
        </is>
      </c>
      <c r="H213" s="32" t="inlineStr">
        <is>
          <t>interview</t>
        </is>
      </c>
      <c r="I213" s="32" t="inlineStr">
        <is>
          <t>Review of large-scale mining concessions</t>
        </is>
      </c>
      <c r="J213" s="32" t="inlineStr">
        <is>
          <t>The vice minister said the government was analysing reversal of some 275 large-scale concessions granted before 2018 that had made little investment or exploration progress, calling for idle areas to be activated.</t>
        </is>
      </c>
      <c r="K213" s="32" t="inlineStr">
        <is>
          <t>copper, silver, mining general</t>
        </is>
      </c>
      <c r="L213" s="32" t="inlineStr">
        <is>
          <t>foreign investment, state control nationalization, corruption governance</t>
        </is>
      </c>
      <c r="M213" s="31" t="inlineStr">
        <is>
          <t>neutral</t>
        </is>
      </c>
      <c r="N213" s="31" t="inlineStr">
        <is>
          <t>not mentioned</t>
        </is>
      </c>
      <c r="O213" s="32" t="inlineStr">
        <is>
          <t>El país no necesita una exploración que se transforma en una especulación</t>
        </is>
      </c>
      <c r="P213" s="32" t="inlineStr">
        <is>
          <t>The country does not need exploration that turns into speculation</t>
        </is>
      </c>
      <c r="Q213" s="31" t="inlineStr">
        <is>
          <t>es</t>
        </is>
      </c>
      <c r="R213" s="33" t="inlineStr">
        <is>
          <t>Primicias</t>
        </is>
      </c>
      <c r="S213" s="32" t="inlineStr">
        <is>
          <t>news media</t>
        </is>
      </c>
      <c r="T213" s="32" t="inlineStr">
        <is>
          <t>secondary reported</t>
        </is>
      </c>
      <c r="U213" s="32" t="inlineStr"/>
    </row>
    <row r="214" ht="45.75" customHeight="1" s="24">
      <c r="A214" s="31" t="inlineStr">
        <is>
          <t>PS-0203</t>
        </is>
      </c>
      <c r="B214" s="31" t="inlineStr">
        <is>
          <t>2025-06-30</t>
        </is>
      </c>
      <c r="C214" s="31" t="inlineStr">
        <is>
          <t>Chile</t>
        </is>
      </c>
      <c r="D214" s="31" t="inlineStr">
        <is>
          <t>Yes</t>
        </is>
      </c>
      <c r="E214" s="32" t="inlineStr">
        <is>
          <t>Chamber of Deputies of Chile</t>
        </is>
      </c>
      <c r="F214" s="32" t="inlineStr">
        <is>
          <t>Chamber of Deputies (plenary)</t>
        </is>
      </c>
      <c r="G214" s="32" t="inlineStr">
        <is>
          <t>LatAm legislature</t>
        </is>
      </c>
      <c r="H214" s="32" t="inlineStr">
        <is>
          <t>legislative debate</t>
        </is>
      </c>
      <c r="I214" s="32" t="inlineStr">
        <is>
          <t>Vote on report of special investigative commission on Codelco-SQM deal</t>
        </is>
      </c>
      <c r="J214" s="32" t="inlineStr">
        <is>
          <t>The Chamber approved 96-12-17 the investigative commission report recommending annulment of the Codelco-SQM deal, arguing direct negotiation instead of an international tender caused serious fiscal harm; the vote is non-binding.</t>
        </is>
      </c>
      <c r="K214" s="32" t="inlineStr">
        <is>
          <t>lithium</t>
        </is>
      </c>
      <c r="L214" s="32" t="inlineStr">
        <is>
          <t>corruption governance, state control nationalization</t>
        </is>
      </c>
      <c r="M214" s="31" t="inlineStr">
        <is>
          <t>not mentioned</t>
        </is>
      </c>
      <c r="N214" s="31" t="inlineStr">
        <is>
          <t>not mentioned</t>
        </is>
      </c>
      <c r="O214" s="32" t="inlineStr"/>
      <c r="P214" s="32" t="inlineStr"/>
      <c r="Q214" s="31" t="inlineStr">
        <is>
          <t>es</t>
        </is>
      </c>
      <c r="R214" s="33" t="inlineStr">
        <is>
          <t>El Dínamo</t>
        </is>
      </c>
      <c r="S214" s="32" t="inlineStr">
        <is>
          <t>news media</t>
        </is>
      </c>
      <c r="T214" s="32" t="inlineStr">
        <is>
          <t>secondary reported</t>
        </is>
      </c>
      <c r="U214" s="32" t="inlineStr"/>
    </row>
    <row r="215" ht="45.75" customHeight="1" s="24">
      <c r="A215" s="31" t="inlineStr">
        <is>
          <t>PS-0204</t>
        </is>
      </c>
      <c r="B215" s="31" t="inlineStr">
        <is>
          <t>2025-07</t>
        </is>
      </c>
      <c r="C215" s="31" t="inlineStr">
        <is>
          <t>Brazil</t>
        </is>
      </c>
      <c r="D215" s="31" t="inlineStr">
        <is>
          <t>Yes</t>
        </is>
      </c>
      <c r="E215" s="32" t="inlineStr">
        <is>
          <t>Gabriel Escobar</t>
        </is>
      </c>
      <c r="F215" s="32" t="inlineStr">
        <is>
          <t>Chargé d'affaires, U.S. Embassy in Brasília</t>
        </is>
      </c>
      <c r="G215" s="32" t="inlineStr">
        <is>
          <t>United States</t>
        </is>
      </c>
      <c r="H215" s="32" t="inlineStr">
        <is>
          <t>official statement</t>
        </is>
      </c>
      <c r="I215" s="32" t="inlineStr">
        <is>
          <t>Meeting with IBRAM president Raul Jungmann amid US-Brazil tariff dispute</t>
        </is>
      </c>
      <c r="J215" s="32" t="inlineStr">
        <is>
          <t>The US chargé d'affaires conveyed to Brazil's mining institute IBRAM the United States' interest in Brazil's strategic minerals such as lithium and niobium; IBRAM replied that any deal must go through the Lula government.</t>
        </is>
      </c>
      <c r="K215" s="32" t="inlineStr">
        <is>
          <t>lithium, niobium, critical minerals general</t>
        </is>
      </c>
      <c r="L215" s="32" t="inlineStr">
        <is>
          <t>foreign investment, diplomatic relations, trade deals offtake</t>
        </is>
      </c>
      <c r="M215" s="31" t="inlineStr">
        <is>
          <t>not mentioned</t>
        </is>
      </c>
      <c r="N215" s="31" t="inlineStr">
        <is>
          <t>positive</t>
        </is>
      </c>
      <c r="O215" s="32" t="inlineStr"/>
      <c r="P215" s="32" t="inlineStr"/>
      <c r="Q215" s="31" t="inlineStr">
        <is>
          <t>es</t>
        </is>
      </c>
      <c r="R215" s="33" t="inlineStr">
        <is>
          <t>RTVC (EFE)</t>
        </is>
      </c>
      <c r="S215" s="32" t="inlineStr">
        <is>
          <t>news media</t>
        </is>
      </c>
      <c r="T215" s="32" t="inlineStr">
        <is>
          <t>secondary reported</t>
        </is>
      </c>
      <c r="U215" s="32" t="inlineStr">
        <is>
          <t>Meeting occurred shortly before 25 Jul 2025; no direct quote from Escobar</t>
        </is>
      </c>
    </row>
    <row r="216" ht="45.75" customHeight="1" s="24">
      <c r="A216" s="31" t="inlineStr">
        <is>
          <t>PS-0413</t>
        </is>
      </c>
      <c r="B216" s="31" t="inlineStr">
        <is>
          <t>2025-07</t>
        </is>
      </c>
      <c r="C216" s="31" t="inlineStr">
        <is>
          <t>Bolivia</t>
        </is>
      </c>
      <c r="D216" s="31" t="inlineStr">
        <is>
          <t>Yes</t>
        </is>
      </c>
      <c r="E216" s="32" t="inlineStr">
        <is>
          <t>Wang Liang</t>
        </is>
      </c>
      <c r="F216" s="32" t="inlineStr">
        <is>
          <t>Ambassador of China to Bolivia</t>
        </is>
      </c>
      <c r="G216" s="32" t="inlineStr">
        <is>
          <t>China</t>
        </is>
      </c>
      <c r="H216" s="32" t="inlineStr">
        <is>
          <t>interview</t>
        </is>
      </c>
      <c r="I216" s="32" t="inlineStr">
        <is>
          <t>Interview while the YLB contracts with CBC (China) and Uranium One (Russia) were stalled in the Legislative Assembly</t>
        </is>
      </c>
      <c r="J216" s="32" t="inlineStr">
        <is>
          <t>Wang said China would not intervene in Bolivia's legislative affairs over the lithium contracts, that a company that signed with YLB bears its own responsibility, and reaffirmed support for Chinese private investment while respecting Bolivia's sovereignty.</t>
        </is>
      </c>
      <c r="K216" s="32" t="inlineStr">
        <is>
          <t>lithium</t>
        </is>
      </c>
      <c r="L216" s="32" t="inlineStr">
        <is>
          <t>sovereignty, foreign investment, state control nationalization</t>
        </is>
      </c>
      <c r="M216" s="31" t="inlineStr">
        <is>
          <t>positive</t>
        </is>
      </c>
      <c r="N216" s="31" t="inlineStr">
        <is>
          <t>not mentioned</t>
        </is>
      </c>
      <c r="O216" s="32" t="inlineStr">
        <is>
          <t>si firmó contratos con YLB, es su responsabilidad</t>
        </is>
      </c>
      <c r="P216" s="32" t="inlineStr">
        <is>
          <t>if it signed contracts with YLB, that is its responsibility</t>
        </is>
      </c>
      <c r="Q216" s="31" t="inlineStr">
        <is>
          <t>es</t>
        </is>
      </c>
      <c r="R216" s="33" t="inlineStr">
        <is>
          <t>Fundación Andrés Bello</t>
        </is>
      </c>
      <c r="S216" s="32" t="inlineStr">
        <is>
          <t>think tank or ngo</t>
        </is>
      </c>
      <c r="T216" s="32" t="inlineStr">
        <is>
          <t>secondary reported</t>
        </is>
      </c>
      <c r="U216" s="32" t="inlineStr">
        <is>
          <t>Coded by an AI session (2026-10-09) under the README vocabularies, from web-search results that cite the page; the page itself was not opened. Article of 17 July 2025 relaying a Radio Fides interview; month precision.</t>
        </is>
      </c>
    </row>
    <row r="217" ht="45.75" customHeight="1" s="24">
      <c r="A217" s="31" t="inlineStr">
        <is>
          <t>PS-0205</t>
        </is>
      </c>
      <c r="B217" s="31" t="inlineStr">
        <is>
          <t>2025-07-08</t>
        </is>
      </c>
      <c r="C217" s="31" t="inlineStr">
        <is>
          <t>Mexico</t>
        </is>
      </c>
      <c r="D217" s="31" t="inlineStr">
        <is>
          <t>No</t>
        </is>
      </c>
      <c r="E217" s="32" t="inlineStr">
        <is>
          <t>Marcelo Ebrard</t>
        </is>
      </c>
      <c r="F217" s="32" t="inlineStr">
        <is>
          <t>Secretary of Economy of Mexico</t>
        </is>
      </c>
      <c r="G217" s="32" t="inlineStr">
        <is>
          <t>LatAm executive</t>
        </is>
      </c>
      <c r="H217" s="32" t="inlineStr">
        <is>
          <t>press conference</t>
        </is>
      </c>
      <c r="I217" s="32" t="inlineStr">
        <is>
          <t>Reaction to Trump's announced 50% copper tariff</t>
        </is>
      </c>
      <c r="J217" s="32" t="inlineStr">
        <is>
          <t>Ebrard said Mexico first needed to understand what products the announced US 50% copper tariff would apply to, and planned talks with US officials.</t>
        </is>
      </c>
      <c r="K217" s="32" t="inlineStr">
        <is>
          <t>copper</t>
        </is>
      </c>
      <c r="L217" s="32" t="inlineStr">
        <is>
          <t>tariffs trade policy, diplomatic relations</t>
        </is>
      </c>
      <c r="M217" s="31" t="inlineStr">
        <is>
          <t>not mentioned</t>
        </is>
      </c>
      <c r="N217" s="31" t="inlineStr">
        <is>
          <t>neutral</t>
        </is>
      </c>
      <c r="O217" s="32" t="inlineStr">
        <is>
          <t>We need to know what it applies to. We're going to understand that first.</t>
        </is>
      </c>
      <c r="P217" s="32" t="inlineStr">
        <is>
          <t>We need to know what it applies to. We're going to understand that first.</t>
        </is>
      </c>
      <c r="Q217" s="31" t="inlineStr">
        <is>
          <t>en</t>
        </is>
      </c>
      <c r="R217" s="33" t="inlineStr">
        <is>
          <t>Mexico News Daily</t>
        </is>
      </c>
      <c r="S217" s="32" t="inlineStr">
        <is>
          <t>news media</t>
        </is>
      </c>
      <c r="T217" s="32" t="inlineStr">
        <is>
          <t>secondary reported</t>
        </is>
      </c>
      <c r="U217" s="32" t="inlineStr">
        <is>
          <t>Quote is MND English translation of Spanish original.</t>
        </is>
      </c>
    </row>
    <row r="218" ht="45.75" customHeight="1" s="24">
      <c r="A218" s="31" t="inlineStr">
        <is>
          <t>PS-0206</t>
        </is>
      </c>
      <c r="B218" s="31" t="inlineStr">
        <is>
          <t>2025-07-09</t>
        </is>
      </c>
      <c r="C218" s="31" t="inlineStr">
        <is>
          <t>Bolivia</t>
        </is>
      </c>
      <c r="D218" s="31" t="inlineStr">
        <is>
          <t>Yes</t>
        </is>
      </c>
      <c r="E218" s="32" t="inlineStr">
        <is>
          <t>Milton Huanca</t>
        </is>
      </c>
      <c r="F218" s="32" t="inlineStr">
        <is>
          <t>Vice President, Comité Cívico Potosinista (Comcipo)</t>
        </is>
      </c>
      <c r="G218" s="32" t="inlineStr">
        <is>
          <t>Other (business, civil society, third countries)</t>
        </is>
      </c>
      <c r="H218" s="32" t="inlineStr">
        <is>
          <t>press conference</t>
        </is>
      </c>
      <c r="I218" s="32" t="inlineStr">
        <is>
          <t>Comcipo vigil in Potosí against lithium contracts</t>
        </is>
      </c>
      <c r="J218" s="32" t="inlineStr">
        <is>
          <t>Comcipo launched a vigil in Potosí and threatened mobilizations in La Paz, rejecting approval of the Uranium One and CBC lithium contracts.</t>
        </is>
      </c>
      <c r="K218" s="32" t="inlineStr">
        <is>
          <t>lithium</t>
        </is>
      </c>
      <c r="L218" s="32" t="inlineStr">
        <is>
          <t>labor social conflict, sovereignty, environment water</t>
        </is>
      </c>
      <c r="M218" s="31" t="inlineStr">
        <is>
          <t>not mentioned</t>
        </is>
      </c>
      <c r="N218" s="31" t="inlineStr">
        <is>
          <t>not mentioned</t>
        </is>
      </c>
      <c r="O218" s="32" t="inlineStr">
        <is>
          <t>Decimos que no vamos a aceptar la aprobación de estos contratos, iremos a La Paz para movilizarnos</t>
        </is>
      </c>
      <c r="P218" s="32" t="inlineStr">
        <is>
          <t>We say we will not accept the approval of these contracts; we will go to La Paz to mobilize</t>
        </is>
      </c>
      <c r="Q218" s="31" t="inlineStr">
        <is>
          <t>es</t>
        </is>
      </c>
      <c r="R218" s="33" t="inlineStr">
        <is>
          <t>EJU.tv</t>
        </is>
      </c>
      <c r="S218" s="32" t="inlineStr">
        <is>
          <t>news media</t>
        </is>
      </c>
      <c r="T218" s="32" t="inlineStr">
        <is>
          <t>secondary reported</t>
        </is>
      </c>
      <c r="U218" s="32" t="inlineStr"/>
    </row>
    <row r="219" ht="45.75" customHeight="1" s="24">
      <c r="A219" s="31" t="inlineStr">
        <is>
          <t>PS-0207</t>
        </is>
      </c>
      <c r="B219" s="31" t="inlineStr">
        <is>
          <t>2025-07-09</t>
        </is>
      </c>
      <c r="C219" s="31" t="inlineStr">
        <is>
          <t>Brazil</t>
        </is>
      </c>
      <c r="D219" s="31" t="inlineStr">
        <is>
          <t>Yes</t>
        </is>
      </c>
      <c r="E219" s="32" t="inlineStr">
        <is>
          <t>Arnaldo Jardim</t>
        </is>
      </c>
      <c r="F219" s="32" t="inlineStr">
        <is>
          <t>Federal Deputy (Cidadania-SP), rapporteur of PL 2780/2024</t>
        </is>
      </c>
      <c r="G219" s="32" t="inlineStr">
        <is>
          <t>LatAm legislature</t>
        </is>
      </c>
      <c r="H219" s="32" t="inlineStr">
        <is>
          <t>interview</t>
        </is>
      </c>
      <c r="I219" s="32" t="inlineStr">
        <is>
          <t>Preparation of report on critical minerals framework</t>
        </is>
      </c>
      <c r="J219" s="32" t="inlineStr">
        <is>
          <t>Rapporteur Arnaldo Jardim said he aimed to deliver his report on the critical and strategic minerals bill by mid-August, in coordination with the Ministry of Mines and Energy, possibly via a government provisional measure or by endorsing the parliamentary draft.</t>
        </is>
      </c>
      <c r="K219" s="32" t="inlineStr">
        <is>
          <t>critical minerals general</t>
        </is>
      </c>
      <c r="L219" s="32" t="inlineStr">
        <is>
          <t>energy transition</t>
        </is>
      </c>
      <c r="M219" s="31" t="inlineStr">
        <is>
          <t>not mentioned</t>
        </is>
      </c>
      <c r="N219" s="31" t="inlineStr">
        <is>
          <t>not mentioned</t>
        </is>
      </c>
      <c r="O219" s="32" t="inlineStr">
        <is>
          <t>fazemos, de qualquer forma, em conjunto</t>
        </is>
      </c>
      <c r="P219" s="32" t="inlineStr">
        <is>
          <t>we do it jointly in any case</t>
        </is>
      </c>
      <c r="Q219" s="31" t="inlineStr">
        <is>
          <t>pt</t>
        </is>
      </c>
      <c r="R219" s="33" t="inlineStr">
        <is>
          <t>Agência iNFRA</t>
        </is>
      </c>
      <c r="S219" s="32" t="inlineStr">
        <is>
          <t>news media</t>
        </is>
      </c>
      <c r="T219" s="32" t="inlineStr">
        <is>
          <t>secondary reported</t>
        </is>
      </c>
      <c r="U219" s="32" t="inlineStr"/>
    </row>
    <row r="220" ht="45.75" customHeight="1" s="24">
      <c r="A220" s="31" t="inlineStr">
        <is>
          <t>PS-0208</t>
        </is>
      </c>
      <c r="B220" s="31" t="inlineStr">
        <is>
          <t>2025-07-09</t>
        </is>
      </c>
      <c r="C220" s="31" t="inlineStr">
        <is>
          <t>Chile</t>
        </is>
      </c>
      <c r="D220" s="31" t="inlineStr">
        <is>
          <t>Yes</t>
        </is>
      </c>
      <c r="E220" s="32" t="inlineStr">
        <is>
          <t>Gabriel Boric</t>
        </is>
      </c>
      <c r="F220" s="32" t="inlineStr">
        <is>
          <t>President of Chile</t>
        </is>
      </c>
      <c r="G220" s="32" t="inlineStr">
        <is>
          <t>LatAm executive</t>
        </is>
      </c>
      <c r="H220" s="32" t="inlineStr">
        <is>
          <t>press conference</t>
        </is>
      </c>
      <c r="I220" s="32" t="inlineStr">
        <is>
          <t>Reaction to Trump's announced 50% copper tariff</t>
        </is>
      </c>
      <c r="J220" s="32" t="inlineStr">
        <is>
          <t>Boric said the government would react cautiously and await official US communication on the copper tariff, that diplomacy is not done via social media, and that Chile's foreign policy is decided by its president.</t>
        </is>
      </c>
      <c r="K220" s="32" t="inlineStr">
        <is>
          <t>copper</t>
        </is>
      </c>
      <c r="L220" s="32" t="inlineStr">
        <is>
          <t>tariffs trade policy, diplomatic relations, sovereignty</t>
        </is>
      </c>
      <c r="M220" s="31" t="inlineStr">
        <is>
          <t>not mentioned</t>
        </is>
      </c>
      <c r="N220" s="31" t="inlineStr">
        <is>
          <t>mixed</t>
        </is>
      </c>
      <c r="O220" s="32" t="inlineStr">
        <is>
          <t>En diplomacia no se hace política por redes sociales, sino que mediante comunicaciones oficiales.</t>
        </is>
      </c>
      <c r="P220" s="32" t="inlineStr">
        <is>
          <t>In diplomacy, policy is not made through social media but through official communications.</t>
        </is>
      </c>
      <c r="Q220" s="31" t="inlineStr">
        <is>
          <t>es</t>
        </is>
      </c>
      <c r="R220" s="33" t="inlineStr">
        <is>
          <t>Meganoticias</t>
        </is>
      </c>
      <c r="S220" s="32" t="inlineStr">
        <is>
          <t>news media</t>
        </is>
      </c>
      <c r="T220" s="32" t="inlineStr">
        <is>
          <t>secondary reported</t>
        </is>
      </c>
      <c r="U220" s="32" t="inlineStr"/>
    </row>
    <row r="221" ht="45.75" customHeight="1" s="24">
      <c r="A221" s="31" t="inlineStr">
        <is>
          <t>PS-0209</t>
        </is>
      </c>
      <c r="B221" s="31" t="inlineStr">
        <is>
          <t>2025-07-09</t>
        </is>
      </c>
      <c r="C221" s="31" t="inlineStr">
        <is>
          <t>Mexico</t>
        </is>
      </c>
      <c r="D221" s="31" t="inlineStr">
        <is>
          <t>No</t>
        </is>
      </c>
      <c r="E221" s="32" t="inlineStr">
        <is>
          <t>Claudia Sheinbaum</t>
        </is>
      </c>
      <c r="F221" s="32" t="inlineStr">
        <is>
          <t>President of Mexico</t>
        </is>
      </c>
      <c r="G221" s="32" t="inlineStr">
        <is>
          <t>LatAm executive</t>
        </is>
      </c>
      <c r="H221" s="32" t="inlineStr">
        <is>
          <t>press conference</t>
        </is>
      </c>
      <c r="I221" s="32" t="inlineStr">
        <is>
          <t>Mañanera on US 50% copper tariff</t>
        </is>
      </c>
      <c r="J221" s="32" t="inlineStr">
        <is>
          <t>Sheinbaum noted Mexico exports more copper to China than to the US, much of the US-bound share being scrap refined there, said a delegation would negotiate in Washington and that Mexico would seek other export options.</t>
        </is>
      </c>
      <c r="K221" s="32" t="inlineStr">
        <is>
          <t>copper</t>
        </is>
      </c>
      <c r="L221" s="32" t="inlineStr">
        <is>
          <t>tariffs trade policy, trade deals offtake, diplomatic relations</t>
        </is>
      </c>
      <c r="M221" s="31" t="inlineStr">
        <is>
          <t>neutral</t>
        </is>
      </c>
      <c r="N221" s="31" t="inlineStr">
        <is>
          <t>mixed</t>
        </is>
      </c>
      <c r="O221" s="32" t="inlineStr">
        <is>
          <t>Nuestra responsabilidad es buscar la mejor negociación posible con Estados Unidos y, al mismo tiempo, buscar otras opciones para la producción nacional y la exportación a otros lugares.</t>
        </is>
      </c>
      <c r="P221" s="32" t="inlineStr">
        <is>
          <t>Our responsibility is to seek the best possible negotiation with the United States and, at the same time, seek other options for national production and export to other places.</t>
        </is>
      </c>
      <c r="Q221" s="31" t="inlineStr">
        <is>
          <t>es</t>
        </is>
      </c>
      <c r="R221" s="33" t="inlineStr">
        <is>
          <t>Expansión Política</t>
        </is>
      </c>
      <c r="S221" s="32" t="inlineStr">
        <is>
          <t>news media</t>
        </is>
      </c>
      <c r="T221" s="32" t="inlineStr">
        <is>
          <t>secondary reported</t>
        </is>
      </c>
      <c r="U221" s="32" t="inlineStr"/>
    </row>
    <row r="222" ht="45.75" customHeight="1" s="24">
      <c r="A222" s="31" t="inlineStr">
        <is>
          <t>PS-0210</t>
        </is>
      </c>
      <c r="B222" s="31" t="inlineStr">
        <is>
          <t>2025-07-09</t>
        </is>
      </c>
      <c r="C222" s="31" t="inlineStr">
        <is>
          <t>Mexico</t>
        </is>
      </c>
      <c r="D222" s="31" t="inlineStr">
        <is>
          <t>No</t>
        </is>
      </c>
      <c r="E222" s="32" t="inlineStr">
        <is>
          <t>Francisco Cervantes Díaz</t>
        </is>
      </c>
      <c r="F222" s="32" t="inlineStr">
        <is>
          <t>President of the Consejo Coordinador Empresarial (CCE)</t>
        </is>
      </c>
      <c r="G222" s="32" t="inlineStr">
        <is>
          <t>Other (business, civil society, third countries)</t>
        </is>
      </c>
      <c r="H222" s="32" t="inlineStr">
        <is>
          <t>press conference</t>
        </is>
      </c>
      <c r="I222" s="32" t="inlineStr">
        <is>
          <t>Business sector reaction to US 50% copper tariff</t>
        </is>
      </c>
      <c r="J222" s="32" t="inlineStr">
        <is>
          <t>The head of Mexico's main business council said the private sector did not understand the reasons for the US copper tariff given that copper is needed and produced in the region, noting Mexico is a top-four world producer.</t>
        </is>
      </c>
      <c r="K222" s="32" t="inlineStr">
        <is>
          <t>copper</t>
        </is>
      </c>
      <c r="L222" s="32" t="inlineStr">
        <is>
          <t>tariffs trade policy</t>
        </is>
      </c>
      <c r="M222" s="31" t="inlineStr">
        <is>
          <t>not mentioned</t>
        </is>
      </c>
      <c r="N222" s="31" t="inlineStr">
        <is>
          <t>negative</t>
        </is>
      </c>
      <c r="O222" s="32" t="inlineStr"/>
      <c r="P222" s="32" t="inlineStr"/>
      <c r="Q222" s="31" t="inlineStr">
        <is>
          <t>es</t>
        </is>
      </c>
      <c r="R222" s="33" t="inlineStr">
        <is>
          <t>Zeta Tijuana</t>
        </is>
      </c>
      <c r="S222" s="32" t="inlineStr">
        <is>
          <t>news media</t>
        </is>
      </c>
      <c r="T222" s="32" t="inlineStr">
        <is>
          <t>secondary reported</t>
        </is>
      </c>
      <c r="U222" s="32" t="inlineStr">
        <is>
          <t>Business actor.</t>
        </is>
      </c>
    </row>
    <row r="223" ht="45.75" customHeight="1" s="24">
      <c r="A223" s="31" t="inlineStr">
        <is>
          <t>PS-0211</t>
        </is>
      </c>
      <c r="B223" s="31" t="inlineStr">
        <is>
          <t>2025-07-10</t>
        </is>
      </c>
      <c r="C223" s="31" t="inlineStr">
        <is>
          <t>Bolivia</t>
        </is>
      </c>
      <c r="D223" s="31" t="inlineStr">
        <is>
          <t>Yes</t>
        </is>
      </c>
      <c r="E223" s="32" t="inlineStr">
        <is>
          <t>Luis Arce</t>
        </is>
      </c>
      <c r="F223" s="32" t="inlineStr">
        <is>
          <t>President of Bolivia</t>
        </is>
      </c>
      <c r="G223" s="32" t="inlineStr">
        <is>
          <t>LatAm executive</t>
        </is>
      </c>
      <c r="H223" s="32" t="inlineStr">
        <is>
          <t>official statement</t>
        </is>
      </c>
      <c r="I223" s="32" t="inlineStr">
        <is>
          <t>Delays in Chamber of Deputies treatment of lithium contracts</t>
        </is>
      </c>
      <c r="J223" s="32" t="inlineStr">
        <is>
          <t>Arce denied pressuring the legislature and said the Plurinational Legislative Assembly must meet its timelines for the lithium contracts submitted in 2024.</t>
        </is>
      </c>
      <c r="K223" s="32" t="inlineStr">
        <is>
          <t>lithium</t>
        </is>
      </c>
      <c r="L223" s="32" t="inlineStr">
        <is>
          <t>foreign investment, value added industrialization</t>
        </is>
      </c>
      <c r="M223" s="31" t="inlineStr">
        <is>
          <t>not mentioned</t>
        </is>
      </c>
      <c r="N223" s="31" t="inlineStr">
        <is>
          <t>not mentioned</t>
        </is>
      </c>
      <c r="O223" s="32" t="inlineStr">
        <is>
          <t>Aclaramos que nuestro Gobierno no ejerce ningún tipo de presión para la aprobación de esos contratos.</t>
        </is>
      </c>
      <c r="P223" s="32" t="inlineStr">
        <is>
          <t>We clarify that our Government exerts no pressure whatsoever for the approval of those contracts.</t>
        </is>
      </c>
      <c r="Q223" s="31" t="inlineStr">
        <is>
          <t>es</t>
        </is>
      </c>
      <c r="R223" s="33" t="inlineStr">
        <is>
          <t>Los Tiempos</t>
        </is>
      </c>
      <c r="S223" s="32" t="inlineStr">
        <is>
          <t>news media</t>
        </is>
      </c>
      <c r="T223" s="32" t="inlineStr">
        <is>
          <t>secondary reported</t>
        </is>
      </c>
      <c r="U223" s="32" t="inlineStr"/>
    </row>
    <row r="224" ht="45.75" customHeight="1" s="24">
      <c r="A224" s="31" t="inlineStr">
        <is>
          <t>PS-0212</t>
        </is>
      </c>
      <c r="B224" s="31" t="inlineStr">
        <is>
          <t>2025-07-10</t>
        </is>
      </c>
      <c r="C224" s="31" t="inlineStr">
        <is>
          <t>Chile</t>
        </is>
      </c>
      <c r="D224" s="31" t="inlineStr">
        <is>
          <t>Yes</t>
        </is>
      </c>
      <c r="E224" s="32" t="inlineStr">
        <is>
          <t>Alberto van Klaveren</t>
        </is>
      </c>
      <c r="F224" s="32" t="inlineStr">
        <is>
          <t>Minister of Foreign Affairs</t>
        </is>
      </c>
      <c r="G224" s="32" t="inlineStr">
        <is>
          <t>LatAm executive</t>
        </is>
      </c>
      <c r="H224" s="32" t="inlineStr">
        <is>
          <t>press conference</t>
        </is>
      </c>
      <c r="I224" s="32" t="inlineStr">
        <is>
          <t>Reaction to US 50% copper tariff announcement</t>
        </is>
      </c>
      <c r="J224" s="32" t="inlineStr">
        <is>
          <t>The foreign minister said Chile awaited the executive order, noted Chile exports high-quality cathodes to the US and said the world and the US would keep needing Chilean copper.</t>
        </is>
      </c>
      <c r="K224" s="32" t="inlineStr">
        <is>
          <t>copper</t>
        </is>
      </c>
      <c r="L224" s="32" t="inlineStr">
        <is>
          <t>tariffs trade policy, diplomatic relations</t>
        </is>
      </c>
      <c r="M224" s="31" t="inlineStr">
        <is>
          <t>not mentioned</t>
        </is>
      </c>
      <c r="N224" s="31" t="inlineStr">
        <is>
          <t>neutral</t>
        </is>
      </c>
      <c r="O224" s="32" t="inlineStr">
        <is>
          <t>el mundo va a seguir necesitando cobre chileno y EEUU va a necesitar nuestro cobre</t>
        </is>
      </c>
      <c r="P224" s="32" t="inlineStr">
        <is>
          <t>the world will keep needing Chilean copper and the US will need our copper</t>
        </is>
      </c>
      <c r="Q224" s="31" t="inlineStr">
        <is>
          <t>es</t>
        </is>
      </c>
      <c r="R224" s="33" t="inlineStr">
        <is>
          <t>Meganoticias</t>
        </is>
      </c>
      <c r="S224" s="32" t="inlineStr">
        <is>
          <t>news media</t>
        </is>
      </c>
      <c r="T224" s="32" t="inlineStr">
        <is>
          <t>secondary reported</t>
        </is>
      </c>
      <c r="U224" s="32" t="inlineStr"/>
    </row>
    <row r="225" ht="45.75" customHeight="1" s="24">
      <c r="A225" s="31" t="inlineStr">
        <is>
          <t>PS-0213</t>
        </is>
      </c>
      <c r="B225" s="31" t="inlineStr">
        <is>
          <t>2025-07-10</t>
        </is>
      </c>
      <c r="C225" s="31" t="inlineStr">
        <is>
          <t>Chile</t>
        </is>
      </c>
      <c r="D225" s="31" t="inlineStr">
        <is>
          <t>Yes</t>
        </is>
      </c>
      <c r="E225" s="32" t="inlineStr">
        <is>
          <t>Aurora Williams</t>
        </is>
      </c>
      <c r="F225" s="32" t="inlineStr">
        <is>
          <t>Minister of Mining</t>
        </is>
      </c>
      <c r="G225" s="32" t="inlineStr">
        <is>
          <t>LatAm executive</t>
        </is>
      </c>
      <c r="H225" s="32" t="inlineStr">
        <is>
          <t>press conference</t>
        </is>
      </c>
      <c r="I225" s="32" t="inlineStr">
        <is>
          <t>Reaction to US 50% copper tariff announcement</t>
        </is>
      </c>
      <c r="J225" s="32" t="inlineStr">
        <is>
          <t>The mining minister noted that only 11% of Chile's copper exports go to the US but Chilean copper makes up about 70% of US copper imports, stressing its quality and traceability.</t>
        </is>
      </c>
      <c r="K225" s="32" t="inlineStr">
        <is>
          <t>copper</t>
        </is>
      </c>
      <c r="L225" s="32" t="inlineStr">
        <is>
          <t>tariffs trade policy</t>
        </is>
      </c>
      <c r="M225" s="31" t="inlineStr">
        <is>
          <t>not mentioned</t>
        </is>
      </c>
      <c r="N225" s="31" t="inlineStr">
        <is>
          <t>neutral</t>
        </is>
      </c>
      <c r="O225" s="32" t="inlineStr">
        <is>
          <t>para EEUU el 70% de su importación corresponde a cobre chileno, un cobre que tiene una calidad debidamente demostrable</t>
        </is>
      </c>
      <c r="P225" s="32" t="inlineStr">
        <is>
          <t>for the US, 70% of its imports are Chilean copper, a copper of duly demonstrable quality</t>
        </is>
      </c>
      <c r="Q225" s="31" t="inlineStr">
        <is>
          <t>es</t>
        </is>
      </c>
      <c r="R225" s="33" t="inlineStr">
        <is>
          <t>Meganoticias</t>
        </is>
      </c>
      <c r="S225" s="32" t="inlineStr">
        <is>
          <t>news media</t>
        </is>
      </c>
      <c r="T225" s="32" t="inlineStr">
        <is>
          <t>secondary reported</t>
        </is>
      </c>
      <c r="U225" s="32" t="inlineStr"/>
    </row>
    <row r="226" ht="45.75" customHeight="1" s="24">
      <c r="A226" s="31" t="inlineStr">
        <is>
          <t>PS-0214</t>
        </is>
      </c>
      <c r="B226" s="31" t="inlineStr">
        <is>
          <t>2025-07-11</t>
        </is>
      </c>
      <c r="C226" s="31" t="inlineStr">
        <is>
          <t>Chile</t>
        </is>
      </c>
      <c r="D226" s="31" t="inlineStr">
        <is>
          <t>Yes</t>
        </is>
      </c>
      <c r="E226" s="32" t="inlineStr">
        <is>
          <t>Gabriel Boric</t>
        </is>
      </c>
      <c r="F226" s="32" t="inlineStr">
        <is>
          <t>President of Chile</t>
        </is>
      </c>
      <c r="G226" s="32" t="inlineStr">
        <is>
          <t>LatAm executive</t>
        </is>
      </c>
      <c r="H226" s="32" t="inlineStr">
        <is>
          <t>speech</t>
        </is>
      </c>
      <c r="I226" s="32" t="inlineStr">
        <is>
          <t>54th anniversary of copper nationalisation, El Teniente</t>
        </is>
      </c>
      <c r="J226" s="32" t="inlineStr">
        <is>
          <t>Responding to the planned US copper tariff, Boric called for national unity to defend copper, argued restricting copper worsens global warming and said Chile would keep selling to all countries that want to buy.</t>
        </is>
      </c>
      <c r="K226" s="32" t="inlineStr">
        <is>
          <t>copper</t>
        </is>
      </c>
      <c r="L226" s="32" t="inlineStr">
        <is>
          <t>tariffs trade policy, sovereignty, energy transition</t>
        </is>
      </c>
      <c r="M226" s="31" t="inlineStr">
        <is>
          <t>not mentioned</t>
        </is>
      </c>
      <c r="N226" s="31" t="inlineStr">
        <is>
          <t>negative</t>
        </is>
      </c>
      <c r="O226" s="32" t="inlineStr">
        <is>
          <t>Cuando nos tocan el cobre, salimos todos a defenderlo con unidad nacional</t>
        </is>
      </c>
      <c r="P226" s="32" t="inlineStr">
        <is>
          <t>When they touch our copper, we all come out to defend it with national unity</t>
        </is>
      </c>
      <c r="Q226" s="31" t="inlineStr">
        <is>
          <t>es</t>
        </is>
      </c>
      <c r="R226" s="33" t="inlineStr">
        <is>
          <t>El Mostrador</t>
        </is>
      </c>
      <c r="S226" s="32" t="inlineStr">
        <is>
          <t>news media</t>
        </is>
      </c>
      <c r="T226" s="32" t="inlineStr">
        <is>
          <t>secondary reported</t>
        </is>
      </c>
      <c r="U226" s="32" t="inlineStr"/>
    </row>
    <row r="227" ht="45.75" customHeight="1" s="24">
      <c r="A227" s="31" t="inlineStr">
        <is>
          <t>PS-0215</t>
        </is>
      </c>
      <c r="B227" s="31" t="inlineStr">
        <is>
          <t>2025-07-11</t>
        </is>
      </c>
      <c r="C227" s="31" t="inlineStr">
        <is>
          <t>Chile</t>
        </is>
      </c>
      <c r="D227" s="31" t="inlineStr">
        <is>
          <t>Yes</t>
        </is>
      </c>
      <c r="E227" s="32" t="inlineStr">
        <is>
          <t>Víctor Espinosa</t>
        </is>
      </c>
      <c r="F227" s="32" t="inlineStr">
        <is>
          <t>Economic adviser to presidential candidate Johannes Kaiser</t>
        </is>
      </c>
      <c r="G227" s="32" t="inlineStr">
        <is>
          <t>LatAm party/candidate</t>
        </is>
      </c>
      <c r="H227" s="32" t="inlineStr">
        <is>
          <t>campaign statement</t>
        </is>
      </c>
      <c r="I227" s="32" t="inlineStr">
        <is>
          <t>Presidential race reactions to US copper tariff</t>
        </is>
      </c>
      <c r="J227" s="32" t="inlineStr">
        <is>
          <t>Speaking for Kaiser's campaign amid cross-party recriminations over the US copper tariff, his economic adviser said the libertarians oppose protectionism.</t>
        </is>
      </c>
      <c r="K227" s="32" t="inlineStr">
        <is>
          <t>copper</t>
        </is>
      </c>
      <c r="L227" s="32" t="inlineStr">
        <is>
          <t>tariffs trade policy</t>
        </is>
      </c>
      <c r="M227" s="31" t="inlineStr">
        <is>
          <t>not mentioned</t>
        </is>
      </c>
      <c r="N227" s="31" t="inlineStr">
        <is>
          <t>mixed</t>
        </is>
      </c>
      <c r="O227" s="32" t="inlineStr">
        <is>
          <t>somos libertarios, no proteccionistas</t>
        </is>
      </c>
      <c r="P227" s="32" t="inlineStr">
        <is>
          <t>we are libertarians, not protectionists</t>
        </is>
      </c>
      <c r="Q227" s="31" t="inlineStr">
        <is>
          <t>es</t>
        </is>
      </c>
      <c r="R227" s="33" t="inlineStr">
        <is>
          <t>BioBioChile</t>
        </is>
      </c>
      <c r="S227" s="32" t="inlineStr">
        <is>
          <t>news media</t>
        </is>
      </c>
      <c r="T227" s="32" t="inlineStr">
        <is>
          <t>secondary reported</t>
        </is>
      </c>
      <c r="U227" s="32" t="inlineStr">
        <is>
          <t>Speaker is campaign adviser, not candidate</t>
        </is>
      </c>
    </row>
    <row r="228" ht="45.75" customHeight="1" s="24">
      <c r="A228" s="31" t="inlineStr">
        <is>
          <t>PS-0216</t>
        </is>
      </c>
      <c r="B228" s="31" t="inlineStr">
        <is>
          <t>2025-07-15</t>
        </is>
      </c>
      <c r="C228" s="31" t="inlineStr">
        <is>
          <t>Chile</t>
        </is>
      </c>
      <c r="D228" s="31" t="inlineStr">
        <is>
          <t>Yes</t>
        </is>
      </c>
      <c r="E228" s="32" t="inlineStr">
        <is>
          <t>Alberto van Klaveren</t>
        </is>
      </c>
      <c r="F228" s="32" t="inlineStr">
        <is>
          <t>Minister of Foreign Affairs</t>
        </is>
      </c>
      <c r="G228" s="32" t="inlineStr">
        <is>
          <t>LatAm executive</t>
        </is>
      </c>
      <c r="H228" s="32" t="inlineStr">
        <is>
          <t>legislative debate</t>
        </is>
      </c>
      <c r="I228" s="32" t="inlineStr">
        <is>
          <t>Joint session of Chamber Foreign Relations and Mining commissions on US copper surcharge</t>
        </is>
      </c>
      <c r="J228" s="32" t="inlineStr">
        <is>
          <t>Before deputies, van Klaveren said Chile wants the best possible relationship with the US but that no foreign partner can condition Chile's foreign policy; opposition deputies asked if government rhetoric provoked the tariff.</t>
        </is>
      </c>
      <c r="K228" s="32" t="inlineStr">
        <is>
          <t>copper</t>
        </is>
      </c>
      <c r="L228" s="32" t="inlineStr">
        <is>
          <t>tariffs trade policy, diplomatic relations, sovereignty</t>
        </is>
      </c>
      <c r="M228" s="31" t="inlineStr">
        <is>
          <t>not mentioned</t>
        </is>
      </c>
      <c r="N228" s="31" t="inlineStr">
        <is>
          <t>mixed</t>
        </is>
      </c>
      <c r="O228" s="32" t="inlineStr">
        <is>
          <t>ninguna relación exterior que tenga Chile con otro socio puede condicionar nuestra política exterior</t>
        </is>
      </c>
      <c r="P228" s="32" t="inlineStr">
        <is>
          <t>no foreign relationship Chile has with another partner can condition our foreign policy</t>
        </is>
      </c>
      <c r="Q228" s="31" t="inlineStr">
        <is>
          <t>es</t>
        </is>
      </c>
      <c r="R228" s="33" t="inlineStr">
        <is>
          <t>Cámara de Diputadas y Diputados</t>
        </is>
      </c>
      <c r="S228" s="32" t="inlineStr">
        <is>
          <t>legislative record</t>
        </is>
      </c>
      <c r="T228" s="32" t="inlineStr">
        <is>
          <t>primary verified</t>
        </is>
      </c>
      <c r="U228" s="32" t="inlineStr"/>
    </row>
    <row r="229" ht="45.75" customHeight="1" s="24">
      <c r="A229" s="31" t="inlineStr">
        <is>
          <t>PS-0217</t>
        </is>
      </c>
      <c r="B229" s="31" t="inlineStr">
        <is>
          <t>2025-07-15</t>
        </is>
      </c>
      <c r="C229" s="31" t="inlineStr">
        <is>
          <t>Chile</t>
        </is>
      </c>
      <c r="D229" s="31" t="inlineStr">
        <is>
          <t>Yes</t>
        </is>
      </c>
      <c r="E229" s="32" t="inlineStr">
        <is>
          <t>Máximo Pacheco</t>
        </is>
      </c>
      <c r="F229" s="32" t="inlineStr">
        <is>
          <t>Chairman of Codelco</t>
        </is>
      </c>
      <c r="G229" s="32" t="inlineStr">
        <is>
          <t>LatAm state company</t>
        </is>
      </c>
      <c r="H229" s="32" t="inlineStr">
        <is>
          <t>legislative debate</t>
        </is>
      </c>
      <c r="I229" s="32" t="inlineStr">
        <is>
          <t>Joint session of Chamber Foreign Relations and Mining commissions on US copper surcharge</t>
        </is>
      </c>
      <c r="J229" s="32" t="inlineStr">
        <is>
          <t>Pacheco told deputies the US would depend on Chilean copper for at least five more years regardless of the tariff, given its limited domestic production.</t>
        </is>
      </c>
      <c r="K229" s="32" t="inlineStr">
        <is>
          <t>copper</t>
        </is>
      </c>
      <c r="L229" s="32" t="inlineStr">
        <is>
          <t>tariffs trade policy</t>
        </is>
      </c>
      <c r="M229" s="31" t="inlineStr">
        <is>
          <t>not mentioned</t>
        </is>
      </c>
      <c r="N229" s="31" t="inlineStr">
        <is>
          <t>neutral</t>
        </is>
      </c>
      <c r="O229" s="32" t="inlineStr"/>
      <c r="P229" s="32" t="inlineStr"/>
      <c r="Q229" s="31" t="inlineStr">
        <is>
          <t>es</t>
        </is>
      </c>
      <c r="R229" s="33" t="inlineStr">
        <is>
          <t>Cámara de Diputadas y Diputados</t>
        </is>
      </c>
      <c r="S229" s="32" t="inlineStr">
        <is>
          <t>legislative record</t>
        </is>
      </c>
      <c r="T229" s="32" t="inlineStr">
        <is>
          <t>primary verified</t>
        </is>
      </c>
      <c r="U229" s="32" t="inlineStr">
        <is>
          <t>Paraphrase; no verbatim quote in source</t>
        </is>
      </c>
    </row>
    <row r="230" ht="45.75" customHeight="1" s="24">
      <c r="A230" s="31" t="inlineStr">
        <is>
          <t>PS-0218</t>
        </is>
      </c>
      <c r="B230" s="31" t="inlineStr">
        <is>
          <t>2025-07-17</t>
        </is>
      </c>
      <c r="C230" s="31" t="inlineStr">
        <is>
          <t>Bolivia</t>
        </is>
      </c>
      <c r="D230" s="31" t="inlineStr">
        <is>
          <t>Yes</t>
        </is>
      </c>
      <c r="E230" s="32" t="inlineStr">
        <is>
          <t>Wang Liang</t>
        </is>
      </c>
      <c r="F230" s="32" t="inlineStr">
        <is>
          <t>Chinese Ambassador to Bolivia</t>
        </is>
      </c>
      <c r="G230" s="32" t="inlineStr">
        <is>
          <t>China</t>
        </is>
      </c>
      <c r="H230" s="32" t="inlineStr">
        <is>
          <t>interview</t>
        </is>
      </c>
      <c r="I230" s="32" t="inlineStr">
        <is>
          <t>Radio Fides interview on lithium contracts</t>
        </is>
      </c>
      <c r="J230" s="32" t="inlineStr">
        <is>
          <t>The Chinese ambassador called the legislative dispute over lithium contracts an internal matter, said investment decisions belong to companies, and stressed mutual respect for Bolivian sovereignty.</t>
        </is>
      </c>
      <c r="K230" s="32" t="inlineStr">
        <is>
          <t>lithium</t>
        </is>
      </c>
      <c r="L230" s="32" t="inlineStr">
        <is>
          <t>foreign investment, sovereignty, diplomatic relations</t>
        </is>
      </c>
      <c r="M230" s="31" t="inlineStr">
        <is>
          <t>positive</t>
        </is>
      </c>
      <c r="N230" s="31" t="inlineStr">
        <is>
          <t>not mentioned</t>
        </is>
      </c>
      <c r="O230" s="32" t="inlineStr"/>
      <c r="P230" s="32" t="inlineStr"/>
      <c r="Q230" s="31" t="inlineStr">
        <is>
          <t>es</t>
        </is>
      </c>
      <c r="R230" s="33" t="inlineStr">
        <is>
          <t>Fundación Andrés Bello</t>
        </is>
      </c>
      <c r="S230" s="32" t="inlineStr">
        <is>
          <t>news media</t>
        </is>
      </c>
      <c r="T230" s="32" t="inlineStr">
        <is>
          <t>secondary reported</t>
        </is>
      </c>
      <c r="U230" s="32" t="inlineStr">
        <is>
          <t>Quote seen only in English translation from secondary (China-friendly) source; original Radio Fides interview in Spanish. Quote cleared: only translated wording seen.</t>
        </is>
      </c>
    </row>
    <row r="231" ht="45.75" customHeight="1" s="24">
      <c r="A231" s="31" t="inlineStr">
        <is>
          <t>PS-0219</t>
        </is>
      </c>
      <c r="B231" s="31" t="inlineStr">
        <is>
          <t>2025-07-22</t>
        </is>
      </c>
      <c r="C231" s="31" t="inlineStr">
        <is>
          <t>Argentina</t>
        </is>
      </c>
      <c r="D231" s="31" t="inlineStr">
        <is>
          <t>Yes</t>
        </is>
      </c>
      <c r="E231" s="32" t="inlineStr">
        <is>
          <t>Peter Lamelas</t>
        </is>
      </c>
      <c r="F231" s="32" t="inlineStr">
        <is>
          <t>U.S. Ambassador-designate to Argentina</t>
        </is>
      </c>
      <c r="G231" s="32" t="inlineStr">
        <is>
          <t>United States</t>
        </is>
      </c>
      <c r="H231" s="32" t="inlineStr">
        <is>
          <t>legislative debate</t>
        </is>
      </c>
      <c r="I231" s="32" t="inlineStr">
        <is>
          <t>Senate Foreign Relations Committee confirmation hearing</t>
        </is>
      </c>
      <c r="J231" s="32" t="inlineStr">
        <is>
          <t>At his confirmation hearing Lamelas warned that Argentine provincial governments could negotiate projects directly with the Chinese, which could lend itself to corruption, and pledged to visit governors; China's embassy accused him of a Cold War mentality.</t>
        </is>
      </c>
      <c r="K231" s="32" t="inlineStr">
        <is>
          <t>mining general</t>
        </is>
      </c>
      <c r="L231" s="32" t="inlineStr">
        <is>
          <t>geopolitics security, corruption governance, foreign investment</t>
        </is>
      </c>
      <c r="M231" s="31" t="inlineStr">
        <is>
          <t>negative</t>
        </is>
      </c>
      <c r="N231" s="31" t="inlineStr">
        <is>
          <t>positive</t>
        </is>
      </c>
      <c r="O231" s="32" t="inlineStr">
        <is>
          <t>could negotiate with external forces, like the Chinese or others, to come in and do projects in that particular province, and that may also lend towards corruption</t>
        </is>
      </c>
      <c r="P231" s="32" t="inlineStr">
        <is>
          <t>could negotiate with external forces, like the Chinese or others, to come in and do projects in that particular province, and that may also lend towards corruption</t>
        </is>
      </c>
      <c r="Q231" s="31" t="inlineStr">
        <is>
          <t>en</t>
        </is>
      </c>
      <c r="R231" s="33" t="inlineStr">
        <is>
          <t>Buenos Aires Herald</t>
        </is>
      </c>
      <c r="S231" s="32" t="inlineStr">
        <is>
          <t>news media</t>
        </is>
      </c>
      <c r="T231" s="32" t="inlineStr">
        <is>
          <t>secondary reported</t>
        </is>
      </c>
      <c r="U231" s="32" t="inlineStr">
        <is>
          <t>Minerals not explicitly named; Argentine provinces control mineral (lithium/copper) resources—relevance inferred</t>
        </is>
      </c>
    </row>
    <row r="232" ht="45.75" customHeight="1" s="24">
      <c r="A232" s="31" t="inlineStr">
        <is>
          <t>PS-0220</t>
        </is>
      </c>
      <c r="B232" s="31" t="inlineStr">
        <is>
          <t>2025-07-23</t>
        </is>
      </c>
      <c r="C232" s="31" t="inlineStr">
        <is>
          <t>Argentina</t>
        </is>
      </c>
      <c r="D232" s="31" t="inlineStr">
        <is>
          <t>Yes</t>
        </is>
      </c>
      <c r="E232" s="32" t="inlineStr">
        <is>
          <t>Embassy of the People's Republic of China in Argentina</t>
        </is>
      </c>
      <c r="F232" s="32" t="inlineStr">
        <is>
          <t>Chinese Embassy in Argentina</t>
        </is>
      </c>
      <c r="G232" s="32" t="inlineStr">
        <is>
          <t>China</t>
        </is>
      </c>
      <c r="H232" s="32" t="inlineStr">
        <is>
          <t>official statement</t>
        </is>
      </c>
      <c r="I232" s="32" t="inlineStr">
        <is>
          <t>Response to Lamelas Senate hearing remarks</t>
        </is>
      </c>
      <c r="J232" s="32" t="inlineStr">
        <is>
          <t>The Chinese embassy said Lamelas' remarks were full of ideological prejudice and Cold War mentality, that Argentina should not become a battlefield for great-power rivalry, and that China's cooperation rests on mutual respect and mutual benefit.</t>
        </is>
      </c>
      <c r="K232" s="32" t="inlineStr">
        <is>
          <t>critical minerals general</t>
        </is>
      </c>
      <c r="L232" s="32" t="inlineStr">
        <is>
          <t>geopolitics security, diplomatic relations</t>
        </is>
      </c>
      <c r="M232" s="31" t="inlineStr">
        <is>
          <t>positive</t>
        </is>
      </c>
      <c r="N232" s="31" t="inlineStr">
        <is>
          <t>negative</t>
        </is>
      </c>
      <c r="O232" s="32" t="inlineStr">
        <is>
          <t>La Argentina no debe convertirse en un 'campo de batalla' para luchas entre grandes potencias</t>
        </is>
      </c>
      <c r="P232" s="32" t="inlineStr">
        <is>
          <t>Argentina must not become a 'battlefield' for struggles between great powers</t>
        </is>
      </c>
      <c r="Q232" s="31" t="inlineStr">
        <is>
          <t>es</t>
        </is>
      </c>
      <c r="R232" s="33" t="inlineStr">
        <is>
          <t>La Nación</t>
        </is>
      </c>
      <c r="S232" s="32" t="inlineStr">
        <is>
          <t>news media</t>
        </is>
      </c>
      <c r="T232" s="32" t="inlineStr">
        <is>
          <t>secondary reported</t>
        </is>
      </c>
      <c r="U232" s="32" t="inlineStr">
        <is>
          <t>Statement does not itself name minerals; responds to remarks on provinces/critical minerals.</t>
        </is>
      </c>
    </row>
    <row r="233" ht="45.75" customHeight="1" s="24">
      <c r="A233" s="31" t="inlineStr">
        <is>
          <t>PS-0221</t>
        </is>
      </c>
      <c r="B233" s="31" t="inlineStr">
        <is>
          <t>2025-07-23</t>
        </is>
      </c>
      <c r="C233" s="31" t="inlineStr">
        <is>
          <t>Argentina</t>
        </is>
      </c>
      <c r="D233" s="31" t="inlineStr">
        <is>
          <t>Yes</t>
        </is>
      </c>
      <c r="E233" s="32" t="inlineStr">
        <is>
          <t>Luis Caputo</t>
        </is>
      </c>
      <c r="F233" s="32" t="inlineStr">
        <is>
          <t>Minister of Economy of Argentina</t>
        </is>
      </c>
      <c r="G233" s="32" t="inlineStr">
        <is>
          <t>LatAm executive</t>
        </is>
      </c>
      <c r="H233" s="32" t="inlineStr">
        <is>
          <t>social media post</t>
        </is>
      </c>
      <c r="I233" s="32" t="inlineStr">
        <is>
          <t>RIGI evaluation committee decisions</t>
        </is>
      </c>
      <c r="J233" s="32" t="inlineStr">
        <is>
          <t>Caputo announced on X approval of Galan Lithium's project as the sixth RIGI project and the rejection of Ganfeng's Mariana lithium project, explaining it had started in 2022 and was inaugurated before applying, so did not meet entry requirements.</t>
        </is>
      </c>
      <c r="K233" s="32" t="inlineStr">
        <is>
          <t>lithium</t>
        </is>
      </c>
      <c r="L233" s="32" t="inlineStr">
        <is>
          <t>foreign investment, royalties taxation</t>
        </is>
      </c>
      <c r="M233" s="31" t="inlineStr">
        <is>
          <t>neutral</t>
        </is>
      </c>
      <c r="N233" s="31" t="inlineStr">
        <is>
          <t>not mentioned</t>
        </is>
      </c>
      <c r="O233" s="32" t="inlineStr">
        <is>
          <t>El proyecto había arrancado en 2022 y fue inaugurado a principios de este año casi al mismo tiempo que presentó su solicitud de ingreso.</t>
        </is>
      </c>
      <c r="P233" s="32" t="inlineStr">
        <is>
          <t>The project had started in 2022 and was inaugurated at the start of this year almost at the same time it submitted its application.</t>
        </is>
      </c>
      <c r="Q233" s="31" t="inlineStr">
        <is>
          <t>es</t>
        </is>
      </c>
      <c r="R233" s="33" t="inlineStr">
        <is>
          <t>La Nación</t>
        </is>
      </c>
      <c r="S233" s="32" t="inlineStr">
        <is>
          <t>news media</t>
        </is>
      </c>
      <c r="T233" s="32" t="inlineStr">
        <is>
          <t>secondary reported</t>
        </is>
      </c>
      <c r="U233" s="32" t="inlineStr">
        <is>
          <t>First RIGI rejection; quote attributed by La Nación to Caputo's X post, full post not seen.</t>
        </is>
      </c>
    </row>
    <row r="234" ht="45.75" customHeight="1" s="24">
      <c r="A234" s="31" t="inlineStr">
        <is>
          <t>PS-0222</t>
        </is>
      </c>
      <c r="B234" s="31" t="inlineStr">
        <is>
          <t>2025-07-25</t>
        </is>
      </c>
      <c r="C234" s="31" t="inlineStr">
        <is>
          <t>Brazil</t>
        </is>
      </c>
      <c r="D234" s="31" t="inlineStr">
        <is>
          <t>Yes</t>
        </is>
      </c>
      <c r="E234" s="32" t="inlineStr">
        <is>
          <t>Luiz Inácio Lula da Silva</t>
        </is>
      </c>
      <c r="F234" s="32" t="inlineStr">
        <is>
          <t>President of Brazil</t>
        </is>
      </c>
      <c r="G234" s="32" t="inlineStr">
        <is>
          <t>LatAm executive</t>
        </is>
      </c>
      <c r="H234" s="32" t="inlineStr">
        <is>
          <t>speech</t>
        </is>
      </c>
      <c r="I234" s="32" t="inlineStr">
        <is>
          <t>Response to US interest in Brazilian strategic minerals amid tariff threat</t>
        </is>
      </c>
      <c r="J234" s="32" t="inlineStr">
        <is>
          <t>Reacting to reports that the US embassy had expressed interest in Brazil's strategic minerals, Lula said nobody would 'lay a hand' on Brazil's resources and asked the US government for respect for the Brazilian people.</t>
        </is>
      </c>
      <c r="K234" s="32" t="inlineStr">
        <is>
          <t>critical minerals general, lithium, niobium</t>
        </is>
      </c>
      <c r="L234" s="32" t="inlineStr">
        <is>
          <t>sovereignty, tariffs trade policy, geopolitics security</t>
        </is>
      </c>
      <c r="M234" s="31" t="inlineStr">
        <is>
          <t>not mentioned</t>
        </is>
      </c>
      <c r="N234" s="31" t="inlineStr">
        <is>
          <t>negative</t>
        </is>
      </c>
      <c r="O234" s="32" t="inlineStr"/>
      <c r="P234" s="32" t="inlineStr"/>
      <c r="Q234" s="31" t="inlineStr">
        <is>
          <t>es</t>
        </is>
      </c>
      <c r="R234" s="33" t="inlineStr">
        <is>
          <t>RTVC (EFE)</t>
        </is>
      </c>
      <c r="S234" s="32" t="inlineStr">
        <is>
          <t>news media</t>
        </is>
      </c>
      <c r="T234" s="32" t="inlineStr">
        <is>
          <t>secondary reported</t>
        </is>
      </c>
      <c r="U234" s="32" t="inlineStr">
        <is>
          <t>Source in Spanish translation; Portuguese original 'aqui ninguém põe a mão' not verified verbatim</t>
        </is>
      </c>
    </row>
    <row r="235" ht="45.75" customHeight="1" s="24">
      <c r="A235" s="31" t="inlineStr">
        <is>
          <t>PS-0223</t>
        </is>
      </c>
      <c r="B235" s="31" t="inlineStr">
        <is>
          <t>2025-07-28</t>
        </is>
      </c>
      <c r="C235" s="31" t="inlineStr">
        <is>
          <t>Brazil</t>
        </is>
      </c>
      <c r="D235" s="31" t="inlineStr">
        <is>
          <t>Yes</t>
        </is>
      </c>
      <c r="E235" s="32" t="inlineStr">
        <is>
          <t>Luiz Inácio Lula da Silva</t>
        </is>
      </c>
      <c r="F235" s="32" t="inlineStr">
        <is>
          <t>President of Brazil</t>
        </is>
      </c>
      <c r="G235" s="32" t="inlineStr">
        <is>
          <t>LatAm executive</t>
        </is>
      </c>
      <c r="H235" s="32" t="inlineStr">
        <is>
          <t>speech</t>
        </is>
      </c>
      <c r="I235" s="32" t="inlineStr">
        <is>
          <t>Inauguration of GNA II thermal plant, Porto do Açu (RJ)</t>
        </is>
      </c>
      <c r="J235" s="32" t="inlineStr">
        <is>
          <t>Days after the US chargé d'affaires signalled Washington's interest in Brazilian critical minerals, Lula asserted sovereign control, saying companies may only research under Brazilian control and the Brazilian people must benefit from the wealth.</t>
        </is>
      </c>
      <c r="K235" s="32" t="inlineStr">
        <is>
          <t>critical minerals general</t>
        </is>
      </c>
      <c r="L235" s="32" t="inlineStr">
        <is>
          <t>sovereignty, state control nationalization, geopolitics security</t>
        </is>
      </c>
      <c r="M235" s="31" t="inlineStr">
        <is>
          <t>not mentioned</t>
        </is>
      </c>
      <c r="N235" s="31" t="inlineStr">
        <is>
          <t>negative</t>
        </is>
      </c>
      <c r="O235" s="32" t="inlineStr">
        <is>
          <t>Nós temos que dar autorização para a empresa pesquisar sob o nosso controle.</t>
        </is>
      </c>
      <c r="P235" s="32" t="inlineStr">
        <is>
          <t>We have to authorise the company to research under our control.</t>
        </is>
      </c>
      <c r="Q235" s="31" t="inlineStr">
        <is>
          <t>pt</t>
        </is>
      </c>
      <c r="R235" s="33" t="inlineStr">
        <is>
          <t>Jornal do Brasil</t>
        </is>
      </c>
      <c r="S235" s="32" t="inlineStr">
        <is>
          <t>news media</t>
        </is>
      </c>
      <c r="T235" s="32" t="inlineStr">
        <is>
          <t>secondary reported</t>
        </is>
      </c>
      <c r="U235" s="32" t="inlineStr"/>
    </row>
    <row r="236" ht="45.75" customHeight="1" s="24">
      <c r="A236" s="31" t="inlineStr">
        <is>
          <t>PS-0224</t>
        </is>
      </c>
      <c r="B236" s="31" t="inlineStr">
        <is>
          <t>2025-07-30</t>
        </is>
      </c>
      <c r="C236" s="31" t="inlineStr">
        <is>
          <t>Chile</t>
        </is>
      </c>
      <c r="D236" s="31" t="inlineStr">
        <is>
          <t>Yes</t>
        </is>
      </c>
      <c r="E236" s="32" t="inlineStr">
        <is>
          <t>Alberto van Klaveren</t>
        </is>
      </c>
      <c r="F236" s="32" t="inlineStr">
        <is>
          <t>Minister of Foreign Affairs</t>
        </is>
      </c>
      <c r="G236" s="32" t="inlineStr">
        <is>
          <t>LatAm executive</t>
        </is>
      </c>
      <c r="H236" s="32" t="inlineStr">
        <is>
          <t>official statement</t>
        </is>
      </c>
      <c r="I236" s="32" t="inlineStr">
        <is>
          <t>US proclamation excluding refined copper/cathodes from 50% Section 232 tariff</t>
        </is>
      </c>
      <c r="J236" s="32" t="inlineStr">
        <is>
          <t>The government welcomed the US decision to exclude cathodes and main Chilean copper products from the 50% Section 232 tariff, applying it only to semi-finished products.</t>
        </is>
      </c>
      <c r="K236" s="32" t="inlineStr">
        <is>
          <t>copper</t>
        </is>
      </c>
      <c r="L236" s="32" t="inlineStr">
        <is>
          <t>tariffs trade policy, diplomatic relations</t>
        </is>
      </c>
      <c r="M236" s="31" t="inlineStr">
        <is>
          <t>not mentioned</t>
        </is>
      </c>
      <c r="N236" s="31" t="inlineStr">
        <is>
          <t>positive</t>
        </is>
      </c>
      <c r="O236" s="32" t="inlineStr">
        <is>
          <t>la tasa que se había anunciado del 50% no se aplica a los principales productos</t>
        </is>
      </c>
      <c r="P236" s="32" t="inlineStr">
        <is>
          <t>the 50% rate that had been announced does not apply to the main products</t>
        </is>
      </c>
      <c r="Q236" s="31" t="inlineStr">
        <is>
          <t>es</t>
        </is>
      </c>
      <c r="R236" s="33" t="inlineStr">
        <is>
          <t>Reporte Minero</t>
        </is>
      </c>
      <c r="S236" s="32" t="inlineStr">
        <is>
          <t>news media</t>
        </is>
      </c>
      <c r="T236" s="32" t="inlineStr">
        <is>
          <t>secondary reported</t>
        </is>
      </c>
      <c r="U236" s="32" t="inlineStr"/>
    </row>
    <row r="237" ht="45.75" customHeight="1" s="24">
      <c r="A237" s="31" t="inlineStr">
        <is>
          <t>PS-0225</t>
        </is>
      </c>
      <c r="B237" s="31" t="inlineStr">
        <is>
          <t>2025-07-30</t>
        </is>
      </c>
      <c r="C237" s="31" t="inlineStr">
        <is>
          <t>Chile</t>
        </is>
      </c>
      <c r="D237" s="31" t="inlineStr">
        <is>
          <t>Yes</t>
        </is>
      </c>
      <c r="E237" s="32" t="inlineStr">
        <is>
          <t>Aurora Williams</t>
        </is>
      </c>
      <c r="F237" s="32" t="inlineStr">
        <is>
          <t>Minister of Mining</t>
        </is>
      </c>
      <c r="G237" s="32" t="inlineStr">
        <is>
          <t>LatAm executive</t>
        </is>
      </c>
      <c r="H237" s="32" t="inlineStr">
        <is>
          <t>official statement</t>
        </is>
      </c>
      <c r="I237" s="32" t="inlineStr">
        <is>
          <t>US proclamation excluding refined copper from 50% tariff</t>
        </is>
      </c>
      <c r="J237" s="32" t="inlineStr">
        <is>
          <t>Williams said the US exclusion reinforced Chile's standing and that work must continue to position the minerals the world needs and open new markets.</t>
        </is>
      </c>
      <c r="K237" s="32" t="inlineStr">
        <is>
          <t>copper, critical minerals general</t>
        </is>
      </c>
      <c r="L237" s="32" t="inlineStr">
        <is>
          <t>tariffs trade policy, trade deals offtake</t>
        </is>
      </c>
      <c r="M237" s="31" t="inlineStr">
        <is>
          <t>not mentioned</t>
        </is>
      </c>
      <c r="N237" s="31" t="inlineStr">
        <is>
          <t>neutral</t>
        </is>
      </c>
      <c r="O237" s="32" t="inlineStr">
        <is>
          <t>El trabajo no termina acá. Es clave continuar instalando el rol de estos minerales que el mundo necesita y abrir nuevos mercados</t>
        </is>
      </c>
      <c r="P237" s="32" t="inlineStr">
        <is>
          <t>The work does not end here. It is key to keep establishing the role of these minerals the world needs and open new markets</t>
        </is>
      </c>
      <c r="Q237" s="31" t="inlineStr">
        <is>
          <t>es</t>
        </is>
      </c>
      <c r="R237" s="33" t="inlineStr">
        <is>
          <t>Reporte Minero</t>
        </is>
      </c>
      <c r="S237" s="32" t="inlineStr">
        <is>
          <t>news media</t>
        </is>
      </c>
      <c r="T237" s="32" t="inlineStr">
        <is>
          <t>secondary reported</t>
        </is>
      </c>
      <c r="U237" s="32" t="inlineStr"/>
    </row>
    <row r="238" ht="45.75" customHeight="1" s="24">
      <c r="A238" s="31" t="inlineStr">
        <is>
          <t>PS-0226</t>
        </is>
      </c>
      <c r="B238" s="31" t="inlineStr">
        <is>
          <t>2025-07-30</t>
        </is>
      </c>
      <c r="C238" s="31" t="inlineStr">
        <is>
          <t>Chile</t>
        </is>
      </c>
      <c r="D238" s="31" t="inlineStr">
        <is>
          <t>Yes</t>
        </is>
      </c>
      <c r="E238" s="32" t="inlineStr">
        <is>
          <t>Mario Marcel</t>
        </is>
      </c>
      <c r="F238" s="32" t="inlineStr">
        <is>
          <t>Minister of Finance</t>
        </is>
      </c>
      <c r="G238" s="32" t="inlineStr">
        <is>
          <t>LatAm executive</t>
        </is>
      </c>
      <c r="H238" s="32" t="inlineStr">
        <is>
          <t>official statement</t>
        </is>
      </c>
      <c r="I238" s="32" t="inlineStr">
        <is>
          <t>US proclamation excluding refined copper from 50% tariff</t>
        </is>
      </c>
      <c r="J238" s="32" t="inlineStr">
        <is>
          <t>Marcel attributed the copper tariff exclusion to coordinated government work rather than luck.</t>
        </is>
      </c>
      <c r="K238" s="32" t="inlineStr">
        <is>
          <t>copper</t>
        </is>
      </c>
      <c r="L238" s="32" t="inlineStr">
        <is>
          <t>tariffs trade policy, diplomatic relations</t>
        </is>
      </c>
      <c r="M238" s="31" t="inlineStr">
        <is>
          <t>not mentioned</t>
        </is>
      </c>
      <c r="N238" s="31" t="inlineStr">
        <is>
          <t>neutral</t>
        </is>
      </c>
      <c r="O238" s="32" t="inlineStr">
        <is>
          <t>Haber llegado hasta acá no es fruto de la suerte. Aquí hubo un trabajo coordinado</t>
        </is>
      </c>
      <c r="P238" s="32" t="inlineStr">
        <is>
          <t>Getting here is not the fruit of luck. There was coordinated work here</t>
        </is>
      </c>
      <c r="Q238" s="31" t="inlineStr">
        <is>
          <t>es</t>
        </is>
      </c>
      <c r="R238" s="33" t="inlineStr">
        <is>
          <t>Reporte Minero</t>
        </is>
      </c>
      <c r="S238" s="32" t="inlineStr">
        <is>
          <t>news media</t>
        </is>
      </c>
      <c r="T238" s="32" t="inlineStr">
        <is>
          <t>secondary reported</t>
        </is>
      </c>
      <c r="U238" s="32" t="inlineStr"/>
    </row>
    <row r="239" ht="45.75" customHeight="1" s="24">
      <c r="A239" s="31" t="inlineStr">
        <is>
          <t>PS-0227</t>
        </is>
      </c>
      <c r="B239" s="31" t="inlineStr">
        <is>
          <t>2025-07-30</t>
        </is>
      </c>
      <c r="C239" s="31" t="inlineStr">
        <is>
          <t>Regional</t>
        </is>
      </c>
      <c r="D239" s="31" t="inlineStr">
        <is>
          <t>No</t>
        </is>
      </c>
      <c r="E239" s="32" t="inlineStr">
        <is>
          <t>Donald Trump</t>
        </is>
      </c>
      <c r="F239" s="32" t="inlineStr">
        <is>
          <t>President of the United States</t>
        </is>
      </c>
      <c r="G239" s="32" t="inlineStr">
        <is>
          <t>United States</t>
        </is>
      </c>
      <c r="H239" s="32" t="inlineStr">
        <is>
          <t>decree or regulation</t>
        </is>
      </c>
      <c r="I239" s="32" t="inlineStr">
        <is>
          <t>Proclamation 'Adjusting Imports of Copper into the United States' (Section 232)</t>
        </is>
      </c>
      <c r="J239" s="32" t="inlineStr">
        <is>
          <t>Trump imposed a 50% Section 232 tariff on semi-finished copper products and intensive derivatives from 1 August 2025 while leaving ores, concentrates and cathodes out, citing a single foreign country's dominance of global smelting and refining.</t>
        </is>
      </c>
      <c r="K239" s="32" t="inlineStr">
        <is>
          <t>copper</t>
        </is>
      </c>
      <c r="L239" s="32" t="inlineStr">
        <is>
          <t>tariffs trade policy, geopolitics security, processing refining</t>
        </is>
      </c>
      <c r="M239" s="31" t="inlineStr">
        <is>
          <t>negative</t>
        </is>
      </c>
      <c r="N239" s="31" t="inlineStr">
        <is>
          <t>positive</t>
        </is>
      </c>
      <c r="O239" s="32" t="inlineStr">
        <is>
          <t>Today, a single foreign country dominates global copper smelting and refining, controlling over 50 percent of global smelting capacity</t>
        </is>
      </c>
      <c r="P239" s="32" t="inlineStr">
        <is>
          <t>Today, a single foreign country dominates global copper smelting and refining, controlling over 50 percent of global smelting capacity</t>
        </is>
      </c>
      <c r="Q239" s="31" t="inlineStr">
        <is>
          <t>en</t>
        </is>
      </c>
      <c r="R239" s="33" t="inlineStr">
        <is>
          <t>The White House</t>
        </is>
      </c>
      <c r="S239" s="32" t="inlineStr">
        <is>
          <t>primary official</t>
        </is>
      </c>
      <c r="T239" s="32" t="inlineStr">
        <is>
          <t>primary verified</t>
        </is>
      </c>
      <c r="U239" s="32" t="inlineStr">
        <is>
          <t>Global measure, no LatAm country named; relevant to Chile/Peru as main copper suppliers; cathode exclusion reported by CTV/Reuters https://www.ctvnews.ca/world/trumps-tariffs/article/trump-imposes-50-tariff-on-copper-imports-white-house-says/ . 'Single foreign country' implicitly China (not named).</t>
        </is>
      </c>
    </row>
    <row r="240" ht="45.75" customHeight="1" s="24">
      <c r="A240" s="31" t="inlineStr">
        <is>
          <t>PS-0228</t>
        </is>
      </c>
      <c r="B240" s="31" t="inlineStr">
        <is>
          <t>2025-08</t>
        </is>
      </c>
      <c r="C240" s="31" t="inlineStr">
        <is>
          <t>Brazil</t>
        </is>
      </c>
      <c r="D240" s="31" t="inlineStr">
        <is>
          <t>Yes</t>
        </is>
      </c>
      <c r="E240" s="32" t="inlineStr">
        <is>
          <t>American Iron and Steel Institute (Kevin Dempsey)</t>
        </is>
      </c>
      <c r="F240" s="32" t="inlineStr">
        <is>
          <t>US steel industry association</t>
        </is>
      </c>
      <c r="G240" s="32" t="inlineStr">
        <is>
          <t>United States</t>
        </is>
      </c>
      <c r="H240" s="32" t="inlineStr">
        <is>
          <t>official statement</t>
        </is>
      </c>
      <c r="I240" s="32" t="inlineStr">
        <is>
          <t>Letter to USTR urging intervention in Anglo American nickel sale to MMG</t>
        </is>
      </c>
      <c r="J240" s="32" t="inlineStr">
        <is>
          <t>AISI asked the Trump administration to intervene against the sale of Anglo American's Goiás nickel plants to MMG, warning it would strengthen China's dominance of nickel and urging Brazil to keep strategic assets in market-oriented ownership.</t>
        </is>
      </c>
      <c r="K240" s="32" t="inlineStr">
        <is>
          <t>nickel</t>
        </is>
      </c>
      <c r="L240" s="32" t="inlineStr">
        <is>
          <t>geopolitics security, foreign investment</t>
        </is>
      </c>
      <c r="M240" s="31" t="inlineStr">
        <is>
          <t>negative</t>
        </is>
      </c>
      <c r="N240" s="31" t="inlineStr">
        <is>
          <t>positive</t>
        </is>
      </c>
      <c r="O240" s="32" t="inlineStr"/>
      <c r="P240" s="32" t="inlineStr"/>
      <c r="Q240" s="31" t="inlineStr">
        <is>
          <t>pt</t>
        </is>
      </c>
      <c r="R240" s="33" t="inlineStr">
        <is>
          <t>Jornal Opção</t>
        </is>
      </c>
      <c r="S240" s="32" t="inlineStr">
        <is>
          <t>news media</t>
        </is>
      </c>
      <c r="T240" s="32" t="inlineStr">
        <is>
          <t>secondary reported</t>
        </is>
      </c>
      <c r="U240" s="32" t="inlineStr">
        <is>
          <t>Industry actor, not government</t>
        </is>
      </c>
    </row>
    <row r="241" ht="45.75" customHeight="1" s="24">
      <c r="A241" s="31" t="inlineStr">
        <is>
          <t>PS-0229</t>
        </is>
      </c>
      <c r="B241" s="31" t="inlineStr">
        <is>
          <t>2025-08</t>
        </is>
      </c>
      <c r="C241" s="31" t="inlineStr">
        <is>
          <t>Brazil</t>
        </is>
      </c>
      <c r="D241" s="31" t="inlineStr">
        <is>
          <t>Yes</t>
        </is>
      </c>
      <c r="E241" s="32" t="inlineStr">
        <is>
          <t>Conselho Administrativo de Defesa Econômica (CADE)</t>
        </is>
      </c>
      <c r="F241" s="32" t="inlineStr">
        <is>
          <t>Brazilian antitrust authority</t>
        </is>
      </c>
      <c r="G241" s="32" t="inlineStr">
        <is>
          <t>LatAm executive</t>
        </is>
      </c>
      <c r="H241" s="32" t="inlineStr">
        <is>
          <t>decree or regulation</t>
        </is>
      </c>
      <c r="I241" s="32" t="inlineStr">
        <is>
          <t>Investigation of Anglo American nickel sale to China's MMG</t>
        </is>
      </c>
      <c r="J241" s="32" t="inlineStr">
        <is>
          <t>CADE opened an administrative procedure to investigate Anglo American's US$500m sale of its Brazilian nickel assets to China-backed MMG, stressing this did not automatically mean the deal would be blocked.</t>
        </is>
      </c>
      <c r="K241" s="32" t="inlineStr">
        <is>
          <t>nickel</t>
        </is>
      </c>
      <c r="L241" s="32" t="inlineStr">
        <is>
          <t>foreign investment, corruption governance</t>
        </is>
      </c>
      <c r="M241" s="31" t="inlineStr">
        <is>
          <t>neutral</t>
        </is>
      </c>
      <c r="N241" s="31" t="inlineStr">
        <is>
          <t>not mentioned</t>
        </is>
      </c>
      <c r="O241" s="32" t="inlineStr"/>
      <c r="P241" s="32" t="inlineStr"/>
      <c r="Q241" s="31" t="inlineStr">
        <is>
          <t>en</t>
        </is>
      </c>
      <c r="R241" s="33" t="inlineStr">
        <is>
          <t>Miningmx</t>
        </is>
      </c>
      <c r="S241" s="32" t="inlineStr">
        <is>
          <t>news media</t>
        </is>
      </c>
      <c r="T241" s="32" t="inlineStr">
        <is>
          <t>secondary reported</t>
        </is>
      </c>
      <c r="U241" s="32" t="inlineStr">
        <is>
          <t>Complaint by CoreX; date approximate (late Aug 2025)</t>
        </is>
      </c>
    </row>
    <row r="242" ht="45.75" customHeight="1" s="24">
      <c r="A242" s="31" t="inlineStr">
        <is>
          <t>PS-0230</t>
        </is>
      </c>
      <c r="B242" s="31" t="inlineStr">
        <is>
          <t>2025-08</t>
        </is>
      </c>
      <c r="C242" s="31" t="inlineStr">
        <is>
          <t>Chile</t>
        </is>
      </c>
      <c r="D242" s="31" t="inlineStr">
        <is>
          <t>Yes</t>
        </is>
      </c>
      <c r="E242" s="32" t="inlineStr">
        <is>
          <t>Evelyn Matthei</t>
        </is>
      </c>
      <c r="F242" s="32" t="inlineStr">
        <is>
          <t>Presidential candidate (Chile Vamos)</t>
        </is>
      </c>
      <c r="G242" s="32" t="inlineStr">
        <is>
          <t>LatAm party/candidate</t>
        </is>
      </c>
      <c r="H242" s="32" t="inlineStr">
        <is>
          <t>campaign statement</t>
        </is>
      </c>
      <c r="I242" s="32" t="inlineStr">
        <is>
          <t>Mining proposals of presidential candidates</t>
        </is>
      </c>
      <c r="J242" s="32" t="inlineStr">
        <is>
          <t>Matthei's program targets 1 million tonnes of lithium carbonate equivalent by 2035 and 7 million tonnes of copper by 2030, a corporate tax cut to 23% and simpler exploration permits.</t>
        </is>
      </c>
      <c r="K242" s="32" t="inlineStr">
        <is>
          <t>lithium, copper</t>
        </is>
      </c>
      <c r="L242" s="32" t="inlineStr">
        <is>
          <t>foreign investment, royalties taxation</t>
        </is>
      </c>
      <c r="M242" s="31" t="inlineStr">
        <is>
          <t>not mentioned</t>
        </is>
      </c>
      <c r="N242" s="31" t="inlineStr">
        <is>
          <t>not mentioned</t>
        </is>
      </c>
      <c r="O242" s="32" t="inlineStr">
        <is>
          <t>quisiéramos llegar a la producción de un millón de toneladas</t>
        </is>
      </c>
      <c r="P242" s="32" t="inlineStr">
        <is>
          <t>we would like to reach production of one million tonnes</t>
        </is>
      </c>
      <c r="Q242" s="31" t="inlineStr">
        <is>
          <t>es</t>
        </is>
      </c>
      <c r="R242" s="33" t="inlineStr">
        <is>
          <t>Diario Financiero</t>
        </is>
      </c>
      <c r="S242" s="32" t="inlineStr">
        <is>
          <t>news media</t>
        </is>
      </c>
      <c r="T242" s="32" t="inlineStr">
        <is>
          <t>secondary reported</t>
        </is>
      </c>
      <c r="U242" s="32" t="inlineStr">
        <is>
          <t>DF article 7 Aug 2025</t>
        </is>
      </c>
    </row>
    <row r="243" ht="45.75" customHeight="1" s="24">
      <c r="A243" s="31" t="inlineStr">
        <is>
          <t>PS-0231</t>
        </is>
      </c>
      <c r="B243" s="31" t="inlineStr">
        <is>
          <t>2025-08</t>
        </is>
      </c>
      <c r="C243" s="31" t="inlineStr">
        <is>
          <t>Chile</t>
        </is>
      </c>
      <c r="D243" s="31" t="inlineStr">
        <is>
          <t>Yes</t>
        </is>
      </c>
      <c r="E243" s="32" t="inlineStr">
        <is>
          <t>Franco Parisi</t>
        </is>
      </c>
      <c r="F243" s="32" t="inlineStr">
        <is>
          <t>Presidential candidate</t>
        </is>
      </c>
      <c r="G243" s="32" t="inlineStr">
        <is>
          <t>LatAm party/candidate</t>
        </is>
      </c>
      <c r="H243" s="32" t="inlineStr">
        <is>
          <t>campaign statement</t>
        </is>
      </c>
      <c r="I243" s="32" t="inlineStr">
        <is>
          <t>Mining proposals of presidential candidates</t>
        </is>
      </c>
      <c r="J243" s="32" t="inlineStr">
        <is>
          <t>Parisi proposed making lithium concessible by presidential decree and giving indigenous peoples Series B shareholdings.</t>
        </is>
      </c>
      <c r="K243" s="32" t="inlineStr">
        <is>
          <t>lithium</t>
        </is>
      </c>
      <c r="L243" s="32" t="inlineStr">
        <is>
          <t>indigenous community rights, state control nationalization</t>
        </is>
      </c>
      <c r="M243" s="31" t="inlineStr">
        <is>
          <t>not mentioned</t>
        </is>
      </c>
      <c r="N243" s="31" t="inlineStr">
        <is>
          <t>not mentioned</t>
        </is>
      </c>
      <c r="O243" s="32" t="inlineStr">
        <is>
          <t>vamos a proponer que las razas originarias sean accionistas</t>
        </is>
      </c>
      <c r="P243" s="32" t="inlineStr">
        <is>
          <t>we will propose that the original peoples become shareholders</t>
        </is>
      </c>
      <c r="Q243" s="31" t="inlineStr">
        <is>
          <t>es</t>
        </is>
      </c>
      <c r="R243" s="33" t="inlineStr">
        <is>
          <t>Diario Financiero</t>
        </is>
      </c>
      <c r="S243" s="32" t="inlineStr">
        <is>
          <t>news media</t>
        </is>
      </c>
      <c r="T243" s="32" t="inlineStr">
        <is>
          <t>secondary reported</t>
        </is>
      </c>
      <c r="U243" s="32" t="inlineStr">
        <is>
          <t>DF article 7 Aug 2025</t>
        </is>
      </c>
    </row>
    <row r="244" ht="45.75" customHeight="1" s="24">
      <c r="A244" s="31" t="inlineStr">
        <is>
          <t>PS-0232</t>
        </is>
      </c>
      <c r="B244" s="31" t="inlineStr">
        <is>
          <t>2025-08</t>
        </is>
      </c>
      <c r="C244" s="31" t="inlineStr">
        <is>
          <t>Chile</t>
        </is>
      </c>
      <c r="D244" s="31" t="inlineStr">
        <is>
          <t>Yes</t>
        </is>
      </c>
      <c r="E244" s="32" t="inlineStr">
        <is>
          <t>Johannes Kaiser</t>
        </is>
      </c>
      <c r="F244" s="32" t="inlineStr">
        <is>
          <t>Presidential candidate</t>
        </is>
      </c>
      <c r="G244" s="32" t="inlineStr">
        <is>
          <t>LatAm party/candidate</t>
        </is>
      </c>
      <c r="H244" s="32" t="inlineStr">
        <is>
          <t>campaign statement</t>
        </is>
      </c>
      <c r="I244" s="32" t="inlineStr">
        <is>
          <t>Mining proposals of presidential candidates</t>
        </is>
      </c>
      <c r="J244" s="32" t="inlineStr">
        <is>
          <t>Kaiser proposed making lithium concessible and auctionable, auditing Codelco's strategic decisions, doubling ENAMI processing capacity and reviewing the SQM agreement if not finalised.</t>
        </is>
      </c>
      <c r="K244" s="32" t="inlineStr">
        <is>
          <t>lithium, copper</t>
        </is>
      </c>
      <c r="L244" s="32" t="inlineStr">
        <is>
          <t>state control nationalization, foreign investment</t>
        </is>
      </c>
      <c r="M244" s="31" t="inlineStr">
        <is>
          <t>not mentioned</t>
        </is>
      </c>
      <c r="N244" s="31" t="inlineStr">
        <is>
          <t>not mentioned</t>
        </is>
      </c>
      <c r="O244" s="32" t="inlineStr"/>
      <c r="P244" s="32" t="inlineStr"/>
      <c r="Q244" s="31" t="inlineStr">
        <is>
          <t>es</t>
        </is>
      </c>
      <c r="R244" s="33" t="inlineStr">
        <is>
          <t>Diario Financiero</t>
        </is>
      </c>
      <c r="S244" s="32" t="inlineStr">
        <is>
          <t>news media</t>
        </is>
      </c>
      <c r="T244" s="32" t="inlineStr">
        <is>
          <t>secondary reported</t>
        </is>
      </c>
      <c r="U244" s="32" t="inlineStr">
        <is>
          <t>Paraphrase; DF article 7 Aug 2025</t>
        </is>
      </c>
    </row>
    <row r="245" ht="45.75" customHeight="1" s="24">
      <c r="A245" s="31" t="inlineStr">
        <is>
          <t>PS-0233</t>
        </is>
      </c>
      <c r="B245" s="31" t="inlineStr">
        <is>
          <t>2025-08</t>
        </is>
      </c>
      <c r="C245" s="31" t="inlineStr">
        <is>
          <t>Chile</t>
        </is>
      </c>
      <c r="D245" s="31" t="inlineStr">
        <is>
          <t>Yes</t>
        </is>
      </c>
      <c r="E245" s="32" t="inlineStr">
        <is>
          <t>José Antonio Kast</t>
        </is>
      </c>
      <c r="F245" s="32" t="inlineStr">
        <is>
          <t>Presidential candidate</t>
        </is>
      </c>
      <c r="G245" s="32" t="inlineStr">
        <is>
          <t>LatAm party/candidate</t>
        </is>
      </c>
      <c r="H245" s="32" t="inlineStr">
        <is>
          <t>campaign statement</t>
        </is>
      </c>
      <c r="I245" s="32" t="inlineStr">
        <is>
          <t>Government program, mining chapter</t>
        </is>
      </c>
      <c r="J245" s="32" t="inlineStr">
        <is>
          <t>Kast's program proposed cutting permitting bureaucracy, auditing Codelco over Chuquicamata cost overruns and criticised the SQM agreement as driven by ideology.</t>
        </is>
      </c>
      <c r="K245" s="32" t="inlineStr">
        <is>
          <t>lithium, copper</t>
        </is>
      </c>
      <c r="L245" s="32" t="inlineStr">
        <is>
          <t>corruption governance, foreign investment, state control nationalization</t>
        </is>
      </c>
      <c r="M245" s="31" t="inlineStr">
        <is>
          <t>not mentioned</t>
        </is>
      </c>
      <c r="N245" s="31" t="inlineStr">
        <is>
          <t>not mentioned</t>
        </is>
      </c>
      <c r="O245" s="32" t="inlineStr">
        <is>
          <t>primó la ideología por sobre el bien del país</t>
        </is>
      </c>
      <c r="P245" s="32" t="inlineStr">
        <is>
          <t>ideology prevailed over the good of the country</t>
        </is>
      </c>
      <c r="Q245" s="31" t="inlineStr">
        <is>
          <t>es</t>
        </is>
      </c>
      <c r="R245" s="33" t="inlineStr">
        <is>
          <t>Diario Financiero</t>
        </is>
      </c>
      <c r="S245" s="32" t="inlineStr">
        <is>
          <t>news media</t>
        </is>
      </c>
      <c r="T245" s="32" t="inlineStr">
        <is>
          <t>secondary reported</t>
        </is>
      </c>
      <c r="U245" s="32" t="inlineStr">
        <is>
          <t>From program as summarised by DF (7 Aug 2025)</t>
        </is>
      </c>
    </row>
    <row r="246" ht="45.75" customHeight="1" s="24">
      <c r="A246" s="31" t="inlineStr">
        <is>
          <t>PS-0234</t>
        </is>
      </c>
      <c r="B246" s="31" t="inlineStr">
        <is>
          <t>2025-08</t>
        </is>
      </c>
      <c r="C246" s="31" t="inlineStr">
        <is>
          <t>Chile</t>
        </is>
      </c>
      <c r="D246" s="31" t="inlineStr">
        <is>
          <t>Yes</t>
        </is>
      </c>
      <c r="E246" s="32" t="inlineStr">
        <is>
          <t>Álvaro García</t>
        </is>
      </c>
      <c r="F246" s="32" t="inlineStr">
        <is>
          <t>Minister of Economy</t>
        </is>
      </c>
      <c r="G246" s="32" t="inlineStr">
        <is>
          <t>LatAm executive</t>
        </is>
      </c>
      <c r="H246" s="32" t="inlineStr">
        <is>
          <t>interview</t>
        </is>
      </c>
      <c r="I246" s="32" t="inlineStr">
        <is>
          <t>Timeline for closing Codelco-SQM deal</t>
        </is>
      </c>
      <c r="J246" s="32" t="inlineStr">
        <is>
          <t>García said closing the Codelco-SQM partnership before the end of the government was the immediate goal, noting Chinese antitrust approval was pending, and expected the ENAMI-Rio Tinto deal soon.</t>
        </is>
      </c>
      <c r="K246" s="32" t="inlineStr">
        <is>
          <t>lithium</t>
        </is>
      </c>
      <c r="L246" s="32" t="inlineStr">
        <is>
          <t>state control nationalization, foreign investment</t>
        </is>
      </c>
      <c r="M246" s="31" t="inlineStr">
        <is>
          <t>neutral</t>
        </is>
      </c>
      <c r="N246" s="31" t="inlineStr">
        <is>
          <t>not mentioned</t>
        </is>
      </c>
      <c r="O246" s="32" t="inlineStr">
        <is>
          <t>Este es nuestro objetivo inmediato. Esperamos que se complete antes de que termine el gobierno.</t>
        </is>
      </c>
      <c r="P246" s="32" t="inlineStr">
        <is>
          <t>This is our immediate goal. We hope it is completed before the government ends.</t>
        </is>
      </c>
      <c r="Q246" s="31" t="inlineStr">
        <is>
          <t>es</t>
        </is>
      </c>
      <c r="R246" s="33" t="inlineStr">
        <is>
          <t>Reporte Minero</t>
        </is>
      </c>
      <c r="S246" s="32" t="inlineStr">
        <is>
          <t>news media</t>
        </is>
      </c>
      <c r="T246" s="32" t="inlineStr">
        <is>
          <t>secondary reported</t>
        </is>
      </c>
      <c r="U246" s="32" t="inlineStr">
        <is>
          <t>Exact day not captured; August 2025</t>
        </is>
      </c>
    </row>
    <row r="247" ht="45.75" customHeight="1" s="24">
      <c r="A247" s="31" t="inlineStr">
        <is>
          <t>PS-0235</t>
        </is>
      </c>
      <c r="B247" s="31" t="inlineStr">
        <is>
          <t>2025-08-06</t>
        </is>
      </c>
      <c r="C247" s="31" t="inlineStr">
        <is>
          <t>Brazil</t>
        </is>
      </c>
      <c r="D247" s="31" t="inlineStr">
        <is>
          <t>Yes</t>
        </is>
      </c>
      <c r="E247" s="32" t="inlineStr">
        <is>
          <t>Luiz Inácio Lula da Silva</t>
        </is>
      </c>
      <c r="F247" s="32" t="inlineStr">
        <is>
          <t>President of Brazil</t>
        </is>
      </c>
      <c r="G247" s="32" t="inlineStr">
        <is>
          <t>LatAm executive</t>
        </is>
      </c>
      <c r="H247" s="32" t="inlineStr">
        <is>
          <t>interview</t>
        </is>
      </c>
      <c r="I247" s="32" t="inlineStr">
        <is>
          <t>Interview with Reuters amid US 50% tariffs</t>
        </is>
      </c>
      <c r="J247" s="32" t="inlineStr">
        <is>
          <t>In a Reuters interview, Lula said Brazil would not repeat the last century's pattern of exporting ore and importing high value-added goods, and, referring to reported US interest in Brazilian critical minerals, said Brazil would keep them for itself while remaining open to negotiation.</t>
        </is>
      </c>
      <c r="K247" s="32" t="inlineStr">
        <is>
          <t>critical minerals general</t>
        </is>
      </c>
      <c r="L247" s="32" t="inlineStr">
        <is>
          <t>sovereignty, value added industrialization, geopolitics security, tariffs trade policy</t>
        </is>
      </c>
      <c r="M247" s="31" t="inlineStr">
        <is>
          <t>not mentioned</t>
        </is>
      </c>
      <c r="N247" s="31" t="inlineStr">
        <is>
          <t>mixed</t>
        </is>
      </c>
      <c r="O247" s="32" t="inlineStr">
        <is>
          <t>não vamos permitir o que aconteceu no século passado, em que o Brasil exporta minério e compra produtos com valor agregado muito alto</t>
        </is>
      </c>
      <c r="P247" s="32" t="inlineStr">
        <is>
          <t>we will not allow what happened in the last century, when Brazil exports ore and buys products with very high added value</t>
        </is>
      </c>
      <c r="Q247" s="31" t="inlineStr">
        <is>
          <t>pt</t>
        </is>
      </c>
      <c r="R247" s="33" t="inlineStr">
        <is>
          <t>CNN Brasil</t>
        </is>
      </c>
      <c r="S247" s="32" t="inlineStr">
        <is>
          <t>news media</t>
        </is>
      </c>
      <c r="T247" s="32" t="inlineStr">
        <is>
          <t>secondary reported</t>
        </is>
      </c>
      <c r="U247" s="32" t="inlineStr"/>
    </row>
    <row r="248" ht="45.75" customHeight="1" s="24">
      <c r="A248" s="31" t="inlineStr">
        <is>
          <t>PS-0236</t>
        </is>
      </c>
      <c r="B248" s="31" t="inlineStr">
        <is>
          <t>2025-08-12</t>
        </is>
      </c>
      <c r="C248" s="31" t="inlineStr">
        <is>
          <t>Bolivia</t>
        </is>
      </c>
      <c r="D248" s="31" t="inlineStr">
        <is>
          <t>Yes</t>
        </is>
      </c>
      <c r="E248" s="32" t="inlineStr">
        <is>
          <t>Alberto Pérez</t>
        </is>
      </c>
      <c r="F248" s="32" t="inlineStr">
        <is>
          <t>President, Comité Cívico Potosinista (Comcipo)</t>
        </is>
      </c>
      <c r="G248" s="32" t="inlineStr">
        <is>
          <t>Other (business, civil society, third countries)</t>
        </is>
      </c>
      <c r="H248" s="32" t="inlineStr">
        <is>
          <t>interview</t>
        </is>
      </c>
      <c r="I248" s="32" t="inlineStr">
        <is>
          <t>Committee vote on Uranium One contract</t>
        </is>
      </c>
      <c r="J248" s="32" t="inlineStr">
        <is>
          <t>Comcipo's president demanded that the lithium contracts be left for the next government and legislature rather than approved by the outgoing administration.</t>
        </is>
      </c>
      <c r="K248" s="32" t="inlineStr">
        <is>
          <t>lithium</t>
        </is>
      </c>
      <c r="L248" s="32" t="inlineStr">
        <is>
          <t>labor social conflict, sovereignty</t>
        </is>
      </c>
      <c r="M248" s="31" t="inlineStr">
        <is>
          <t>not mentioned</t>
        </is>
      </c>
      <c r="N248" s="31" t="inlineStr">
        <is>
          <t>not mentioned</t>
        </is>
      </c>
      <c r="O248" s="32" t="inlineStr">
        <is>
          <t>Queremos que estos contratos no se traten en esta gestión de gobierno, sino la próxima</t>
        </is>
      </c>
      <c r="P248" s="32" t="inlineStr">
        <is>
          <t>We want these contracts not to be dealt with by this administration, but by the next one</t>
        </is>
      </c>
      <c r="Q248" s="31" t="inlineStr">
        <is>
          <t>es</t>
        </is>
      </c>
      <c r="R248" s="33" t="inlineStr">
        <is>
          <t>EJU.tv</t>
        </is>
      </c>
      <c r="S248" s="32" t="inlineStr">
        <is>
          <t>news media</t>
        </is>
      </c>
      <c r="T248" s="32" t="inlineStr">
        <is>
          <t>secondary reported</t>
        </is>
      </c>
      <c r="U248" s="32" t="inlineStr"/>
    </row>
    <row r="249" ht="45.75" customHeight="1" s="24">
      <c r="A249" s="31" t="inlineStr">
        <is>
          <t>PS-0237</t>
        </is>
      </c>
      <c r="B249" s="31" t="inlineStr">
        <is>
          <t>2025-08-12</t>
        </is>
      </c>
      <c r="C249" s="31" t="inlineStr">
        <is>
          <t>Bolivia</t>
        </is>
      </c>
      <c r="D249" s="31" t="inlineStr">
        <is>
          <t>Yes</t>
        </is>
      </c>
      <c r="E249" s="32" t="inlineStr">
        <is>
          <t>Comisión de Economía Plural, Cámara de Diputados</t>
        </is>
      </c>
      <c r="F249" s="32" t="inlineStr">
        <is>
          <t>Chamber of Deputies committee</t>
        </is>
      </c>
      <c r="G249" s="32" t="inlineStr">
        <is>
          <t>LatAm legislature</t>
        </is>
      </c>
      <c r="H249" s="32" t="inlineStr">
        <is>
          <t>legislative debate</t>
        </is>
      </c>
      <c r="I249" s="32" t="inlineStr">
        <is>
          <t>Committee vote on Uranium One lithium contract</t>
        </is>
      </c>
      <c r="J249" s="32" t="inlineStr">
        <is>
          <t>The Plural Economy committee approved in general the US$975m Uranium One lithium contract by 9 votes to 2 (4 null) amid incidents, sending it to the full Chamber.</t>
        </is>
      </c>
      <c r="K249" s="32" t="inlineStr">
        <is>
          <t>lithium</t>
        </is>
      </c>
      <c r="L249" s="32" t="inlineStr">
        <is>
          <t>foreign investment, value added industrialization</t>
        </is>
      </c>
      <c r="M249" s="31" t="inlineStr">
        <is>
          <t>not mentioned</t>
        </is>
      </c>
      <c r="N249" s="31" t="inlineStr">
        <is>
          <t>not mentioned</t>
        </is>
      </c>
      <c r="O249" s="32" t="inlineStr">
        <is>
          <t>No es que la comisión aprueba y ya está, es un procedimiento legislativo que sigue su curso</t>
        </is>
      </c>
      <c r="P249" s="32" t="inlineStr">
        <is>
          <t>It's not that the committee approves and that's it; it's a legislative procedure that continues its course</t>
        </is>
      </c>
      <c r="Q249" s="31" t="inlineStr">
        <is>
          <t>es</t>
        </is>
      </c>
      <c r="R249" s="33" t="inlineStr">
        <is>
          <t>EJU.tv</t>
        </is>
      </c>
      <c r="S249" s="32" t="inlineStr">
        <is>
          <t>news media</t>
        </is>
      </c>
      <c r="T249" s="32" t="inlineStr">
        <is>
          <t>secondary reported</t>
        </is>
      </c>
      <c r="U249" s="32" t="inlineStr">
        <is>
          <t>Quote by committee president Hernán Hinojosa (MAS) reported by ABC Color/EFE: https://www.abc.com.py/internacionales/2025/08/13/contrato-con-firma-rusa-para-explotar-litio-boliviano-pasa-primer-filtro-en-el-legislativo/</t>
        </is>
      </c>
    </row>
    <row r="250" ht="45.75" customHeight="1" s="24">
      <c r="A250" s="31" t="inlineStr">
        <is>
          <t>PS-0238</t>
        </is>
      </c>
      <c r="B250" s="31" t="inlineStr">
        <is>
          <t>2025-08-12</t>
        </is>
      </c>
      <c r="C250" s="31" t="inlineStr">
        <is>
          <t>Chile</t>
        </is>
      </c>
      <c r="D250" s="31" t="inlineStr">
        <is>
          <t>Yes</t>
        </is>
      </c>
      <c r="E250" s="32" t="inlineStr">
        <is>
          <t>Jeannette Jara</t>
        </is>
      </c>
      <c r="F250" s="32" t="inlineStr">
        <is>
          <t>Presidential candidate (Unidad por Chile)</t>
        </is>
      </c>
      <c r="G250" s="32" t="inlineStr">
        <is>
          <t>LatAm party/candidate</t>
        </is>
      </c>
      <c r="H250" s="32" t="inlineStr">
        <is>
          <t>campaign statement</t>
        </is>
      </c>
      <c r="I250" s="32" t="inlineStr">
        <is>
          <t>Campaign remarks on economic program</t>
        </is>
      </c>
      <c r="J250" s="32" t="inlineStr">
        <is>
          <t>Jara repeated that copper and lithium would not be nationalised, said she favoured a national lithium company but would respect the Codelco-SQM agreement if approved, calling her earlier nationalisation proposal an error.</t>
        </is>
      </c>
      <c r="K250" s="32" t="inlineStr">
        <is>
          <t>copper, lithium</t>
        </is>
      </c>
      <c r="L250" s="32" t="inlineStr">
        <is>
          <t>state control nationalization</t>
        </is>
      </c>
      <c r="M250" s="31" t="inlineStr">
        <is>
          <t>not mentioned</t>
        </is>
      </c>
      <c r="N250" s="31" t="inlineStr">
        <is>
          <t>not mentioned</t>
        </is>
      </c>
      <c r="O250" s="32" t="inlineStr">
        <is>
          <t>No se nacionalizará el cobre ni el litio</t>
        </is>
      </c>
      <c r="P250" s="32" t="inlineStr">
        <is>
          <t>Neither copper nor lithium will be nationalised</t>
        </is>
      </c>
      <c r="Q250" s="31" t="inlineStr">
        <is>
          <t>es</t>
        </is>
      </c>
      <c r="R250" s="33" t="inlineStr">
        <is>
          <t>El Mostrador</t>
        </is>
      </c>
      <c r="S250" s="32" t="inlineStr">
        <is>
          <t>news media</t>
        </is>
      </c>
      <c r="T250" s="32" t="inlineStr">
        <is>
          <t>secondary reported</t>
        </is>
      </c>
      <c r="U250" s="32" t="inlineStr"/>
    </row>
    <row r="251" ht="45.75" customHeight="1" s="24">
      <c r="A251" s="31" t="inlineStr">
        <is>
          <t>PS-0239</t>
        </is>
      </c>
      <c r="B251" s="31" t="inlineStr">
        <is>
          <t>2025-08-13</t>
        </is>
      </c>
      <c r="C251" s="31" t="inlineStr">
        <is>
          <t>Peru</t>
        </is>
      </c>
      <c r="D251" s="31" t="inlineStr">
        <is>
          <t>Yes</t>
        </is>
      </c>
      <c r="E251" s="32" t="inlineStr">
        <is>
          <t>Zhao Jing (Ivo Zhao)</t>
        </is>
      </c>
      <c r="F251" s="32" t="inlineStr">
        <is>
          <t>Chief Executive Officer, MMG Ltd</t>
        </is>
      </c>
      <c r="G251" s="32" t="inlineStr">
        <is>
          <t>China</t>
        </is>
      </c>
      <c r="H251" s="32" t="inlineStr">
        <is>
          <t>press conference</t>
        </is>
      </c>
      <c r="I251" s="32" t="inlineStr">
        <is>
          <t>MMG interim results call</t>
        </is>
      </c>
      <c r="J251" s="32" t="inlineStr">
        <is>
          <t>MMG's CEO warned that Peru's 2026 elections raised the risk of protests affecting Las Bambas, noted unresolved conflicts over the road corridor, and said the company must plan for contingencies while keeping its 2025 output guidance.</t>
        </is>
      </c>
      <c r="K251" s="32" t="inlineStr">
        <is>
          <t>copper</t>
        </is>
      </c>
      <c r="L251" s="32" t="inlineStr">
        <is>
          <t>labor social conflict, foreign investment</t>
        </is>
      </c>
      <c r="M251" s="31" t="inlineStr">
        <is>
          <t>not mentioned</t>
        </is>
      </c>
      <c r="N251" s="31" t="inlineStr">
        <is>
          <t>not mentioned</t>
        </is>
      </c>
      <c r="O251" s="32" t="inlineStr"/>
      <c r="P251" s="32" t="inlineStr"/>
      <c r="Q251" s="31" t="inlineStr">
        <is>
          <t>en</t>
        </is>
      </c>
      <c r="R251" s="33" t="inlineStr">
        <is>
          <t>Energiminas (citing Bloomberg)</t>
        </is>
      </c>
      <c r="S251" s="32" t="inlineStr">
        <is>
          <t>news media</t>
        </is>
      </c>
      <c r="T251" s="32" t="inlineStr">
        <is>
          <t>secondary reported</t>
        </is>
      </c>
      <c r="U251" s="32" t="inlineStr">
        <is>
          <t>Only Spanish translation of English-language call seen, so quote left empty; speaker heads subsidiary of Chinese SOE China Minmetals</t>
        </is>
      </c>
    </row>
    <row r="252" ht="45.75" customHeight="1" s="24">
      <c r="A252" s="31" t="inlineStr">
        <is>
          <t>PS-0240</t>
        </is>
      </c>
      <c r="B252" s="31" t="inlineStr">
        <is>
          <t>2025-08-20</t>
        </is>
      </c>
      <c r="C252" s="31" t="inlineStr">
        <is>
          <t>Argentina</t>
        </is>
      </c>
      <c r="D252" s="31" t="inlineStr">
        <is>
          <t>Yes</t>
        </is>
      </c>
      <c r="E252" s="32" t="inlineStr">
        <is>
          <t>Alvin Holsey</t>
        </is>
      </c>
      <c r="F252" s="32" t="inlineStr">
        <is>
          <t>Commander, U.S. Southern Command</t>
        </is>
      </c>
      <c r="G252" s="32" t="inlineStr">
        <is>
          <t>United States</t>
        </is>
      </c>
      <c r="H252" s="32" t="inlineStr">
        <is>
          <t>speech</t>
        </is>
      </c>
      <c r="I252" s="32" t="inlineStr">
        <is>
          <t>South American Defense Conference, Buenos Aires</t>
        </is>
      </c>
      <c r="J252" s="32" t="inlineStr">
        <is>
          <t>Speaking in Buenos Aires, Holsey warned that the Chinese Communist Party is methodically advancing in the region to extract resources and build dual-use infrastructure from ports to space.</t>
        </is>
      </c>
      <c r="K252" s="32" t="inlineStr">
        <is>
          <t>mining general</t>
        </is>
      </c>
      <c r="L252" s="32" t="inlineStr">
        <is>
          <t>geopolitics security, infrastructure ports, sovereignty</t>
        </is>
      </c>
      <c r="M252" s="31" t="inlineStr">
        <is>
          <t>negative</t>
        </is>
      </c>
      <c r="N252" s="31" t="inlineStr">
        <is>
          <t>positive</t>
        </is>
      </c>
      <c r="O252" s="32" t="inlineStr">
        <is>
          <t>El Partido Comunista Chino continúa su incursión metódica en la región, buscando exportar su modelo autoritario</t>
        </is>
      </c>
      <c r="P252" s="32" t="inlineStr">
        <is>
          <t>The Chinese Communist Party continues its methodical incursion in the region, seeking to export its authoritarian model</t>
        </is>
      </c>
      <c r="Q252" s="31" t="inlineStr">
        <is>
          <t>es</t>
        </is>
      </c>
      <c r="R252" s="33" t="inlineStr">
        <is>
          <t>La Estrella de Panamá (EFE)</t>
        </is>
      </c>
      <c r="S252" s="32" t="inlineStr">
        <is>
          <t>news media</t>
        </is>
      </c>
      <c r="T252" s="32" t="inlineStr">
        <is>
          <t>secondary reported</t>
        </is>
      </c>
      <c r="U252" s="32" t="inlineStr">
        <is>
          <t>Quote is Spanish rendering of English remarks; resource extraction mentioned generically</t>
        </is>
      </c>
    </row>
    <row r="253" ht="45.75" customHeight="1" s="24">
      <c r="A253" s="31" t="inlineStr">
        <is>
          <t>PS-0241</t>
        </is>
      </c>
      <c r="B253" s="31" t="inlineStr">
        <is>
          <t>2025-08-20</t>
        </is>
      </c>
      <c r="C253" s="31" t="inlineStr">
        <is>
          <t>Bolivia</t>
        </is>
      </c>
      <c r="D253" s="31" t="inlineStr">
        <is>
          <t>Yes</t>
        </is>
      </c>
      <c r="E253" s="32" t="inlineStr">
        <is>
          <t>Luis Arce</t>
        </is>
      </c>
      <c r="F253" s="32" t="inlineStr">
        <is>
          <t>President of Bolivia</t>
        </is>
      </c>
      <c r="G253" s="32" t="inlineStr">
        <is>
          <t>LatAm executive</t>
        </is>
      </c>
      <c r="H253" s="32" t="inlineStr">
        <is>
          <t>interview</t>
        </is>
      </c>
      <c r="I253" s="32" t="inlineStr">
        <is>
          <t>After first round of 2025 general election</t>
        </is>
      </c>
      <c r="J253" s="32" t="inlineStr">
        <is>
          <t>Arce said the evista faction and opposition deliberately allied to block the lithium contracts and that these and other contracts were at risk with the arrival of a new government.</t>
        </is>
      </c>
      <c r="K253" s="32" t="inlineStr">
        <is>
          <t>lithium</t>
        </is>
      </c>
      <c r="L253" s="32" t="inlineStr">
        <is>
          <t>foreign investment, value added industrialization</t>
        </is>
      </c>
      <c r="M253" s="31" t="inlineStr">
        <is>
          <t>not mentioned</t>
        </is>
      </c>
      <c r="N253" s="31" t="inlineStr">
        <is>
          <t>not mentioned</t>
        </is>
      </c>
      <c r="O253" s="32" t="inlineStr">
        <is>
          <t>esos contratos, sin duda, y otros están en riesgo por la aparición de un nuevo Gobierno</t>
        </is>
      </c>
      <c r="P253" s="32" t="inlineStr">
        <is>
          <t>those contracts, without doubt, and others are at risk because of the arrival of a new Government</t>
        </is>
      </c>
      <c r="Q253" s="31" t="inlineStr">
        <is>
          <t>es</t>
        </is>
      </c>
      <c r="R253" s="33" t="inlineStr">
        <is>
          <t>Correo del Sur</t>
        </is>
      </c>
      <c r="S253" s="32" t="inlineStr">
        <is>
          <t>news media</t>
        </is>
      </c>
      <c r="T253" s="32" t="inlineStr">
        <is>
          <t>secondary reported</t>
        </is>
      </c>
      <c r="U253" s="32" t="inlineStr"/>
    </row>
    <row r="254" ht="45.75" customHeight="1" s="24">
      <c r="A254" s="31" t="inlineStr">
        <is>
          <t>PS-0242</t>
        </is>
      </c>
      <c r="B254" s="31" t="inlineStr">
        <is>
          <t>2025-08-25</t>
        </is>
      </c>
      <c r="C254" s="31" t="inlineStr">
        <is>
          <t>Bolivia</t>
        </is>
      </c>
      <c r="D254" s="31" t="inlineStr">
        <is>
          <t>Yes</t>
        </is>
      </c>
      <c r="E254" s="32" t="inlineStr">
        <is>
          <t>Jorge 'Tuto' Quiroga</t>
        </is>
      </c>
      <c r="F254" s="32" t="inlineStr">
        <is>
          <t>Presidential candidate (runoff), Libre alliance</t>
        </is>
      </c>
      <c r="G254" s="32" t="inlineStr">
        <is>
          <t>LatAm party/candidate</t>
        </is>
      </c>
      <c r="H254" s="32" t="inlineStr">
        <is>
          <t>campaign statement</t>
        </is>
      </c>
      <c r="I254" s="32" t="inlineStr">
        <is>
          <t>2025 presidential runoff campaign</t>
        </is>
      </c>
      <c r="J254" s="32" t="inlineStr">
        <is>
          <t>Quiroga demanded that the roughly US$2bn lithium contracts with Russia's Uranium One and China's CATL-led consortium be halted, saying Congress would not approve them.</t>
        </is>
      </c>
      <c r="K254" s="32" t="inlineStr">
        <is>
          <t>lithium</t>
        </is>
      </c>
      <c r="L254" s="32" t="inlineStr">
        <is>
          <t>geopolitics security, foreign investment</t>
        </is>
      </c>
      <c r="M254" s="31" t="inlineStr">
        <is>
          <t>negative</t>
        </is>
      </c>
      <c r="N254" s="31" t="inlineStr">
        <is>
          <t>not mentioned</t>
        </is>
      </c>
      <c r="O254" s="32" t="inlineStr">
        <is>
          <t>Párenlos, no se van a aprobar y el Congreso no va a aprobar esos contratos</t>
        </is>
      </c>
      <c r="P254" s="32" t="inlineStr">
        <is>
          <t>Stop them, they will not be approved and Congress will not approve those contracts</t>
        </is>
      </c>
      <c r="Q254" s="31" t="inlineStr">
        <is>
          <t>es</t>
        </is>
      </c>
      <c r="R254" s="33" t="inlineStr">
        <is>
          <t>TVN Panamá (AFP)</t>
        </is>
      </c>
      <c r="S254" s="32" t="inlineStr">
        <is>
          <t>news media</t>
        </is>
      </c>
      <c r="T254" s="32" t="inlineStr">
        <is>
          <t>secondary reported</t>
        </is>
      </c>
      <c r="U254" s="32" t="inlineStr"/>
    </row>
    <row r="255" ht="45.75" customHeight="1" s="24">
      <c r="A255" s="31" t="inlineStr">
        <is>
          <t>PS-0243</t>
        </is>
      </c>
      <c r="B255" s="31" t="inlineStr">
        <is>
          <t>2025-08-25</t>
        </is>
      </c>
      <c r="C255" s="31" t="inlineStr">
        <is>
          <t>Regional</t>
        </is>
      </c>
      <c r="D255" s="31" t="inlineStr">
        <is>
          <t>No</t>
        </is>
      </c>
      <c r="E255" s="32" t="inlineStr">
        <is>
          <t>Guo Jiakun</t>
        </is>
      </c>
      <c r="F255" s="32" t="inlineStr">
        <is>
          <t>Spokesperson, Ministry of Foreign Affairs of China</t>
        </is>
      </c>
      <c r="G255" s="32" t="inlineStr">
        <is>
          <t>China</t>
        </is>
      </c>
      <c r="H255" s="32" t="inlineStr">
        <is>
          <t>press conference</t>
        </is>
      </c>
      <c r="I255" s="32" t="inlineStr">
        <is>
          <t>Response to SOUTHCOM commander's remarks at South American Defense Conference in Argentina</t>
        </is>
      </c>
      <c r="J255" s="32" t="inlineStr">
        <is>
          <t>Responding to the US Southern Command chief's claim in Argentina that China was infiltrating the Western Hemisphere and grabbing resources, Guo Jiakun said the US has long interfered in and sought to control Latin America and that the region is nobody's backyard.</t>
        </is>
      </c>
      <c r="K255" s="32" t="inlineStr">
        <is>
          <t>mining general</t>
        </is>
      </c>
      <c r="L255" s="32" t="inlineStr">
        <is>
          <t>geopolitics security, sovereignty, diplomatic relations</t>
        </is>
      </c>
      <c r="M255" s="31" t="inlineStr">
        <is>
          <t>positive</t>
        </is>
      </c>
      <c r="N255" s="31" t="inlineStr">
        <is>
          <t>negative</t>
        </is>
      </c>
      <c r="O255" s="32" t="inlineStr">
        <is>
          <t>拉美和加勒比不是谁的后院，中拉合作不针对第三方，也不应受到第三方的干扰。</t>
        </is>
      </c>
      <c r="P255" s="32" t="inlineStr">
        <is>
          <t>Latin America and the Caribbean is nobody's backyard; China-LAC cooperation does not target any third party and should not be interfered with by any third party.</t>
        </is>
      </c>
      <c r="Q255" s="31" t="inlineStr">
        <is>
          <t>zh</t>
        </is>
      </c>
      <c r="R255" s="33" t="inlineStr">
        <is>
          <t>ifeng.com</t>
        </is>
      </c>
      <c r="S255" s="32" t="inlineStr">
        <is>
          <t>news media</t>
        </is>
      </c>
      <c r="T255" s="32" t="inlineStr">
        <is>
          <t>secondary reported</t>
        </is>
      </c>
      <c r="U255" s="32" t="inlineStr">
        <is>
          <t>US remark referred to 'resources' generally, not a specific mineral; borderline relevance. MFA transcript not fetched.</t>
        </is>
      </c>
    </row>
    <row r="256" ht="45.75" customHeight="1" s="24">
      <c r="A256" s="31" t="inlineStr">
        <is>
          <t>PS-0244</t>
        </is>
      </c>
      <c r="B256" s="31" t="inlineStr">
        <is>
          <t>2025-08-29</t>
        </is>
      </c>
      <c r="C256" s="31" t="inlineStr">
        <is>
          <t>Brazil</t>
        </is>
      </c>
      <c r="D256" s="31" t="inlineStr">
        <is>
          <t>Yes</t>
        </is>
      </c>
      <c r="E256" s="32" t="inlineStr">
        <is>
          <t>Luiz Inácio Lula da Silva</t>
        </is>
      </c>
      <c r="F256" s="32" t="inlineStr">
        <is>
          <t>President of Brazil</t>
        </is>
      </c>
      <c r="G256" s="32" t="inlineStr">
        <is>
          <t>LatAm executive</t>
        </is>
      </c>
      <c r="H256" s="32" t="inlineStr">
        <is>
          <t>speech</t>
        </is>
      </c>
      <c r="I256" s="32" t="inlineStr">
        <is>
          <t>Inauguration of Acelen Renováveis innovation centre, Montes Claros (MG)</t>
        </is>
      </c>
      <c r="J256" s="32" t="inlineStr">
        <is>
          <t>Lula said nobody will 'put a finger' on Brazil's critical minerals and rare earths, and announced that the government council on critical minerals (via the CNPM) would begin work the following week.</t>
        </is>
      </c>
      <c r="K256" s="32" t="inlineStr">
        <is>
          <t>critical minerals general, rare earths</t>
        </is>
      </c>
      <c r="L256" s="32" t="inlineStr">
        <is>
          <t>sovereignty, state control nationalization</t>
        </is>
      </c>
      <c r="M256" s="31" t="inlineStr">
        <is>
          <t>not mentioned</t>
        </is>
      </c>
      <c r="N256" s="31" t="inlineStr">
        <is>
          <t>not mentioned</t>
        </is>
      </c>
      <c r="O256" s="32" t="inlineStr">
        <is>
          <t>Ninguém vai colocar o dedo nos nossos minerais críticos e terras raras porque é nosso e nós vamos tomar conta disso.</t>
        </is>
      </c>
      <c r="P256" s="32" t="inlineStr">
        <is>
          <t>No one will put a finger on our critical minerals and rare earths because they are ours and we will take care of them.</t>
        </is>
      </c>
      <c r="Q256" s="31" t="inlineStr">
        <is>
          <t>pt</t>
        </is>
      </c>
      <c r="R256" s="33" t="inlineStr">
        <is>
          <t>Poder360</t>
        </is>
      </c>
      <c r="S256" s="32" t="inlineStr">
        <is>
          <t>news media</t>
        </is>
      </c>
      <c r="T256" s="32" t="inlineStr">
        <is>
          <t>secondary reported</t>
        </is>
      </c>
      <c r="U256" s="32" t="inlineStr"/>
    </row>
    <row r="257" ht="45.75" customHeight="1" s="24">
      <c r="A257" s="31" t="inlineStr">
        <is>
          <t>PS-0245</t>
        </is>
      </c>
      <c r="B257" s="31" t="inlineStr">
        <is>
          <t>2025-09</t>
        </is>
      </c>
      <c r="C257" s="31" t="inlineStr">
        <is>
          <t>Brazil</t>
        </is>
      </c>
      <c r="D257" s="31" t="inlineStr">
        <is>
          <t>Yes</t>
        </is>
      </c>
      <c r="E257" s="32" t="inlineStr">
        <is>
          <t>U.S. International Development Finance Corporation (DFC)</t>
        </is>
      </c>
      <c r="F257" s="32" t="inlineStr">
        <is>
          <t>US development finance agency</t>
        </is>
      </c>
      <c r="G257" s="32" t="inlineStr">
        <is>
          <t>United States</t>
        </is>
      </c>
      <c r="H257" s="32" t="inlineStr">
        <is>
          <t>official statement</t>
        </is>
      </c>
      <c r="I257" s="32" t="inlineStr">
        <is>
          <t>DFC financing for Aclara Resources rare earth project in central-west Brazil</t>
        </is>
      </c>
      <c r="J257" s="32" t="inlineStr">
        <is>
          <t>DFC approved financing in September 2025 for Aclara Resources' rare earth project in central-west Brazil, including a convertible arrangement for future equity participation, as part of US efforts to diversify rare earth supply from China.</t>
        </is>
      </c>
      <c r="K257" s="32" t="inlineStr">
        <is>
          <t>rare earths</t>
        </is>
      </c>
      <c r="L257" s="32" t="inlineStr">
        <is>
          <t>financing credit, foreign investment, geopolitics security</t>
        </is>
      </c>
      <c r="M257" s="31" t="inlineStr">
        <is>
          <t>negative</t>
        </is>
      </c>
      <c r="N257" s="31" t="inlineStr">
        <is>
          <t>positive</t>
        </is>
      </c>
      <c r="O257" s="32" t="inlineStr"/>
      <c r="P257" s="32" t="inlineStr"/>
      <c r="Q257" s="31" t="inlineStr">
        <is>
          <t>en</t>
        </is>
      </c>
      <c r="R257" s="33" t="inlineStr">
        <is>
          <t>Reporte Minero</t>
        </is>
      </c>
      <c r="S257" s="32" t="inlineStr">
        <is>
          <t>news media</t>
        </is>
      </c>
      <c r="T257" s="32" t="inlineStr">
        <is>
          <t>secondary reported</t>
        </is>
      </c>
      <c r="U257" s="32" t="inlineStr">
        <is>
          <t>Exact day unknown; stance_china inferred from stated diversification aim</t>
        </is>
      </c>
    </row>
    <row r="258" ht="45.75" customHeight="1" s="24">
      <c r="A258" s="31" t="inlineStr">
        <is>
          <t>PS-0246</t>
        </is>
      </c>
      <c r="B258" s="31" t="inlineStr">
        <is>
          <t>2025-09-10</t>
        </is>
      </c>
      <c r="C258" s="31" t="inlineStr">
        <is>
          <t>Argentina</t>
        </is>
      </c>
      <c r="D258" s="31" t="inlineStr">
        <is>
          <t>Yes</t>
        </is>
      </c>
      <c r="E258" s="32" t="inlineStr">
        <is>
          <t>Luis Lucero</t>
        </is>
      </c>
      <c r="F258" s="32" t="inlineStr">
        <is>
          <t>Secretary of Mining of Argentina</t>
        </is>
      </c>
      <c r="G258" s="32" t="inlineStr">
        <is>
          <t>LatAm executive</t>
        </is>
      </c>
      <c r="H258" s="32" t="inlineStr">
        <is>
          <t>legislative debate</t>
        </is>
      </c>
      <c r="I258" s="32" t="inlineStr">
        <is>
          <t>Senate Mining, Energy and Fuels Committee</t>
        </is>
      </c>
      <c r="J258" s="32" t="inlineStr">
        <is>
          <t>Lucero told senators Argentina's copper is already sold given world demand, that it could produce 1.23 Mt and about 6% of world output, and that copper is critical for electrification and AI, stressing rail, power and port needs.</t>
        </is>
      </c>
      <c r="K258" s="32" t="inlineStr">
        <is>
          <t>copper</t>
        </is>
      </c>
      <c r="L258" s="32" t="inlineStr">
        <is>
          <t>energy transition, infrastructure ports, foreign investment</t>
        </is>
      </c>
      <c r="M258" s="31" t="inlineStr">
        <is>
          <t>not mentioned</t>
        </is>
      </c>
      <c r="N258" s="31" t="inlineStr">
        <is>
          <t>not mentioned</t>
        </is>
      </c>
      <c r="O258" s="32" t="inlineStr">
        <is>
          <t>nuestro cobre está vendido. El mundo lo demanda</t>
        </is>
      </c>
      <c r="P258" s="32" t="inlineStr">
        <is>
          <t>our copper is sold. The world demands it</t>
        </is>
      </c>
      <c r="Q258" s="31" t="inlineStr">
        <is>
          <t>es</t>
        </is>
      </c>
      <c r="R258" s="33" t="inlineStr">
        <is>
          <t>Diario de Cuyo</t>
        </is>
      </c>
      <c r="S258" s="32" t="inlineStr">
        <is>
          <t>news media</t>
        </is>
      </c>
      <c r="T258" s="32" t="inlineStr">
        <is>
          <t>secondary reported</t>
        </is>
      </c>
      <c r="U258" s="32" t="inlineStr"/>
    </row>
    <row r="259" ht="45.75" customHeight="1" s="24">
      <c r="A259" s="31" t="inlineStr">
        <is>
          <t>PS-0247</t>
        </is>
      </c>
      <c r="B259" s="31" t="inlineStr">
        <is>
          <t>2025-09-15</t>
        </is>
      </c>
      <c r="C259" s="31" t="inlineStr">
        <is>
          <t>Brazil</t>
        </is>
      </c>
      <c r="D259" s="31" t="inlineStr">
        <is>
          <t>Yes</t>
        </is>
      </c>
      <c r="E259" s="32" t="inlineStr">
        <is>
          <t>Alexandre Silveira</t>
        </is>
      </c>
      <c r="F259" s="32" t="inlineStr">
        <is>
          <t>Minister of Mines and Energy of Brazil</t>
        </is>
      </c>
      <c r="G259" s="32" t="inlineStr">
        <is>
          <t>LatAm executive</t>
        </is>
      </c>
      <c r="H259" s="32" t="inlineStr">
        <is>
          <t>official statement</t>
        </is>
      </c>
      <c r="I259" s="32" t="inlineStr">
        <is>
          <t>Announcement of restructured National Council of Mineral Policy (CNPM)</t>
        </is>
      </c>
      <c r="J259" s="32" t="inlineStr">
        <is>
          <t>Silveira announced the restructured National Council of Mineral Policy, chaired by Lula, prioritising critical minerals and rare earths, domestic industrialisation and fertiliser self-sufficiency, citing China's April 2025 restriction on rare-earth magnet exports as a supply-chain vulnerability.</t>
        </is>
      </c>
      <c r="K259" s="32" t="inlineStr">
        <is>
          <t>rare earths, critical minerals general, lithium</t>
        </is>
      </c>
      <c r="L259" s="32" t="inlineStr">
        <is>
          <t>value added industrialization, geopolitics security, export controls</t>
        </is>
      </c>
      <c r="M259" s="31" t="inlineStr">
        <is>
          <t>negative</t>
        </is>
      </c>
      <c r="N259" s="31" t="inlineStr">
        <is>
          <t>not mentioned</t>
        </is>
      </c>
      <c r="O259" s="32" t="inlineStr">
        <is>
          <t>planejar de forma mais estruturada a exploração mineral no país</t>
        </is>
      </c>
      <c r="P259" s="32" t="inlineStr">
        <is>
          <t>plan mineral exploration in the country in a more structured way</t>
        </is>
      </c>
      <c r="Q259" s="31" t="inlineStr">
        <is>
          <t>pt</t>
        </is>
      </c>
      <c r="R259" s="33" t="inlineStr">
        <is>
          <t>Congresso em Foco</t>
        </is>
      </c>
      <c r="S259" s="32" t="inlineStr">
        <is>
          <t>news media</t>
        </is>
      </c>
      <c r="T259" s="32" t="inlineStr">
        <is>
          <t>secondary reported</t>
        </is>
      </c>
      <c r="U259" s="32" t="inlineStr">
        <is>
          <t>stance_china 'negative' reflects framing of export-control risk; arguably neutral</t>
        </is>
      </c>
    </row>
    <row r="260" ht="45.75" customHeight="1" s="24">
      <c r="A260" s="31" t="inlineStr">
        <is>
          <t>PS-0248</t>
        </is>
      </c>
      <c r="B260" s="31" t="inlineStr">
        <is>
          <t>2025-09-18</t>
        </is>
      </c>
      <c r="C260" s="31" t="inlineStr">
        <is>
          <t>Brazil</t>
        </is>
      </c>
      <c r="D260" s="31" t="inlineStr">
        <is>
          <t>Yes</t>
        </is>
      </c>
      <c r="E260" s="32" t="inlineStr">
        <is>
          <t>Glauber Braga</t>
        </is>
      </c>
      <c r="F260" s="32" t="inlineStr">
        <is>
          <t>Federal Deputy (PSOL-RJ)</t>
        </is>
      </c>
      <c r="G260" s="32" t="inlineStr">
        <is>
          <t>LatAm legislature</t>
        </is>
      </c>
      <c r="H260" s="32" t="inlineStr">
        <is>
          <t>legislative debate</t>
        </is>
      </c>
      <c r="I260" s="32" t="inlineStr">
        <is>
          <t>Chamber vote on urgency for PL 2780/2024</t>
        </is>
      </c>
      <c r="J260" s="32" t="inlineStr">
        <is>
          <t>Opposing urgency for the critical minerals bill, Glauber Braga argued it would hand Brazil's critical and strategic minerals to foreign capital on a silver platter.</t>
        </is>
      </c>
      <c r="K260" s="32" t="inlineStr">
        <is>
          <t>critical minerals general</t>
        </is>
      </c>
      <c r="L260" s="32" t="inlineStr">
        <is>
          <t>sovereignty, foreign investment</t>
        </is>
      </c>
      <c r="M260" s="31" t="inlineStr">
        <is>
          <t>not mentioned</t>
        </is>
      </c>
      <c r="N260" s="31" t="inlineStr">
        <is>
          <t>not mentioned</t>
        </is>
      </c>
      <c r="O260" s="32" t="inlineStr"/>
      <c r="P260" s="32" t="inlineStr"/>
      <c r="Q260" s="31" t="inlineStr">
        <is>
          <t>pt</t>
        </is>
      </c>
      <c r="R260" s="33" t="inlineStr">
        <is>
          <t>Agência iNFRA</t>
        </is>
      </c>
      <c r="S260" s="32" t="inlineStr">
        <is>
          <t>news media</t>
        </is>
      </c>
      <c r="T260" s="32" t="inlineStr">
        <is>
          <t>secondary reported</t>
        </is>
      </c>
      <c r="U260" s="32" t="inlineStr">
        <is>
          <t>Quote seen only in translation</t>
        </is>
      </c>
    </row>
    <row r="261" ht="45.75" customHeight="1" s="24">
      <c r="A261" s="31" t="inlineStr">
        <is>
          <t>PS-0249</t>
        </is>
      </c>
      <c r="B261" s="31" t="inlineStr">
        <is>
          <t>2025-09-18</t>
        </is>
      </c>
      <c r="C261" s="31" t="inlineStr">
        <is>
          <t>Brazil</t>
        </is>
      </c>
      <c r="D261" s="31" t="inlineStr">
        <is>
          <t>Yes</t>
        </is>
      </c>
      <c r="E261" s="32" t="inlineStr">
        <is>
          <t>Hugo Motta</t>
        </is>
      </c>
      <c r="F261" s="32" t="inlineStr">
        <is>
          <t>President of the Chamber of Deputies</t>
        </is>
      </c>
      <c r="G261" s="32" t="inlineStr">
        <is>
          <t>LatAm legislature</t>
        </is>
      </c>
      <c r="H261" s="32" t="inlineStr">
        <is>
          <t>legislative debate</t>
        </is>
      </c>
      <c r="I261" s="32" t="inlineStr">
        <is>
          <t>Chamber vote approving urgency for PL 2780/2024 (369-38)</t>
        </is>
      </c>
      <c r="J261" s="32" t="inlineStr">
        <is>
          <t>After the Chamber approved urgency for the critical minerals bill by 369 to 38, Motta said the Chamber intended to lead a major debate on critical minerals and rare earths, ensuring exploitation with environmental respect, productivity and competitiveness.</t>
        </is>
      </c>
      <c r="K261" s="32" t="inlineStr">
        <is>
          <t>critical minerals general, rare earths</t>
        </is>
      </c>
      <c r="L261" s="32" t="inlineStr">
        <is>
          <t>environment water, value added industrialization</t>
        </is>
      </c>
      <c r="M261" s="31" t="inlineStr">
        <is>
          <t>not mentioned</t>
        </is>
      </c>
      <c r="N261" s="31" t="inlineStr">
        <is>
          <t>not mentioned</t>
        </is>
      </c>
      <c r="O261" s="32" t="inlineStr"/>
      <c r="P261" s="32" t="inlineStr"/>
      <c r="Q261" s="31" t="inlineStr">
        <is>
          <t>pt</t>
        </is>
      </c>
      <c r="R261" s="33" t="inlineStr">
        <is>
          <t>Agência iNFRA</t>
        </is>
      </c>
      <c r="S261" s="32" t="inlineStr">
        <is>
          <t>news media</t>
        </is>
      </c>
      <c r="T261" s="32" t="inlineStr">
        <is>
          <t>secondary reported</t>
        </is>
      </c>
      <c r="U261" s="32" t="inlineStr">
        <is>
          <t>Quote seen only in translation</t>
        </is>
      </c>
    </row>
    <row r="262" ht="45.75" customHeight="1" s="24">
      <c r="A262" s="31" t="inlineStr">
        <is>
          <t>PS-0250</t>
        </is>
      </c>
      <c r="B262" s="31" t="inlineStr">
        <is>
          <t>2025-09-23</t>
        </is>
      </c>
      <c r="C262" s="31" t="inlineStr">
        <is>
          <t>Peru</t>
        </is>
      </c>
      <c r="D262" s="31" t="inlineStr">
        <is>
          <t>Yes</t>
        </is>
      </c>
      <c r="E262" s="32" t="inlineStr">
        <is>
          <t>Rohel Sánchez</t>
        </is>
      </c>
      <c r="F262" s="32" t="inlineStr">
        <is>
          <t>Regional Governor of Arequipa</t>
        </is>
      </c>
      <c r="G262" s="32" t="inlineStr">
        <is>
          <t>LatAm executive</t>
        </is>
      </c>
      <c r="H262" s="32" t="inlineStr">
        <is>
          <t>interview</t>
        </is>
      </c>
      <c r="I262" s="32" t="inlineStr">
        <is>
          <t>Start of Tía María construction</t>
        </is>
      </c>
      <c r="J262" s="32" t="inlineStr">
        <is>
          <t>Sánchez said Southern had all authorizations to begin building Tía María in October 2025 and that the region would monitor the company's social commitments.</t>
        </is>
      </c>
      <c r="K262" s="32" t="inlineStr">
        <is>
          <t>copper</t>
        </is>
      </c>
      <c r="L262" s="32" t="inlineStr">
        <is>
          <t>foreign investment, royalties taxation, labor social conflict</t>
        </is>
      </c>
      <c r="M262" s="31" t="inlineStr">
        <is>
          <t>not mentioned</t>
        </is>
      </c>
      <c r="N262" s="31" t="inlineStr">
        <is>
          <t>not mentioned</t>
        </is>
      </c>
      <c r="O262" s="32" t="inlineStr">
        <is>
          <t>ya están listos para operar. Es un tema de que fijen la fecha</t>
        </is>
      </c>
      <c r="P262" s="32" t="inlineStr">
        <is>
          <t>they are already ready to operate. It is a matter of setting the date</t>
        </is>
      </c>
      <c r="Q262" s="31" t="inlineStr">
        <is>
          <t>es</t>
        </is>
      </c>
      <c r="R262" s="33" t="inlineStr">
        <is>
          <t>Forbes Perú</t>
        </is>
      </c>
      <c r="S262" s="32" t="inlineStr">
        <is>
          <t>news media</t>
        </is>
      </c>
      <c r="T262" s="32" t="inlineStr">
        <is>
          <t>secondary reported</t>
        </is>
      </c>
      <c r="U262" s="32" t="inlineStr"/>
    </row>
    <row r="263" ht="45.75" customHeight="1" s="24">
      <c r="A263" s="31" t="inlineStr">
        <is>
          <t>PS-0251</t>
        </is>
      </c>
      <c r="B263" s="31" t="inlineStr">
        <is>
          <t>2025-09-27</t>
        </is>
      </c>
      <c r="C263" s="31" t="inlineStr">
        <is>
          <t>Peru</t>
        </is>
      </c>
      <c r="D263" s="31" t="inlineStr">
        <is>
          <t>Yes</t>
        </is>
      </c>
      <c r="E263" s="32" t="inlineStr">
        <is>
          <t>Jorge Montero</t>
        </is>
      </c>
      <c r="F263" s="32" t="inlineStr">
        <is>
          <t>Minister of Energy and Mines of Peru</t>
        </is>
      </c>
      <c r="G263" s="32" t="inlineStr">
        <is>
          <t>LatAm executive</t>
        </is>
      </c>
      <c r="H263" s="32" t="inlineStr">
        <is>
          <t>speech</t>
        </is>
      </c>
      <c r="I263" s="32" t="inlineStr">
        <is>
          <t>PERUMIN 37, Arequipa</t>
        </is>
      </c>
      <c r="J263" s="32" t="inlineStr">
        <is>
          <t>At PERUMIN, Montero said Peru will remain an enormous opportunity for global mining for 25-30 years thanks to its geology and legal framework, and reported meetings with Japanese investors Mitsui, Sumitomo and Mitsubishi.</t>
        </is>
      </c>
      <c r="K263" s="32" t="inlineStr">
        <is>
          <t>copper, lithium, mining general</t>
        </is>
      </c>
      <c r="L263" s="32" t="inlineStr">
        <is>
          <t>foreign investment</t>
        </is>
      </c>
      <c r="M263" s="31" t="inlineStr">
        <is>
          <t>not mentioned</t>
        </is>
      </c>
      <c r="N263" s="31" t="inlineStr">
        <is>
          <t>not mentioned</t>
        </is>
      </c>
      <c r="O263" s="32" t="inlineStr">
        <is>
          <t>El Perú seguirá siendo, en los próximos 25 a 30 años, una oportunidad enorme para el desarrollo de la minería global</t>
        </is>
      </c>
      <c r="P263" s="32" t="inlineStr">
        <is>
          <t>Peru will remain, over the next 25 to 30 years, an enormous opportunity for the development of global mining</t>
        </is>
      </c>
      <c r="Q263" s="31" t="inlineStr">
        <is>
          <t>es</t>
        </is>
      </c>
      <c r="R263" s="33" t="inlineStr">
        <is>
          <t>Energiminas</t>
        </is>
      </c>
      <c r="S263" s="32" t="inlineStr">
        <is>
          <t>news media</t>
        </is>
      </c>
      <c r="T263" s="32" t="inlineStr">
        <is>
          <t>secondary reported</t>
        </is>
      </c>
      <c r="U263" s="32" t="inlineStr"/>
    </row>
    <row r="264" ht="45.75" customHeight="1" s="24">
      <c r="A264" s="31" t="inlineStr">
        <is>
          <t>PS-0252</t>
        </is>
      </c>
      <c r="B264" s="31" t="inlineStr">
        <is>
          <t>2025-10-09</t>
        </is>
      </c>
      <c r="C264" s="31" t="inlineStr">
        <is>
          <t>Argentina</t>
        </is>
      </c>
      <c r="D264" s="31" t="inlineStr">
        <is>
          <t>Yes</t>
        </is>
      </c>
      <c r="E264" s="32" t="inlineStr">
        <is>
          <t>Scott Bessent</t>
        </is>
      </c>
      <c r="F264" s="32" t="inlineStr">
        <is>
          <t>U.S. Secretary of the Treasury</t>
        </is>
      </c>
      <c r="G264" s="32" t="inlineStr">
        <is>
          <t>United States</t>
        </is>
      </c>
      <c r="H264" s="32" t="inlineStr">
        <is>
          <t>interview</t>
        </is>
      </c>
      <c r="I264" s="32" t="inlineStr">
        <is>
          <t>Fox News interview defending US$20bn US-Argentina currency swap</t>
        </is>
      </c>
      <c r="J264" s="32" t="inlineStr">
        <is>
          <t>Bessent said Milei was committed to getting China out of Argentina and that Argentina is rich in rare earths and uranium, with the government committed to the arrival and collaboration of private US companies.</t>
        </is>
      </c>
      <c r="K264" s="32" t="inlineStr">
        <is>
          <t>rare earths, critical minerals general</t>
        </is>
      </c>
      <c r="L264" s="32" t="inlineStr">
        <is>
          <t>geopolitics security, foreign investment, financing credit</t>
        </is>
      </c>
      <c r="M264" s="31" t="inlineStr">
        <is>
          <t>negative</t>
        </is>
      </c>
      <c r="N264" s="31" t="inlineStr">
        <is>
          <t>positive</t>
        </is>
      </c>
      <c r="O264" s="32" t="inlineStr"/>
      <c r="P264" s="32" t="inlineStr"/>
      <c r="Q264" s="31" t="inlineStr">
        <is>
          <t>en</t>
        </is>
      </c>
      <c r="R264" s="33" t="inlineStr">
        <is>
          <t>Canal 26</t>
        </is>
      </c>
      <c r="S264" s="32" t="inlineStr">
        <is>
          <t>news media</t>
        </is>
      </c>
      <c r="T264" s="32" t="inlineStr">
        <is>
          <t>secondary reported</t>
        </is>
      </c>
      <c r="U264" s="32" t="inlineStr">
        <is>
          <t>Original remarks in English; source reports them only in Spanish translation, so quote fields left empty. Uranium also mentioned (not in vocabulary). China embassy rebuttal reported by Perfil.</t>
        </is>
      </c>
    </row>
    <row r="265" ht="45.75" customHeight="1" s="24">
      <c r="A265" s="31" t="inlineStr">
        <is>
          <t>PS-0253</t>
        </is>
      </c>
      <c r="B265" s="31" t="inlineStr">
        <is>
          <t>2025-10-16</t>
        </is>
      </c>
      <c r="C265" s="31" t="inlineStr">
        <is>
          <t>Brazil</t>
        </is>
      </c>
      <c r="D265" s="31" t="inlineStr">
        <is>
          <t>Yes</t>
        </is>
      </c>
      <c r="E265" s="32" t="inlineStr">
        <is>
          <t>Alexandre Silveira</t>
        </is>
      </c>
      <c r="F265" s="32" t="inlineStr">
        <is>
          <t>Minister of Mines and Energy of Brazil</t>
        </is>
      </c>
      <c r="G265" s="32" t="inlineStr">
        <is>
          <t>LatAm executive</t>
        </is>
      </c>
      <c r="H265" s="32" t="inlineStr">
        <is>
          <t>speech</t>
        </is>
      </c>
      <c r="I265" s="32" t="inlineStr">
        <is>
          <t>Installation of the National Council of Mineral Policy (CNPM), Brasília, with Lula</t>
        </is>
      </c>
      <c r="J265" s="32" t="inlineStr">
        <is>
          <t>At the installation of the mineral policy council, Silveira said Brazil's abundant rare earths, niobium and copper offered a great opportunity and a window for synergy with the US, ahead of his meeting with US Energy Secretary Chris Wright.</t>
        </is>
      </c>
      <c r="K265" s="32" t="inlineStr">
        <is>
          <t>rare earths, niobium, copper, critical minerals general</t>
        </is>
      </c>
      <c r="L265" s="32" t="inlineStr">
        <is>
          <t>diplomatic relations, foreign investment, value added industrialization</t>
        </is>
      </c>
      <c r="M265" s="31" t="inlineStr">
        <is>
          <t>not mentioned</t>
        </is>
      </c>
      <c r="N265" s="31" t="inlineStr">
        <is>
          <t>positive</t>
        </is>
      </c>
      <c r="O265" s="32" t="inlineStr">
        <is>
          <t>Isso abre uma janela de oportunidade muito grande para que possamos construir uma sinergia com os Estados Unidos nessa área</t>
        </is>
      </c>
      <c r="P265" s="32" t="inlineStr">
        <is>
          <t>This opens a very large window of opportunity for us to build synergy with the United States in this area</t>
        </is>
      </c>
      <c r="Q265" s="31" t="inlineStr">
        <is>
          <t>pt</t>
        </is>
      </c>
      <c r="R265" s="33" t="inlineStr">
        <is>
          <t>Jovem Pan</t>
        </is>
      </c>
      <c r="S265" s="32" t="inlineStr">
        <is>
          <t>news media</t>
        </is>
      </c>
      <c r="T265" s="32" t="inlineStr">
        <is>
          <t>secondary reported</t>
        </is>
      </c>
      <c r="U265" s="32" t="inlineStr">
        <is>
          <t>See also eixos 16 Oct 2025; council described as advising Lula on rare earths (Times Brasil)</t>
        </is>
      </c>
    </row>
    <row r="266" ht="45.75" customHeight="1" s="24">
      <c r="A266" s="31" t="inlineStr">
        <is>
          <t>PS-0254</t>
        </is>
      </c>
      <c r="B266" s="31" t="inlineStr">
        <is>
          <t>2025-10-23</t>
        </is>
      </c>
      <c r="C266" s="31" t="inlineStr">
        <is>
          <t>Brazil</t>
        </is>
      </c>
      <c r="D266" s="31" t="inlineStr">
        <is>
          <t>Yes</t>
        </is>
      </c>
      <c r="E266" s="32" t="inlineStr">
        <is>
          <t>Luiz Inácio Lula da Silva</t>
        </is>
      </c>
      <c r="F266" s="32" t="inlineStr">
        <is>
          <t>President of Brazil</t>
        </is>
      </c>
      <c r="G266" s="32" t="inlineStr">
        <is>
          <t>LatAm executive</t>
        </is>
      </c>
      <c r="H266" s="32" t="inlineStr">
        <is>
          <t>speech</t>
        </is>
      </c>
      <c r="I266" s="32" t="inlineStr">
        <is>
          <t>Brazil-Indonesia business forum, Jakarta</t>
        </is>
      </c>
      <c r="J266" s="32" t="inlineStr">
        <is>
          <t>In Jakarta, Lula said Brazil already holds about 10% of world critical-mineral reserves with only 30% of its territory mapped, and that Brazil does not want to remain a mere commodity exporter but to add value domestically, citing Indonesia's downstream processing policy as an example.</t>
        </is>
      </c>
      <c r="K266" s="32" t="inlineStr">
        <is>
          <t>critical minerals general</t>
        </is>
      </c>
      <c r="L266" s="32" t="inlineStr">
        <is>
          <t>value added industrialization, processing refining, foreign investment</t>
        </is>
      </c>
      <c r="M266" s="31" t="inlineStr">
        <is>
          <t>not mentioned</t>
        </is>
      </c>
      <c r="N266" s="31" t="inlineStr">
        <is>
          <t>not mentioned</t>
        </is>
      </c>
      <c r="O266" s="32" t="inlineStr">
        <is>
          <t>Não queremos reproduzir a condição de meros exportadores de commodities. Queremos agregar valor em nosso território</t>
        </is>
      </c>
      <c r="P266" s="32" t="inlineStr">
        <is>
          <t>We do not want to reproduce the condition of mere commodity exporters. We want to add value in our territory</t>
        </is>
      </c>
      <c r="Q266" s="31" t="inlineStr">
        <is>
          <t>pt</t>
        </is>
      </c>
      <c r="R266" s="33" t="inlineStr">
        <is>
          <t>CNN Brasil</t>
        </is>
      </c>
      <c r="S266" s="32" t="inlineStr">
        <is>
          <t>news media</t>
        </is>
      </c>
      <c r="T266" s="32" t="inlineStr">
        <is>
          <t>secondary reported</t>
        </is>
      </c>
      <c r="U266" s="32" t="inlineStr">
        <is>
          <t>counterpart 'other' = Indonesia; days before Lula-Trump meeting in Kuala Lumpur</t>
        </is>
      </c>
    </row>
    <row r="267" ht="45.75" customHeight="1" s="24">
      <c r="A267" s="31" t="inlineStr">
        <is>
          <t>PS-0397</t>
        </is>
      </c>
      <c r="B267" s="31" t="inlineStr">
        <is>
          <t>2025-11</t>
        </is>
      </c>
      <c r="C267" s="31" t="inlineStr">
        <is>
          <t>Suriname</t>
        </is>
      </c>
      <c r="D267" s="31" t="inlineStr">
        <is>
          <t>Yes</t>
        </is>
      </c>
      <c r="E267" s="32" t="inlineStr">
        <is>
          <t>Gregory Rusland</t>
        </is>
      </c>
      <c r="F267" s="32" t="inlineStr">
        <is>
          <t>Vice President of Suriname (acting President at the time)</t>
        </is>
      </c>
      <c r="G267" s="32" t="inlineStr">
        <is>
          <t>LatAm executive</t>
        </is>
      </c>
      <c r="H267" s="32" t="inlineStr">
        <is>
          <t>official statement</t>
        </is>
      </c>
      <c r="I267" s="32" t="inlineStr">
        <is>
          <t>Government statement after a meeting with a Chinalco delegation: the 2024 MoU to be re-evaluated</t>
        </is>
      </c>
      <c r="J267" s="32" t="inlineStr">
        <is>
          <t>Rusland said the memorandum signed with Chinalco by the previous government would be re-evaluated and renegotiated so that the terms better serve Suriname's national interests.</t>
        </is>
      </c>
      <c r="K267" s="32" t="inlineStr">
        <is>
          <t>bauxite aluminum</t>
        </is>
      </c>
      <c r="L267" s="32" t="inlineStr">
        <is>
          <t>foreign investment, sovereignty</t>
        </is>
      </c>
      <c r="M267" s="31" t="inlineStr">
        <is>
          <t>mixed</t>
        </is>
      </c>
      <c r="N267" s="31" t="inlineStr">
        <is>
          <t>not mentioned</t>
        </is>
      </c>
      <c r="O267" s="32" t="inlineStr"/>
      <c r="P267" s="32" t="inlineStr"/>
      <c r="Q267" s="31" t="inlineStr">
        <is>
          <t>en</t>
        </is>
      </c>
      <c r="R267" s="33" t="inlineStr">
        <is>
          <t>Times of Suriname</t>
        </is>
      </c>
      <c r="S267" s="32" t="inlineStr">
        <is>
          <t>news media</t>
        </is>
      </c>
      <c r="T267" s="32" t="inlineStr">
        <is>
          <t>secondary reported</t>
        </is>
      </c>
      <c r="U267" s="32" t="inlineStr">
        <is>
          <t>Coded by an AI session (2026-10-09) under the README vocabularies, from web-search results that cite the page; the page itself was not opened. No verbatim quote retrieved; summary only. Month precision.</t>
        </is>
      </c>
    </row>
    <row r="268" ht="45.75" customHeight="1" s="24">
      <c r="A268" s="31" t="inlineStr">
        <is>
          <t>PS-0398</t>
        </is>
      </c>
      <c r="B268" s="31" t="inlineStr">
        <is>
          <t>2025-11</t>
        </is>
      </c>
      <c r="C268" s="31" t="inlineStr">
        <is>
          <t>Suriname</t>
        </is>
      </c>
      <c r="D268" s="31" t="inlineStr">
        <is>
          <t>Yes</t>
        </is>
      </c>
      <c r="E268" s="32" t="inlineStr">
        <is>
          <t>Jennifer Geerlings-Simons</t>
        </is>
      </c>
      <c r="F268" s="32" t="inlineStr">
        <is>
          <t>President of Suriname</t>
        </is>
      </c>
      <c r="G268" s="32" t="inlineStr">
        <is>
          <t>LatAm executive</t>
        </is>
      </c>
      <c r="H268" s="32" t="inlineStr">
        <is>
          <t>press conference</t>
        </is>
      </c>
      <c r="I268" s="32" t="inlineStr">
        <is>
          <t>Asked about talks with Chinalco after the vice president met a Chinese delegation</t>
        </is>
      </c>
      <c r="J268" s="32" t="inlineStr">
        <is>
          <t>Geerlings-Simons said her government was not holding talks with Chinalco (the vice president had received the company as a courtesy) and that Suriname would not export raw bauxite under any circumstances: ore must be processed into a product such as aluminium before export.</t>
        </is>
      </c>
      <c r="K268" s="32" t="inlineStr">
        <is>
          <t>bauxite aluminum</t>
        </is>
      </c>
      <c r="L268" s="32" t="inlineStr">
        <is>
          <t>value added industrialization, sovereignty, foreign investment</t>
        </is>
      </c>
      <c r="M268" s="31" t="inlineStr">
        <is>
          <t>neutral</t>
        </is>
      </c>
      <c r="N268" s="31" t="inlineStr">
        <is>
          <t>not mentioned</t>
        </is>
      </c>
      <c r="O268" s="32" t="inlineStr">
        <is>
          <t>under any circumstances</t>
        </is>
      </c>
      <c r="P268" s="32" t="inlineStr">
        <is>
          <t>under any circumstances</t>
        </is>
      </c>
      <c r="Q268" s="31" t="inlineStr">
        <is>
          <t>en</t>
        </is>
      </c>
      <c r="R268" s="33" t="inlineStr">
        <is>
          <t>Caribbean Today (CMC)</t>
        </is>
      </c>
      <c r="S268" s="32" t="inlineStr">
        <is>
          <t>news media</t>
        </is>
      </c>
      <c r="T268" s="32" t="inlineStr">
        <is>
          <t>secondary reported</t>
        </is>
      </c>
      <c r="U268" s="32" t="inlineStr">
        <is>
          <t>Coded by an AI session (2026-10-09) under the README vocabularies, from web-search results that cite the page; the page itself was not opened. Reported by CMC on 10 November 2025 (also Jamaica Observer); the remarks were made in Dutch, the fragment is CMC's English. Month precision.</t>
        </is>
      </c>
    </row>
    <row r="269" ht="45.75" customHeight="1" s="24">
      <c r="A269" s="31" t="inlineStr">
        <is>
          <t>PS-0255</t>
        </is>
      </c>
      <c r="B269" s="31" t="inlineStr">
        <is>
          <t>2025-11-07</t>
        </is>
      </c>
      <c r="C269" s="31" t="inlineStr">
        <is>
          <t>Bolivia</t>
        </is>
      </c>
      <c r="D269" s="31" t="inlineStr">
        <is>
          <t>Yes</t>
        </is>
      </c>
      <c r="E269" s="32" t="inlineStr">
        <is>
          <t>José Luis Lupo</t>
        </is>
      </c>
      <c r="F269" s="32" t="inlineStr">
        <is>
          <t>Senior economic adviser to President-elect Rodrigo Paz</t>
        </is>
      </c>
      <c r="G269" s="32" t="inlineStr">
        <is>
          <t>LatAm executive</t>
        </is>
      </c>
      <c r="H269" s="32" t="inlineStr">
        <is>
          <t>interview</t>
        </is>
      </c>
      <c r="I269" s="32" t="inlineStr">
        <is>
          <t>Bloomberg interview on transition lithium policy</t>
        </is>
      </c>
      <c r="J269" s="32" t="inlineStr">
        <is>
          <t>Paz's economic adviser said the incoming government would review the CATL and Uranium One lithium contracts, keeping anything positive, but believed they had been negotiated behind the regions' backs.</t>
        </is>
      </c>
      <c r="K269" s="32" t="inlineStr">
        <is>
          <t>lithium</t>
        </is>
      </c>
      <c r="L269" s="32" t="inlineStr">
        <is>
          <t>corruption governance, foreign investment</t>
        </is>
      </c>
      <c r="M269" s="31" t="inlineStr">
        <is>
          <t>not mentioned</t>
        </is>
      </c>
      <c r="N269" s="31" t="inlineStr">
        <is>
          <t>not mentioned</t>
        </is>
      </c>
      <c r="O269" s="32" t="inlineStr">
        <is>
          <t>Si hubiera algo positivo que retomar, se va a retomar. Pero nosotros creemos que esos contratos de litio han sido hechos a espaldas de las regiones</t>
        </is>
      </c>
      <c r="P269" s="32" t="inlineStr">
        <is>
          <t>If there is something positive to take up, it will be taken up. But we believe those lithium contracts were made behind the regions' backs</t>
        </is>
      </c>
      <c r="Q269" s="31" t="inlineStr">
        <is>
          <t>es</t>
        </is>
      </c>
      <c r="R269" s="33" t="inlineStr">
        <is>
          <t>Bloomberg Línea</t>
        </is>
      </c>
      <c r="S269" s="32" t="inlineStr">
        <is>
          <t>news media</t>
        </is>
      </c>
      <c r="T269" s="32" t="inlineStr">
        <is>
          <t>secondary reported</t>
        </is>
      </c>
      <c r="U269" s="32" t="inlineStr">
        <is>
          <t>Pre-inauguration (Paz took office 8 Nov 2025).</t>
        </is>
      </c>
    </row>
    <row r="270" ht="45.75" customHeight="1" s="24">
      <c r="A270" s="31" t="inlineStr">
        <is>
          <t>PS-0256</t>
        </is>
      </c>
      <c r="B270" s="31" t="inlineStr">
        <is>
          <t>2025-11-07</t>
        </is>
      </c>
      <c r="C270" s="31" t="inlineStr">
        <is>
          <t>Bolivia</t>
        </is>
      </c>
      <c r="D270" s="31" t="inlineStr">
        <is>
          <t>Yes</t>
        </is>
      </c>
      <c r="E270" s="32" t="inlineStr">
        <is>
          <t>Luis Arce</t>
        </is>
      </c>
      <c r="F270" s="32" t="inlineStr">
        <is>
          <t>President of Bolivia (outgoing)</t>
        </is>
      </c>
      <c r="G270" s="32" t="inlineStr">
        <is>
          <t>LatAm executive</t>
        </is>
      </c>
      <c r="H270" s="32" t="inlineStr">
        <is>
          <t>interview</t>
        </is>
      </c>
      <c r="I270" s="32" t="inlineStr">
        <is>
          <t>End of term; lithium contract future</t>
        </is>
      </c>
      <c r="J270" s="32" t="inlineStr">
        <is>
          <t>Outgoing President Arce warned that restarting lithium policy from scratch would be very costly and Bolivia could miss the opportunity.</t>
        </is>
      </c>
      <c r="K270" s="32" t="inlineStr">
        <is>
          <t>lithium</t>
        </is>
      </c>
      <c r="L270" s="32" t="inlineStr">
        <is>
          <t>foreign investment, value added industrialization</t>
        </is>
      </c>
      <c r="M270" s="31" t="inlineStr">
        <is>
          <t>not mentioned</t>
        </is>
      </c>
      <c r="N270" s="31" t="inlineStr">
        <is>
          <t>not mentioned</t>
        </is>
      </c>
      <c r="O270" s="32" t="inlineStr">
        <is>
          <t>Empezar de cero significaría un gran costo... Podemos perder el tren</t>
        </is>
      </c>
      <c r="P270" s="32" t="inlineStr">
        <is>
          <t>Starting from scratch would mean a great cost... We could miss the train</t>
        </is>
      </c>
      <c r="Q270" s="31" t="inlineStr">
        <is>
          <t>es</t>
        </is>
      </c>
      <c r="R270" s="33" t="inlineStr">
        <is>
          <t>Bloomberg Línea</t>
        </is>
      </c>
      <c r="S270" s="32" t="inlineStr">
        <is>
          <t>news media</t>
        </is>
      </c>
      <c r="T270" s="32" t="inlineStr">
        <is>
          <t>secondary reported</t>
        </is>
      </c>
      <c r="U270" s="32" t="inlineStr">
        <is>
          <t>Exact date of Arce's remark may predate article.</t>
        </is>
      </c>
    </row>
    <row r="271" ht="45.75" customHeight="1" s="24">
      <c r="A271" s="31" t="inlineStr">
        <is>
          <t>PS-0257</t>
        </is>
      </c>
      <c r="B271" s="31" t="inlineStr">
        <is>
          <t>2025-11-07</t>
        </is>
      </c>
      <c r="C271" s="31" t="inlineStr">
        <is>
          <t>Brazil</t>
        </is>
      </c>
      <c r="D271" s="31" t="inlineStr">
        <is>
          <t>Yes</t>
        </is>
      </c>
      <c r="E271" s="32" t="inlineStr">
        <is>
          <t>U.S. International Development Finance Corporation (DFC)</t>
        </is>
      </c>
      <c r="F271" s="32" t="inlineStr">
        <is>
          <t>US development finance agency</t>
        </is>
      </c>
      <c r="G271" s="32" t="inlineStr">
        <is>
          <t>United States</t>
        </is>
      </c>
      <c r="H271" s="32" t="inlineStr">
        <is>
          <t>official statement</t>
        </is>
      </c>
      <c r="I271" s="32" t="inlineStr">
        <is>
          <t>DFC financing for Serra Verde Pela Ema rare earth mine, Goiás</t>
        </is>
      </c>
      <c r="J271" s="32" t="inlineStr">
        <is>
          <t>DFC approved up to $465 million in financing for Serra Verde's rare earth mine in Goiás, part of Western efforts to reduce reliance on China for rare earths.</t>
        </is>
      </c>
      <c r="K271" s="32" t="inlineStr">
        <is>
          <t>rare earths</t>
        </is>
      </c>
      <c r="L271" s="32" t="inlineStr">
        <is>
          <t>financing credit, geopolitics security, foreign investment</t>
        </is>
      </c>
      <c r="M271" s="31" t="inlineStr">
        <is>
          <t>negative</t>
        </is>
      </c>
      <c r="N271" s="31" t="inlineStr">
        <is>
          <t>positive</t>
        </is>
      </c>
      <c r="O271" s="32" t="inlineStr"/>
      <c r="P271" s="32" t="inlineStr"/>
      <c r="Q271" s="31" t="inlineStr">
        <is>
          <t>en</t>
        </is>
      </c>
      <c r="R271" s="33" t="inlineStr">
        <is>
          <t>Bloomberg Government</t>
        </is>
      </c>
      <c r="S271" s="32" t="inlineStr">
        <is>
          <t>news media</t>
        </is>
      </c>
      <c r="T271" s="32" t="inlineStr">
        <is>
          <t>secondary reported</t>
        </is>
      </c>
      <c r="U271" s="32" t="inlineStr">
        <is>
          <t>Stance_china inferred from stated aim of diversifying from China</t>
        </is>
      </c>
    </row>
    <row r="272" ht="45.75" customHeight="1" s="24">
      <c r="A272" s="31" t="inlineStr">
        <is>
          <t>PS-0258</t>
        </is>
      </c>
      <c r="B272" s="31" t="inlineStr">
        <is>
          <t>2025-11-10</t>
        </is>
      </c>
      <c r="C272" s="31" t="inlineStr">
        <is>
          <t>Chile</t>
        </is>
      </c>
      <c r="D272" s="31" t="inlineStr">
        <is>
          <t>Yes</t>
        </is>
      </c>
      <c r="E272" s="32" t="inlineStr">
        <is>
          <t>State Administration for Market Regulation (SAMR)</t>
        </is>
      </c>
      <c r="F272" s="32" t="inlineStr">
        <is>
          <t>PRC antitrust regulator</t>
        </is>
      </c>
      <c r="G272" s="32" t="inlineStr">
        <is>
          <t>China</t>
        </is>
      </c>
      <c r="H272" s="32" t="inlineStr">
        <is>
          <t>decree or regulation</t>
        </is>
      </c>
      <c r="I272" s="32" t="inlineStr">
        <is>
          <t>Conditional merger clearance of Codelco-SQM lithium joint venture</t>
        </is>
      </c>
      <c r="J272" s="32" t="inlineStr">
        <is>
          <t>China's SAMR conditionally approved the Codelco-SQM lithium JV, requiring the parties to make best efforts to keep supplying lithium carbonate to Chinese customers and not refuse, restrict or delay supply.</t>
        </is>
      </c>
      <c r="K272" s="32" t="inlineStr">
        <is>
          <t>lithium</t>
        </is>
      </c>
      <c r="L272" s="32" t="inlineStr">
        <is>
          <t>trade deals offtake, export controls, geopolitics security</t>
        </is>
      </c>
      <c r="M272" s="31" t="inlineStr">
        <is>
          <t>positive</t>
        </is>
      </c>
      <c r="N272" s="31" t="inlineStr">
        <is>
          <t>not mentioned</t>
        </is>
      </c>
      <c r="O272" s="32" t="inlineStr">
        <is>
          <t>they should not turn down, restrict or delay supply to Chinese clients</t>
        </is>
      </c>
      <c r="P272" s="32" t="inlineStr">
        <is>
          <t>they should not turn down, restrict or delay supply to Chinese clients</t>
        </is>
      </c>
      <c r="Q272" s="31" t="inlineStr">
        <is>
          <t>en</t>
        </is>
      </c>
      <c r="R272" s="33" t="inlineStr">
        <is>
          <t>Mining Weekly (Reuters)</t>
        </is>
      </c>
      <c r="S272" s="32" t="inlineStr">
        <is>
          <t>news media</t>
        </is>
      </c>
      <c r="T272" s="32" t="inlineStr">
        <is>
          <t>secondary reported</t>
        </is>
      </c>
      <c r="U272" s="32" t="inlineStr">
        <is>
          <t>Quote is English translation of SAMR condition as reported by Reuters</t>
        </is>
      </c>
    </row>
    <row r="273" ht="45.75" customHeight="1" s="24">
      <c r="A273" s="31" t="inlineStr">
        <is>
          <t>PS-0259</t>
        </is>
      </c>
      <c r="B273" s="31" t="inlineStr">
        <is>
          <t>2025-11-13</t>
        </is>
      </c>
      <c r="C273" s="31" t="inlineStr">
        <is>
          <t>Argentina</t>
        </is>
      </c>
      <c r="D273" s="31" t="inlineStr">
        <is>
          <t>Yes</t>
        </is>
      </c>
      <c r="E273" s="32" t="inlineStr">
        <is>
          <t>Governments of the United States and Argentina</t>
        </is>
      </c>
      <c r="F273" s="32" t="inlineStr">
        <is>
          <t>Joint statement (White House)</t>
        </is>
      </c>
      <c r="G273" s="32" t="inlineStr">
        <is>
          <t>United States</t>
        </is>
      </c>
      <c r="H273" s="32" t="inlineStr">
        <is>
          <t>joint declaration or mou</t>
        </is>
      </c>
      <c r="I273" s="32" t="inlineStr">
        <is>
          <t>Framework for US-Argentina Agreement on Reciprocal Trade and Investment</t>
        </is>
      </c>
      <c r="J273" s="32" t="inlineStr">
        <is>
          <t>The joint framework commits both countries to cooperate on investment and trade in critical minerals, Argentina to cooperate against non-market policies of other countries, and both to align approaches on export controls and investment security.</t>
        </is>
      </c>
      <c r="K273" s="32" t="inlineStr">
        <is>
          <t>critical minerals general</t>
        </is>
      </c>
      <c r="L273" s="32" t="inlineStr">
        <is>
          <t>trade deals offtake, tariffs trade policy, export controls, geopolitics security</t>
        </is>
      </c>
      <c r="M273" s="31" t="inlineStr">
        <is>
          <t>negative</t>
        </is>
      </c>
      <c r="N273" s="31" t="inlineStr">
        <is>
          <t>positive</t>
        </is>
      </c>
      <c r="O273" s="32" t="inlineStr">
        <is>
          <t>Argentina and the United States will cooperate to facilitate investment and trade in critical minerals.</t>
        </is>
      </c>
      <c r="P273" s="32" t="inlineStr">
        <is>
          <t>Argentina and the United States will cooperate to facilitate investment and trade in critical minerals.</t>
        </is>
      </c>
      <c r="Q273" s="31" t="inlineStr">
        <is>
          <t>en</t>
        </is>
      </c>
      <c r="R273" s="33" t="inlineStr">
        <is>
          <t>Compilation of Presidential Documents (govinfo)</t>
        </is>
      </c>
      <c r="S273" s="32" t="inlineStr">
        <is>
          <t>primary official</t>
        </is>
      </c>
      <c r="T273" s="32" t="inlineStr">
        <is>
          <t>primary verified</t>
        </is>
      </c>
      <c r="U273" s="32" t="inlineStr">
        <is>
          <t>China not named; 'non-market policies of other countries' widely read as China, coded negative implicitly.</t>
        </is>
      </c>
    </row>
    <row r="274" ht="45.75" customHeight="1" s="24">
      <c r="A274" s="31" t="inlineStr">
        <is>
          <t>PS-0260</t>
        </is>
      </c>
      <c r="B274" s="31" t="inlineStr">
        <is>
          <t>2025-11-13</t>
        </is>
      </c>
      <c r="C274" s="31" t="inlineStr">
        <is>
          <t>Argentina</t>
        </is>
      </c>
      <c r="D274" s="31" t="inlineStr">
        <is>
          <t>Yes</t>
        </is>
      </c>
      <c r="E274" s="32" t="inlineStr">
        <is>
          <t>Governments of the United States and Argentina (joint statement)</t>
        </is>
      </c>
      <c r="F274" s="32" t="inlineStr">
        <is>
          <t>White House / USTR joint statement with Argentina</t>
        </is>
      </c>
      <c r="G274" s="32" t="inlineStr">
        <is>
          <t>United States</t>
        </is>
      </c>
      <c r="H274" s="32" t="inlineStr">
        <is>
          <t>joint declaration or mou</t>
        </is>
      </c>
      <c r="I274" s="32" t="inlineStr">
        <is>
          <t>Framework for US-Argentina Agreement on Reciprocal Trade and Investment</t>
        </is>
      </c>
      <c r="J274" s="32" t="inlineStr">
        <is>
          <t>The reciprocal trade framework announced by the White House includes a commitment that Argentina and the US will cooperate to facilitate investment and trade in critical minerals, building on the August 2024 MoU.</t>
        </is>
      </c>
      <c r="K274" s="32" t="inlineStr">
        <is>
          <t>critical minerals general, lithium</t>
        </is>
      </c>
      <c r="L274" s="32" t="inlineStr">
        <is>
          <t>trade deals offtake, foreign investment, tariffs trade policy</t>
        </is>
      </c>
      <c r="M274" s="31" t="inlineStr">
        <is>
          <t>not mentioned</t>
        </is>
      </c>
      <c r="N274" s="31" t="inlineStr">
        <is>
          <t>positive</t>
        </is>
      </c>
      <c r="O274" s="32" t="inlineStr">
        <is>
          <t>Argentina y Estados Unidos cooperarán para facilitar la inversión y el comercio de minerales críticos</t>
        </is>
      </c>
      <c r="P274" s="32" t="inlineStr">
        <is>
          <t>Argentina and the United States will cooperate to facilitate investment and trade in critical minerals</t>
        </is>
      </c>
      <c r="Q274" s="31" t="inlineStr">
        <is>
          <t>es</t>
        </is>
      </c>
      <c r="R274" s="33" t="inlineStr">
        <is>
          <t>MDZ Online</t>
        </is>
      </c>
      <c r="S274" s="32" t="inlineStr">
        <is>
          <t>news media</t>
        </is>
      </c>
      <c r="T274" s="32" t="inlineStr">
        <is>
          <t>secondary reported</t>
        </is>
      </c>
      <c r="U274" s="32" t="inlineStr">
        <is>
          <t>Quote is Spanish translation of the English joint statement; article dated 14 Nov 2025; WH fact sheet of 13 Nov 2025 does not mention minerals</t>
        </is>
      </c>
    </row>
    <row r="275" ht="45.75" customHeight="1" s="24">
      <c r="A275" s="31" t="inlineStr">
        <is>
          <t>PS-0261</t>
        </is>
      </c>
      <c r="B275" s="31" t="inlineStr">
        <is>
          <t>2025-11-18</t>
        </is>
      </c>
      <c r="C275" s="31" t="inlineStr">
        <is>
          <t>Bolivia</t>
        </is>
      </c>
      <c r="D275" s="31" t="inlineStr">
        <is>
          <t>Yes</t>
        </is>
      </c>
      <c r="E275" s="32" t="inlineStr">
        <is>
          <t>Marco Antonio Calderón de la Barca</t>
        </is>
      </c>
      <c r="F275" s="32" t="inlineStr">
        <is>
          <t>Minister of Mining and Metallurgy</t>
        </is>
      </c>
      <c r="G275" s="32" t="inlineStr">
        <is>
          <t>LatAm executive</t>
        </is>
      </c>
      <c r="H275" s="32" t="inlineStr">
        <is>
          <t>official statement</t>
        </is>
      </c>
      <c r="I275" s="32" t="inlineStr">
        <is>
          <t>New government mining agenda</t>
        </is>
      </c>
      <c r="J275" s="32" t="inlineStr">
        <is>
          <t>The new mining minister said Bolivia must increase the number of mining operations, offer legal certainty for foreign investment, and formalize cooperatives, noting mining provides over half of export earnings.</t>
        </is>
      </c>
      <c r="K275" s="32" t="inlineStr">
        <is>
          <t>zinc, silver, tin, mining general</t>
        </is>
      </c>
      <c r="L275" s="32" t="inlineStr">
        <is>
          <t>foreign investment, labor social conflict</t>
        </is>
      </c>
      <c r="M275" s="31" t="inlineStr">
        <is>
          <t>not mentioned</t>
        </is>
      </c>
      <c r="N275" s="31" t="inlineStr">
        <is>
          <t>not mentioned</t>
        </is>
      </c>
      <c r="O275" s="32" t="inlineStr">
        <is>
          <t>Tenemos que incrementar el número de operaciones mineras para que este aporte sea aún mayor</t>
        </is>
      </c>
      <c r="P275" s="32" t="inlineStr">
        <is>
          <t>We have to increase the number of mining operations so that this contribution is even greater</t>
        </is>
      </c>
      <c r="Q275" s="31" t="inlineStr">
        <is>
          <t>es</t>
        </is>
      </c>
      <c r="R275" s="33" t="inlineStr">
        <is>
          <t>Reporte Minero</t>
        </is>
      </c>
      <c r="S275" s="32" t="inlineStr">
        <is>
          <t>news media</t>
        </is>
      </c>
      <c r="T275" s="32" t="inlineStr">
        <is>
          <t>secondary reported</t>
        </is>
      </c>
      <c r="U275" s="32" t="inlineStr"/>
    </row>
    <row r="276" ht="45.75" customHeight="1" s="24">
      <c r="A276" s="31" t="inlineStr">
        <is>
          <t>PS-0262</t>
        </is>
      </c>
      <c r="B276" s="31" t="inlineStr">
        <is>
          <t>2025-11-24</t>
        </is>
      </c>
      <c r="C276" s="31" t="inlineStr">
        <is>
          <t>Peru</t>
        </is>
      </c>
      <c r="D276" s="31" t="inlineStr">
        <is>
          <t>Yes</t>
        </is>
      </c>
      <c r="E276" s="32" t="inlineStr">
        <is>
          <t>José Jerí</t>
        </is>
      </c>
      <c r="F276" s="32" t="inlineStr">
        <is>
          <t>President of Peru (interim)</t>
        </is>
      </c>
      <c r="G276" s="32" t="inlineStr">
        <is>
          <t>LatAm executive</t>
        </is>
      </c>
      <c r="H276" s="32" t="inlineStr">
        <is>
          <t>interview</t>
        </is>
      </c>
      <c r="I276" s="32" t="inlineStr">
        <is>
          <t>TV interview (El Valor de la Verdad) on REINFO extension</t>
        </is>
      </c>
      <c r="J276" s="32" t="inlineStr">
        <is>
          <t>Jerí said a one-year REINFO extension seemed reasonable rather than the two years proposed by Congress's commission, acknowledging families depend on informal mining and not wanting to leave a complicated situation to the next government.</t>
        </is>
      </c>
      <c r="K276" s="32" t="inlineStr">
        <is>
          <t>mining general</t>
        </is>
      </c>
      <c r="L276" s="32" t="inlineStr">
        <is>
          <t>corruption governance, labor social conflict</t>
        </is>
      </c>
      <c r="M276" s="31" t="inlineStr">
        <is>
          <t>not mentioned</t>
        </is>
      </c>
      <c r="N276" s="31" t="inlineStr">
        <is>
          <t>not mentioned</t>
        </is>
      </c>
      <c r="O276" s="32" t="inlineStr">
        <is>
          <t>Un año me suena razonable</t>
        </is>
      </c>
      <c r="P276" s="32" t="inlineStr">
        <is>
          <t>One year sounds reasonable to me</t>
        </is>
      </c>
      <c r="Q276" s="31" t="inlineStr">
        <is>
          <t>es</t>
        </is>
      </c>
      <c r="R276" s="33" t="inlineStr">
        <is>
          <t>Energiminas</t>
        </is>
      </c>
      <c r="S276" s="32" t="inlineStr">
        <is>
          <t>news media</t>
        </is>
      </c>
      <c r="T276" s="32" t="inlineStr">
        <is>
          <t>secondary reported</t>
        </is>
      </c>
      <c r="U276" s="32" t="inlineStr"/>
    </row>
    <row r="277" ht="45.75" customHeight="1" s="24">
      <c r="A277" s="31" t="inlineStr">
        <is>
          <t>PS-0263</t>
        </is>
      </c>
      <c r="B277" s="31" t="inlineStr">
        <is>
          <t>2025-12</t>
        </is>
      </c>
      <c r="C277" s="31" t="inlineStr">
        <is>
          <t>Regional</t>
        </is>
      </c>
      <c r="D277" s="31" t="inlineStr">
        <is>
          <t>No</t>
        </is>
      </c>
      <c r="E277" s="32" t="inlineStr">
        <is>
          <t>The White House (Trump administration)</t>
        </is>
      </c>
      <c r="F277" s="32" t="inlineStr">
        <is>
          <t>National Security Strategy of the United States</t>
        </is>
      </c>
      <c r="G277" s="32" t="inlineStr">
        <is>
          <t>United States</t>
        </is>
      </c>
      <c r="H277" s="32" t="inlineStr">
        <is>
          <t>report</t>
        </is>
      </c>
      <c r="I277" s="32" t="inlineStr">
        <is>
          <t>2025 National Security Strategy, 'Trump Corollary' to the Monroe Doctrine</t>
        </is>
      </c>
      <c r="J277" s="32" t="inlineStr">
        <is>
          <t>The NSS says the Western Hemisphere holds strategic resources the US should develop with regional allies, orders an interagency process to identify strategic points and resources for protection and joint development, and pledges to deny non-Hemispheric competitors ownership or control of strategically vital assets.</t>
        </is>
      </c>
      <c r="K277" s="32" t="inlineStr">
        <is>
          <t>critical minerals general</t>
        </is>
      </c>
      <c r="L277" s="32" t="inlineStr">
        <is>
          <t>geopolitics security, foreign investment, sovereignty</t>
        </is>
      </c>
      <c r="M277" s="31" t="inlineStr">
        <is>
          <t>negative</t>
        </is>
      </c>
      <c r="N277" s="31" t="inlineStr">
        <is>
          <t>positive</t>
        </is>
      </c>
      <c r="O277" s="32" t="inlineStr">
        <is>
          <t>The Western Hemisphere is home to many strategic resources that America should partner with regional allies to develop</t>
        </is>
      </c>
      <c r="P277" s="32" t="inlineStr">
        <is>
          <t>The Western Hemisphere is home to many strategic resources that America should partner with regional allies to develop</t>
        </is>
      </c>
      <c r="Q277" s="31" t="inlineStr">
        <is>
          <t>en</t>
        </is>
      </c>
      <c r="R277" s="33" t="inlineStr">
        <is>
          <t>The White House</t>
        </is>
      </c>
      <c r="S277" s="32" t="inlineStr">
        <is>
          <t>primary official</t>
        </is>
      </c>
      <c r="T277" s="32" t="inlineStr">
        <is>
          <t>primary verified</t>
        </is>
      </c>
      <c r="U277" s="32" t="inlineStr">
        <is>
          <t>Document dated November 2025, published early December 2025; China implied as 'non-Hemispheric competitor' (stance inferred)</t>
        </is>
      </c>
    </row>
    <row r="278" ht="45.75" customHeight="1" s="24">
      <c r="A278" s="31" t="inlineStr">
        <is>
          <t>PS-0264</t>
        </is>
      </c>
      <c r="B278" s="31" t="inlineStr">
        <is>
          <t>2025-12-04</t>
        </is>
      </c>
      <c r="C278" s="31" t="inlineStr">
        <is>
          <t>Peru</t>
        </is>
      </c>
      <c r="D278" s="31" t="inlineStr">
        <is>
          <t>Yes</t>
        </is>
      </c>
      <c r="E278" s="32" t="inlineStr">
        <is>
          <t>Congress of the Republic of Peru</t>
        </is>
      </c>
      <c r="F278" s="32" t="inlineStr">
        <is>
          <t>Plenary of Congress</t>
        </is>
      </c>
      <c r="G278" s="32" t="inlineStr">
        <is>
          <t>LatAm legislature</t>
        </is>
      </c>
      <c r="H278" s="32" t="inlineStr">
        <is>
          <t>legislative debate</t>
        </is>
      </c>
      <c r="I278" s="32" t="inlineStr">
        <is>
          <t>First vote extending REINFO to 31 Dec 2026</t>
        </is>
      </c>
      <c r="J278" s="32" t="inlineStr">
        <is>
          <t>The plenary voted 60-36-8 to extend REINFO until 31 December 2026 or until a new small-scale and artisanal mining law takes effect, while rejecting provisions to suspend exclusions; the second vote was set for the Permanent Commission on 17 December.</t>
        </is>
      </c>
      <c r="K278" s="32" t="inlineStr">
        <is>
          <t>mining general</t>
        </is>
      </c>
      <c r="L278" s="32" t="inlineStr">
        <is>
          <t>corruption governance, labor social conflict</t>
        </is>
      </c>
      <c r="M278" s="31" t="inlineStr">
        <is>
          <t>not mentioned</t>
        </is>
      </c>
      <c r="N278" s="31" t="inlineStr">
        <is>
          <t>not mentioned</t>
        </is>
      </c>
      <c r="O278" s="32" t="inlineStr"/>
      <c r="P278" s="32" t="inlineStr"/>
      <c r="Q278" s="31" t="inlineStr">
        <is>
          <t>es</t>
        </is>
      </c>
      <c r="R278" s="33" t="inlineStr">
        <is>
          <t>El Búho</t>
        </is>
      </c>
      <c r="S278" s="32" t="inlineStr">
        <is>
          <t>news media</t>
        </is>
      </c>
      <c r="T278" s="32" t="inlineStr">
        <is>
          <t>secondary reported</t>
        </is>
      </c>
      <c r="U278" s="32" t="inlineStr"/>
    </row>
    <row r="279" ht="45.75" customHeight="1" s="24">
      <c r="A279" s="31" t="inlineStr">
        <is>
          <t>PS-0265</t>
        </is>
      </c>
      <c r="B279" s="31" t="inlineStr">
        <is>
          <t>2025-12-08</t>
        </is>
      </c>
      <c r="C279" s="31" t="inlineStr">
        <is>
          <t>Bolivia</t>
        </is>
      </c>
      <c r="D279" s="31" t="inlineStr">
        <is>
          <t>Yes</t>
        </is>
      </c>
      <c r="E279" s="32" t="inlineStr">
        <is>
          <t>Rodrigo Paz</t>
        </is>
      </c>
      <c r="F279" s="32" t="inlineStr">
        <is>
          <t>President of Bolivia</t>
        </is>
      </c>
      <c r="G279" s="32" t="inlineStr">
        <is>
          <t>LatAm executive</t>
        </is>
      </c>
      <c r="H279" s="32" t="inlineStr">
        <is>
          <t>speech</t>
        </is>
      </c>
      <c r="I279" s="32" t="inlineStr">
        <is>
          <t>Lithium policy amid US-China competition</t>
        </is>
      </c>
      <c r="J279" s="32" t="inlineStr">
        <is>
          <t>Paz said lithium is not a project in itself but a leverage base so that Bolivia's nine departments have capacity, proposing that the state manage 50% of mining resources.</t>
        </is>
      </c>
      <c r="K279" s="32" t="inlineStr">
        <is>
          <t>lithium</t>
        </is>
      </c>
      <c r="L279" s="32" t="inlineStr">
        <is>
          <t>value added industrialization, royalties taxation</t>
        </is>
      </c>
      <c r="M279" s="31" t="inlineStr">
        <is>
          <t>not mentioned</t>
        </is>
      </c>
      <c r="N279" s="31" t="inlineStr">
        <is>
          <t>not mentioned</t>
        </is>
      </c>
      <c r="O279" s="32" t="inlineStr">
        <is>
          <t>El litio no es un proyecto en sí mismo, sino que es una base de apalancamiento para que los nueve departamentos tengan la capacidad</t>
        </is>
      </c>
      <c r="P279" s="32" t="inlineStr">
        <is>
          <t>Lithium is not a project in itself, but a leverage base so that the nine departments have the capacity</t>
        </is>
      </c>
      <c r="Q279" s="31" t="inlineStr">
        <is>
          <t>es</t>
        </is>
      </c>
      <c r="R279" s="33" t="inlineStr">
        <is>
          <t>Los Tiempos</t>
        </is>
      </c>
      <c r="S279" s="32" t="inlineStr">
        <is>
          <t>news media</t>
        </is>
      </c>
      <c r="T279" s="32" t="inlineStr">
        <is>
          <t>secondary reported</t>
        </is>
      </c>
      <c r="U279" s="32" t="inlineStr">
        <is>
          <t>Date is article date; date of Paz's remark may be earlier.</t>
        </is>
      </c>
    </row>
    <row r="280" ht="45.75" customHeight="1" s="24">
      <c r="A280" s="31" t="inlineStr">
        <is>
          <t>PS-0266</t>
        </is>
      </c>
      <c r="B280" s="31" t="inlineStr">
        <is>
          <t>2025-12-09</t>
        </is>
      </c>
      <c r="C280" s="31" t="inlineStr">
        <is>
          <t>Brazil</t>
        </is>
      </c>
      <c r="D280" s="31" t="inlineStr">
        <is>
          <t>Yes</t>
        </is>
      </c>
      <c r="E280" s="32" t="inlineStr">
        <is>
          <t>Comissão de Assuntos Econômicos (CAE), Senado Federal</t>
        </is>
      </c>
      <c r="F280" s="32" t="inlineStr">
        <is>
          <t>Senate Economic Affairs Committee</t>
        </is>
      </c>
      <c r="G280" s="32" t="inlineStr">
        <is>
          <t>LatAm legislature</t>
        </is>
      </c>
      <c r="H280" s="32" t="inlineStr">
        <is>
          <t>legislative debate</t>
        </is>
      </c>
      <c r="I280" s="32" t="inlineStr">
        <is>
          <t>CAE vote on PL 4443/2025 (Senate critical minerals bill)</t>
        </is>
      </c>
      <c r="J280" s="32" t="inlineStr">
        <is>
          <t>The Senate Economic Affairs Committee approved Senator Esperidião Amin's report on an alternative critical minerals bill (PL 4443/2025), sending it to the Infrastructure Committee, while the Chamber's PL 2780/2024 vote was postponed to 2026.</t>
        </is>
      </c>
      <c r="K280" s="32" t="inlineStr">
        <is>
          <t>critical minerals general</t>
        </is>
      </c>
      <c r="L280" s="32" t="inlineStr">
        <is>
          <t>value added industrialization</t>
        </is>
      </c>
      <c r="M280" s="31" t="inlineStr">
        <is>
          <t>not mentioned</t>
        </is>
      </c>
      <c r="N280" s="31" t="inlineStr">
        <is>
          <t>not mentioned</t>
        </is>
      </c>
      <c r="O280" s="32" t="inlineStr"/>
      <c r="P280" s="32" t="inlineStr"/>
      <c r="Q280" s="31" t="inlineStr">
        <is>
          <t>pt</t>
        </is>
      </c>
      <c r="R280" s="33" t="inlineStr">
        <is>
          <t>Agência iNFRA</t>
        </is>
      </c>
      <c r="S280" s="32" t="inlineStr">
        <is>
          <t>news media</t>
        </is>
      </c>
      <c r="T280" s="32" t="inlineStr">
        <is>
          <t>secondary reported</t>
        </is>
      </c>
      <c r="U280" s="32" t="inlineStr">
        <is>
          <t>Same article quotes Jardim: 'Como ficou lotado de pautas, vai ficar para fevereiro'</t>
        </is>
      </c>
    </row>
    <row r="281" ht="45.75" customHeight="1" s="24">
      <c r="A281" s="31" t="inlineStr">
        <is>
          <t>PS-0267</t>
        </is>
      </c>
      <c r="B281" s="31" t="inlineStr">
        <is>
          <t>2025-12-10</t>
        </is>
      </c>
      <c r="C281" s="31" t="inlineStr">
        <is>
          <t>Regional</t>
        </is>
      </c>
      <c r="D281" s="31" t="inlineStr">
        <is>
          <t>No</t>
        </is>
      </c>
      <c r="E281" s="32" t="inlineStr">
        <is>
          <t>Government of the People's Republic of China</t>
        </is>
      </c>
      <c r="F281" s="32" t="inlineStr">
        <is>
          <t>Central government (policy paper issued via Xinhua)</t>
        </is>
      </c>
      <c r="G281" s="32" t="inlineStr">
        <is>
          <t>China</t>
        </is>
      </c>
      <c r="H281" s="32" t="inlineStr">
        <is>
          <t>report</t>
        </is>
      </c>
      <c r="I281" s="32" t="inlineStr">
        <is>
          <t>Third China's Policy Paper on Latin America and the Caribbean</t>
        </is>
      </c>
      <c r="J281" s="32" t="inlineStr">
        <is>
          <t>China's third policy paper on LAC, under its energy and resources cooperation section, pledges full-industrial-chain energy cooperation and green development and use of mineral resources across all stages. It also proposes mechanisms for long-term supply of energy and resource products with local-currency pricing and settlement.</t>
        </is>
      </c>
      <c r="K281" s="32" t="inlineStr">
        <is>
          <t>mining general, critical minerals general</t>
        </is>
      </c>
      <c r="L281" s="32" t="inlineStr">
        <is>
          <t>energy transition, environment water, trade deals offtake, foreign investment, diplomatic relations</t>
        </is>
      </c>
      <c r="M281" s="31" t="inlineStr">
        <is>
          <t>positive</t>
        </is>
      </c>
      <c r="N281" s="31" t="inlineStr">
        <is>
          <t>not mentioned</t>
        </is>
      </c>
      <c r="O281" s="32" t="inlineStr">
        <is>
          <t>加强矿产资源各环节绿色开发利用</t>
        </is>
      </c>
      <c r="P281" s="32" t="inlineStr">
        <is>
          <t>Strengthen the green development and utilization of mineral resources across all links</t>
        </is>
      </c>
      <c r="Q281" s="31" t="inlineStr">
        <is>
          <t>zh</t>
        </is>
      </c>
      <c r="R281" s="33" t="inlineStr">
        <is>
          <t>Xinhua (news.cn)</t>
        </is>
      </c>
      <c r="S281" s="32" t="inlineStr">
        <is>
          <t>primary official</t>
        </is>
      </c>
      <c r="T281" s="32" t="inlineStr">
        <is>
          <t>primary verified</t>
        </is>
      </c>
      <c r="U281" s="32" t="inlineStr">
        <is>
          <t>Section (五) 能源资源合作; full text published by Xinhua; English version referenced at english.www.gov.cn content_WS693962c3c6d00ca5f9a08069</t>
        </is>
      </c>
    </row>
    <row r="282" ht="45.75" customHeight="1" s="24">
      <c r="A282" s="31" t="inlineStr">
        <is>
          <t>PS-0268</t>
        </is>
      </c>
      <c r="B282" s="31" t="inlineStr">
        <is>
          <t>2025-12-11</t>
        </is>
      </c>
      <c r="C282" s="31" t="inlineStr">
        <is>
          <t>Ecuador</t>
        </is>
      </c>
      <c r="D282" s="31" t="inlineStr">
        <is>
          <t>Yes</t>
        </is>
      </c>
      <c r="E282" s="32" t="inlineStr">
        <is>
          <t>Javier Subía</t>
        </is>
      </c>
      <c r="F282" s="32" t="inlineStr">
        <is>
          <t>Vice Minister of Mines of Ecuador</t>
        </is>
      </c>
      <c r="G282" s="32" t="inlineStr">
        <is>
          <t>LatAm executive</t>
        </is>
      </c>
      <c r="H282" s="32" t="inlineStr">
        <is>
          <t>interview</t>
        </is>
      </c>
      <c r="I282" s="32" t="inlineStr">
        <is>
          <t>Mining cadastre reopening plans</t>
        </is>
      </c>
      <c r="J282" s="32" t="inlineStr">
        <is>
          <t>The vice minister said the cadastre for medium and large metallic mining would reopen in 2026 after eight years closed, calling 2026 the big year for large-scale metal mining, and said Loma Larga remained suspended.</t>
        </is>
      </c>
      <c r="K282" s="32" t="inlineStr">
        <is>
          <t>copper, silver, mining general</t>
        </is>
      </c>
      <c r="L282" s="32" t="inlineStr">
        <is>
          <t>foreign investment, corruption governance</t>
        </is>
      </c>
      <c r="M282" s="31" t="inlineStr">
        <is>
          <t>not mentioned</t>
        </is>
      </c>
      <c r="N282" s="31" t="inlineStr">
        <is>
          <t>not mentioned</t>
        </is>
      </c>
      <c r="O282" s="32" t="inlineStr"/>
      <c r="P282" s="32" t="inlineStr"/>
      <c r="Q282" s="31" t="inlineStr">
        <is>
          <t>es</t>
        </is>
      </c>
      <c r="R282" s="33" t="inlineStr">
        <is>
          <t>Primicias</t>
        </is>
      </c>
      <c r="S282" s="32" t="inlineStr">
        <is>
          <t>news media</t>
        </is>
      </c>
      <c r="T282" s="32" t="inlineStr">
        <is>
          <t>secondary reported</t>
        </is>
      </c>
      <c r="U282" s="32" t="inlineStr">
        <is>
          <t>Spanish wording not captured; paraphrased.</t>
        </is>
      </c>
    </row>
    <row r="283" ht="45.75" customHeight="1" s="24">
      <c r="A283" s="31" t="inlineStr">
        <is>
          <t>PS-0269</t>
        </is>
      </c>
      <c r="B283" s="31" t="inlineStr">
        <is>
          <t>2025-12-11</t>
        </is>
      </c>
      <c r="C283" s="31" t="inlineStr">
        <is>
          <t>Peru</t>
        </is>
      </c>
      <c r="D283" s="31" t="inlineStr">
        <is>
          <t>Yes</t>
        </is>
      </c>
      <c r="E283" s="32" t="inlineStr">
        <is>
          <t>Hugo de Zela</t>
        </is>
      </c>
      <c r="F283" s="32" t="inlineStr">
        <is>
          <t>Minister of Foreign Affairs of Peru</t>
        </is>
      </c>
      <c r="G283" s="32" t="inlineStr">
        <is>
          <t>LatAm executive</t>
        </is>
      </c>
      <c r="H283" s="32" t="inlineStr">
        <is>
          <t>press conference</t>
        </is>
      </c>
      <c r="I283" s="32" t="inlineStr">
        <is>
          <t>Evaluation of critical minerals MoU with the US</t>
        </is>
      </c>
      <c r="J283" s="32" t="inlineStr">
        <is>
          <t>De Zela said Peru was evaluating a memorandum of understanding with the United States on critical minerals, noting Washington's strong interest given Peru's status as the third-largest copper producer.</t>
        </is>
      </c>
      <c r="K283" s="32" t="inlineStr">
        <is>
          <t>copper, critical minerals general</t>
        </is>
      </c>
      <c r="L283" s="32" t="inlineStr">
        <is>
          <t>trade deals offtake, diplomatic relations</t>
        </is>
      </c>
      <c r="M283" s="31" t="inlineStr">
        <is>
          <t>not mentioned</t>
        </is>
      </c>
      <c r="N283" s="31" t="inlineStr">
        <is>
          <t>positive</t>
        </is>
      </c>
      <c r="O283" s="32" t="inlineStr">
        <is>
          <t>Peru is evaluating a memorandum of understanding with the United States on critical minerals</t>
        </is>
      </c>
      <c r="P283" s="32" t="inlineStr">
        <is>
          <t>Peru is evaluating a memorandum of understanding with the United States on critical minerals</t>
        </is>
      </c>
      <c r="Q283" s="31" t="inlineStr">
        <is>
          <t>en</t>
        </is>
      </c>
      <c r="R283" s="33" t="inlineStr">
        <is>
          <t>Mining Reporters</t>
        </is>
      </c>
      <c r="S283" s="32" t="inlineStr">
        <is>
          <t>news media</t>
        </is>
      </c>
      <c r="T283" s="32" t="inlineStr">
        <is>
          <t>secondary reported</t>
        </is>
      </c>
      <c r="U283" s="32" t="inlineStr">
        <is>
          <t>English translation of Spanish remarks</t>
        </is>
      </c>
    </row>
    <row r="284" ht="45.75" customHeight="1" s="24">
      <c r="A284" s="31" t="inlineStr">
        <is>
          <t>PS-0270</t>
        </is>
      </c>
      <c r="B284" s="31" t="inlineStr">
        <is>
          <t>2025-12-17</t>
        </is>
      </c>
      <c r="C284" s="31" t="inlineStr">
        <is>
          <t>Colombia</t>
        </is>
      </c>
      <c r="D284" s="31" t="inlineStr">
        <is>
          <t>Yes</t>
        </is>
      </c>
      <c r="E284" s="32" t="inlineStr">
        <is>
          <t>Edwin Palma</t>
        </is>
      </c>
      <c r="F284" s="32" t="inlineStr">
        <is>
          <t>Minister of Mines and Energy of Colombia</t>
        </is>
      </c>
      <c r="G284" s="32" t="inlineStr">
        <is>
          <t>LatAm executive</t>
        </is>
      </c>
      <c r="H284" s="32" t="inlineStr">
        <is>
          <t>official statement</t>
        </is>
      </c>
      <c r="I284" s="32" t="inlineStr">
        <is>
          <t>Launch of mining round of 14 Strategic Mining Areas</t>
        </is>
      </c>
      <c r="J284" s="32" t="inlineStr">
        <is>
          <t>The minister opened a new mining round offering 14 Strategic Mining Areas with copper, gold and polymetallic potential, presented as supporting the energy transition and reindustrialization.</t>
        </is>
      </c>
      <c r="K284" s="32" t="inlineStr">
        <is>
          <t>copper, mining general</t>
        </is>
      </c>
      <c r="L284" s="32" t="inlineStr">
        <is>
          <t>energy transition, foreign investment, value added industrialization</t>
        </is>
      </c>
      <c r="M284" s="31" t="inlineStr">
        <is>
          <t>not mentioned</t>
        </is>
      </c>
      <c r="N284" s="31" t="inlineStr">
        <is>
          <t>not mentioned</t>
        </is>
      </c>
      <c r="O284" s="32" t="inlineStr">
        <is>
          <t>Estas 14 Áreas Estratégicas Mineras son territorios libres, categorizados y con alto potencial mineral, que ya cuentan con certificaciones ambientales</t>
        </is>
      </c>
      <c r="P284" s="32" t="inlineStr">
        <is>
          <t>These 14 Strategic Mining Areas are free, categorized territories with high mineral potential that already have environmental certifications</t>
        </is>
      </c>
      <c r="Q284" s="31" t="inlineStr">
        <is>
          <t>es</t>
        </is>
      </c>
      <c r="R284" s="33" t="inlineStr">
        <is>
          <t>Portafolio</t>
        </is>
      </c>
      <c r="S284" s="32" t="inlineStr">
        <is>
          <t>news media</t>
        </is>
      </c>
      <c r="T284" s="32" t="inlineStr">
        <is>
          <t>secondary reported</t>
        </is>
      </c>
      <c r="U284" s="32" t="inlineStr"/>
    </row>
    <row r="285" ht="45.75" customHeight="1" s="24">
      <c r="A285" s="31" t="inlineStr">
        <is>
          <t>PS-0404</t>
        </is>
      </c>
      <c r="B285" s="31" t="inlineStr">
        <is>
          <t>2025-12-17</t>
        </is>
      </c>
      <c r="C285" s="31" t="inlineStr">
        <is>
          <t>Paraguay</t>
        </is>
      </c>
      <c r="D285" s="31" t="inlineStr">
        <is>
          <t>Yes</t>
        </is>
      </c>
      <c r="E285" s="32" t="inlineStr">
        <is>
          <t>Mauricio Bejarano</t>
        </is>
      </c>
      <c r="F285" s="32" t="inlineStr">
        <is>
          <t>Vice Minister of Mines and Energy</t>
        </is>
      </c>
      <c r="G285" s="32" t="inlineStr">
        <is>
          <t>LatAm executive</t>
        </is>
      </c>
      <c r="H285" s="32" t="inlineStr">
        <is>
          <t>interview</t>
        </is>
      </c>
      <c r="I285" s="32" t="inlineStr">
        <is>
          <t>On international interest in Paraguay's titanium and uranium</t>
        </is>
      </c>
      <c r="J285" s="32" t="inlineStr">
        <is>
          <t>Bejarano said Paraguay has about eight million pounds of uranium but that the main limitation is that the reserve is not yet certified.</t>
        </is>
      </c>
      <c r="K285" s="32" t="inlineStr">
        <is>
          <t>uranium</t>
        </is>
      </c>
      <c r="L285" s="32" t="inlineStr">
        <is>
          <t>foreign investment</t>
        </is>
      </c>
      <c r="M285" s="31" t="inlineStr">
        <is>
          <t>not mentioned</t>
        </is>
      </c>
      <c r="N285" s="31" t="inlineStr">
        <is>
          <t>not mentioned</t>
        </is>
      </c>
      <c r="O285" s="32" t="inlineStr"/>
      <c r="P285" s="32" t="inlineStr"/>
      <c r="Q285" s="31" t="inlineStr">
        <is>
          <t>es</t>
        </is>
      </c>
      <c r="R285" s="33" t="inlineStr">
        <is>
          <t>La Nación (Paraguay)</t>
        </is>
      </c>
      <c r="S285" s="32" t="inlineStr">
        <is>
          <t>news media</t>
        </is>
      </c>
      <c r="T285" s="32" t="inlineStr">
        <is>
          <t>secondary reported</t>
        </is>
      </c>
      <c r="U285" s="32" t="inlineStr">
        <is>
          <t>Coded by an AI session (2026-10-09) under the README vocabularies, from web-search results that cite the page; the page itself was not opened. Paraphrase only; no verbatim quote retrieved.</t>
        </is>
      </c>
    </row>
    <row r="286" ht="45.75" customHeight="1" s="24">
      <c r="A286" s="31" t="inlineStr">
        <is>
          <t>PS-0271</t>
        </is>
      </c>
      <c r="B286" s="31" t="inlineStr">
        <is>
          <t>2026-01-16</t>
        </is>
      </c>
      <c r="C286" s="31" t="inlineStr">
        <is>
          <t>Bolivia</t>
        </is>
      </c>
      <c r="D286" s="31" t="inlineStr">
        <is>
          <t>Yes</t>
        </is>
      </c>
      <c r="E286" s="32" t="inlineStr">
        <is>
          <t>Mauricio Medinaceli</t>
        </is>
      </c>
      <c r="F286" s="32" t="inlineStr">
        <is>
          <t>Minister of Hydrocarbons and Energy</t>
        </is>
      </c>
      <c r="G286" s="32" t="inlineStr">
        <is>
          <t>LatAm executive</t>
        </is>
      </c>
      <c r="H286" s="32" t="inlineStr">
        <is>
          <t>official statement</t>
        </is>
      </c>
      <c r="I286" s="32" t="inlineStr">
        <is>
          <t>Investment certainty for energy and lithium</t>
        </is>
      </c>
      <c r="J286" s="32" t="inlineStr">
        <is>
          <t>Medinaceli said the government would honor existing agreements, including those with China- and Russia-linked firms, to give predictability to investors, while pledging more contract transparency and independent resource certification.</t>
        </is>
      </c>
      <c r="K286" s="32" t="inlineStr">
        <is>
          <t>lithium</t>
        </is>
      </c>
      <c r="L286" s="32" t="inlineStr">
        <is>
          <t>foreign investment, corruption governance</t>
        </is>
      </c>
      <c r="M286" s="31" t="inlineStr">
        <is>
          <t>neutral</t>
        </is>
      </c>
      <c r="N286" s="31" t="inlineStr">
        <is>
          <t>not mentioned</t>
        </is>
      </c>
      <c r="O286" s="32" t="inlineStr">
        <is>
          <t>previsibilidad a quienes ya invirtieron</t>
        </is>
      </c>
      <c r="P286" s="32" t="inlineStr">
        <is>
          <t>predictability to those who have already invested</t>
        </is>
      </c>
      <c r="Q286" s="31" t="inlineStr">
        <is>
          <t>es</t>
        </is>
      </c>
      <c r="R286" s="33" t="inlineStr">
        <is>
          <t>Reporte Minero</t>
        </is>
      </c>
      <c r="S286" s="32" t="inlineStr">
        <is>
          <t>news media</t>
        </is>
      </c>
      <c r="T286" s="32" t="inlineStr">
        <is>
          <t>secondary reported</t>
        </is>
      </c>
      <c r="U286" s="32" t="inlineStr"/>
    </row>
    <row r="287" ht="45.75" customHeight="1" s="24">
      <c r="A287" s="31" t="inlineStr">
        <is>
          <t>PS-0272</t>
        </is>
      </c>
      <c r="B287" s="31" t="inlineStr">
        <is>
          <t>2026-01-21</t>
        </is>
      </c>
      <c r="C287" s="31" t="inlineStr">
        <is>
          <t>Brazil</t>
        </is>
      </c>
      <c r="D287" s="31" t="inlineStr">
        <is>
          <t>Yes</t>
        </is>
      </c>
      <c r="E287" s="32" t="inlineStr">
        <is>
          <t>Ministério de Minas e Energia (Ana Paula Bittencourt)</t>
        </is>
      </c>
      <c r="F287" s="32" t="inlineStr">
        <is>
          <t>Ministry of Mines and Energy; National Secretary of Geology, Mining and Mineral Transformation</t>
        </is>
      </c>
      <c r="G287" s="32" t="inlineStr">
        <is>
          <t>LatAm executive</t>
        </is>
      </c>
      <c r="H287" s="32" t="inlineStr">
        <is>
          <t>official statement</t>
        </is>
      </c>
      <c r="I287" s="32" t="inlineStr">
        <is>
          <t>Launch of studies for a National Rare Earths Strategy</t>
        </is>
      </c>
      <c r="J287" s="32" t="inlineStr">
        <is>
          <t>The MME began technical studies to formulate a National Rare Earths Strategy with guidelines, targets and instruments for exploration, processing and use, linked to industrial and energy transition policy.</t>
        </is>
      </c>
      <c r="K287" s="32" t="inlineStr">
        <is>
          <t>rare earths</t>
        </is>
      </c>
      <c r="L287" s="32" t="inlineStr">
        <is>
          <t>value added industrialization, processing refining, energy transition</t>
        </is>
      </c>
      <c r="M287" s="31" t="inlineStr">
        <is>
          <t>not mentioned</t>
        </is>
      </c>
      <c r="N287" s="31" t="inlineStr">
        <is>
          <t>not mentioned</t>
        </is>
      </c>
      <c r="O287" s="32" t="inlineStr">
        <is>
          <t>Queremos avançar da produção primária para a transformação mineral, capturando mais valor</t>
        </is>
      </c>
      <c r="P287" s="32" t="inlineStr">
        <is>
          <t>We want to move from primary production to mineral transformation, capturing more value</t>
        </is>
      </c>
      <c r="Q287" s="31" t="inlineStr">
        <is>
          <t>pt</t>
        </is>
      </c>
      <c r="R287" s="33" t="inlineStr">
        <is>
          <t>eixos</t>
        </is>
      </c>
      <c r="S287" s="32" t="inlineStr">
        <is>
          <t>news media</t>
        </is>
      </c>
      <c r="T287" s="32" t="inlineStr">
        <is>
          <t>secondary reported</t>
        </is>
      </c>
      <c r="U287" s="32" t="inlineStr"/>
    </row>
    <row r="288" ht="45.75" customHeight="1" s="24">
      <c r="A288" s="31" t="inlineStr">
        <is>
          <t>PS-0273</t>
        </is>
      </c>
      <c r="B288" s="31" t="inlineStr">
        <is>
          <t>2026-01-26</t>
        </is>
      </c>
      <c r="C288" s="31" t="inlineStr">
        <is>
          <t>Bolivia</t>
        </is>
      </c>
      <c r="D288" s="31" t="inlineStr">
        <is>
          <t>Yes</t>
        </is>
      </c>
      <c r="E288" s="32" t="inlineStr">
        <is>
          <t>José Gabriel Espinoza</t>
        </is>
      </c>
      <c r="F288" s="32" t="inlineStr">
        <is>
          <t>Minister of Economy and Public Finance</t>
        </is>
      </c>
      <c r="G288" s="32" t="inlineStr">
        <is>
          <t>LatAm executive</t>
        </is>
      </c>
      <c r="H288" s="32" t="inlineStr">
        <is>
          <t>interview</t>
        </is>
      </c>
      <c r="I288" s="32" t="inlineStr">
        <is>
          <t>New lithium law design</t>
        </is>
      </c>
      <c r="J288" s="32" t="inlineStr">
        <is>
          <t>Espinoza said Bolivia could adopt an intermediate model for lithium with state participation but a large opening to private investment.</t>
        </is>
      </c>
      <c r="K288" s="32" t="inlineStr">
        <is>
          <t>lithium</t>
        </is>
      </c>
      <c r="L288" s="32" t="inlineStr">
        <is>
          <t>foreign investment, state control nationalization</t>
        </is>
      </c>
      <c r="M288" s="31" t="inlineStr">
        <is>
          <t>not mentioned</t>
        </is>
      </c>
      <c r="N288" s="31" t="inlineStr">
        <is>
          <t>not mentioned</t>
        </is>
      </c>
      <c r="O288" s="32" t="inlineStr">
        <is>
          <t>podemos jugar en un escenario intermedio</t>
        </is>
      </c>
      <c r="P288" s="32" t="inlineStr">
        <is>
          <t>we can play in an intermediate scenario</t>
        </is>
      </c>
      <c r="Q288" s="31" t="inlineStr">
        <is>
          <t>es</t>
        </is>
      </c>
      <c r="R288" s="33" t="inlineStr">
        <is>
          <t>Bloomberg Línea</t>
        </is>
      </c>
      <c r="S288" s="32" t="inlineStr">
        <is>
          <t>news media</t>
        </is>
      </c>
      <c r="T288" s="32" t="inlineStr">
        <is>
          <t>secondary reported</t>
        </is>
      </c>
      <c r="U288" s="32" t="inlineStr"/>
    </row>
    <row r="289" ht="45.75" customHeight="1" s="24">
      <c r="A289" s="31" t="inlineStr">
        <is>
          <t>PS-0274</t>
        </is>
      </c>
      <c r="B289" s="31" t="inlineStr">
        <is>
          <t>2026-01-26</t>
        </is>
      </c>
      <c r="C289" s="31" t="inlineStr">
        <is>
          <t>Bolivia</t>
        </is>
      </c>
      <c r="D289" s="31" t="inlineStr">
        <is>
          <t>Yes</t>
        </is>
      </c>
      <c r="E289" s="32" t="inlineStr">
        <is>
          <t>Rodrigo Paz</t>
        </is>
      </c>
      <c r="F289" s="32" t="inlineStr">
        <is>
          <t>President of Bolivia</t>
        </is>
      </c>
      <c r="G289" s="32" t="inlineStr">
        <is>
          <t>LatAm executive</t>
        </is>
      </c>
      <c r="H289" s="32" t="inlineStr">
        <is>
          <t>speech</t>
        </is>
      </c>
      <c r="I289" s="32" t="inlineStr">
        <is>
          <t>Event in Potosí; announcement of new lithium law</t>
        </is>
      </c>
      <c r="J289" s="32" t="inlineStr">
        <is>
          <t>Paz said Bolivia needs a new evaporites (lithium) law with clear rules to attract investment, and criticized the Arce government's lithium contracts that 'nobody knows'.</t>
        </is>
      </c>
      <c r="K289" s="32" t="inlineStr">
        <is>
          <t>lithium</t>
        </is>
      </c>
      <c r="L289" s="32" t="inlineStr">
        <is>
          <t>foreign investment, corruption governance</t>
        </is>
      </c>
      <c r="M289" s="31" t="inlineStr">
        <is>
          <t>not mentioned</t>
        </is>
      </c>
      <c r="N289" s="31" t="inlineStr">
        <is>
          <t>not mentioned</t>
        </is>
      </c>
      <c r="O289" s="32" t="inlineStr">
        <is>
          <t>Tenemos que desarrollar una nueva ley de evaporíticos, o sea del litio</t>
        </is>
      </c>
      <c r="P289" s="32" t="inlineStr">
        <is>
          <t>We have to develop a new law on evaporites, that is, on lithium</t>
        </is>
      </c>
      <c r="Q289" s="31" t="inlineStr">
        <is>
          <t>es</t>
        </is>
      </c>
      <c r="R289" s="33" t="inlineStr">
        <is>
          <t>Bloomberg Línea</t>
        </is>
      </c>
      <c r="S289" s="32" t="inlineStr">
        <is>
          <t>news media</t>
        </is>
      </c>
      <c r="T289" s="32" t="inlineStr">
        <is>
          <t>secondary reported</t>
        </is>
      </c>
      <c r="U289" s="32" t="inlineStr">
        <is>
          <t>Also Correo del Sur 27 Jan 2026: https://correodelsur.com/economia/20260127/paz-bolivia-necesita-nueva-ley-del-litio.html</t>
        </is>
      </c>
    </row>
    <row r="290" ht="45.75" customHeight="1" s="24">
      <c r="A290" s="31" t="inlineStr">
        <is>
          <t>PS-0275</t>
        </is>
      </c>
      <c r="B290" s="31" t="inlineStr">
        <is>
          <t>2026-01-28</t>
        </is>
      </c>
      <c r="C290" s="31" t="inlineStr">
        <is>
          <t>Bolivia</t>
        </is>
      </c>
      <c r="D290" s="31" t="inlineStr">
        <is>
          <t>Yes</t>
        </is>
      </c>
      <c r="E290" s="32" t="inlineStr">
        <is>
          <t>José Gabriel Espinoza</t>
        </is>
      </c>
      <c r="F290" s="32" t="inlineStr">
        <is>
          <t>Minister of Economy and Public Finance</t>
        </is>
      </c>
      <c r="G290" s="32" t="inlineStr">
        <is>
          <t>LatAm executive</t>
        </is>
      </c>
      <c r="H290" s="32" t="inlineStr">
        <is>
          <t>interview</t>
        </is>
      </c>
      <c r="I290" s="32" t="inlineStr">
        <is>
          <t>Review of Arce-era lithium contracts</t>
        </is>
      </c>
      <c r="J290" s="32" t="inlineStr">
        <is>
          <t>Espinoza said the government was evaluating the CBC and Uranium One contracts and would break them if irregularities or economic damage were found, while minding Bolivia's international credibility.</t>
        </is>
      </c>
      <c r="K290" s="32" t="inlineStr">
        <is>
          <t>lithium</t>
        </is>
      </c>
      <c r="L290" s="32" t="inlineStr">
        <is>
          <t>corruption governance, foreign investment</t>
        </is>
      </c>
      <c r="M290" s="31" t="inlineStr">
        <is>
          <t>not mentioned</t>
        </is>
      </c>
      <c r="N290" s="31" t="inlineStr">
        <is>
          <t>not mentioned</t>
        </is>
      </c>
      <c r="O290" s="32" t="inlineStr">
        <is>
          <t>Si se hallan irregularidades o daño económico...se romperán los contratos</t>
        </is>
      </c>
      <c r="P290" s="32" t="inlineStr">
        <is>
          <t>If irregularities or economic damage are found... the contracts will be broken</t>
        </is>
      </c>
      <c r="Q290" s="31" t="inlineStr">
        <is>
          <t>es</t>
        </is>
      </c>
      <c r="R290" s="33" t="inlineStr">
        <is>
          <t>Correo del Sur</t>
        </is>
      </c>
      <c r="S290" s="32" t="inlineStr">
        <is>
          <t>news media</t>
        </is>
      </c>
      <c r="T290" s="32" t="inlineStr">
        <is>
          <t>secondary reported</t>
        </is>
      </c>
      <c r="U290" s="32" t="inlineStr"/>
    </row>
    <row r="291" ht="45.75" customHeight="1" s="24">
      <c r="A291" s="31" t="inlineStr">
        <is>
          <t>PS-0276</t>
        </is>
      </c>
      <c r="B291" s="31" t="inlineStr">
        <is>
          <t>2026-01-29</t>
        </is>
      </c>
      <c r="C291" s="31" t="inlineStr">
        <is>
          <t>Mexico</t>
        </is>
      </c>
      <c r="D291" s="31" t="inlineStr">
        <is>
          <t>No</t>
        </is>
      </c>
      <c r="E291" s="32" t="inlineStr">
        <is>
          <t>Claudia Sheinbaum</t>
        </is>
      </c>
      <c r="F291" s="32" t="inlineStr">
        <is>
          <t>President of Mexico</t>
        </is>
      </c>
      <c r="G291" s="32" t="inlineStr">
        <is>
          <t>LatAm executive</t>
        </is>
      </c>
      <c r="H291" s="32" t="inlineStr">
        <is>
          <t>press conference</t>
        </is>
      </c>
      <c r="I291" s="32" t="inlineStr">
        <is>
          <t>Mañanera after call with US on USMCA review and critical minerals</t>
        </is>
      </c>
      <c r="J291" s="32" t="inlineStr">
        <is>
          <t>Sheinbaum said critical minerals were being discussed in multilateral settings rather than in her bilateral calls, ahead of the 1 July 2026 USMCA joint review.</t>
        </is>
      </c>
      <c r="K291" s="32" t="inlineStr">
        <is>
          <t>critical minerals general</t>
        </is>
      </c>
      <c r="L291" s="32" t="inlineStr">
        <is>
          <t>trade deals offtake, diplomatic relations</t>
        </is>
      </c>
      <c r="M291" s="31" t="inlineStr">
        <is>
          <t>not mentioned</t>
        </is>
      </c>
      <c r="N291" s="31" t="inlineStr">
        <is>
          <t>neutral</t>
        </is>
      </c>
      <c r="O291" s="32" t="inlineStr"/>
      <c r="P291" s="32" t="inlineStr"/>
      <c r="Q291" s="31" t="inlineStr">
        <is>
          <t>es</t>
        </is>
      </c>
      <c r="R291" s="33" t="inlineStr">
        <is>
          <t>Uno TV</t>
        </is>
      </c>
      <c r="S291" s="32" t="inlineStr">
        <is>
          <t>news media</t>
        </is>
      </c>
      <c r="T291" s="32" t="inlineStr">
        <is>
          <t>secondary reported</t>
        </is>
      </c>
      <c r="U291" s="32" t="inlineStr"/>
    </row>
    <row r="292" ht="45.75" customHeight="1" s="24">
      <c r="A292" s="31" t="inlineStr">
        <is>
          <t>PS-0277</t>
        </is>
      </c>
      <c r="B292" s="31" t="inlineStr">
        <is>
          <t>2026-01-31</t>
        </is>
      </c>
      <c r="C292" s="31" t="inlineStr">
        <is>
          <t>Mexico</t>
        </is>
      </c>
      <c r="D292" s="31" t="inlineStr">
        <is>
          <t>No</t>
        </is>
      </c>
      <c r="E292" s="32" t="inlineStr">
        <is>
          <t>Marcelo Ebrard</t>
        </is>
      </c>
      <c r="F292" s="32" t="inlineStr">
        <is>
          <t>Secretary of Economy of Mexico</t>
        </is>
      </c>
      <c r="G292" s="32" t="inlineStr">
        <is>
          <t>LatAm executive</t>
        </is>
      </c>
      <c r="H292" s="32" t="inlineStr">
        <is>
          <t>press conference</t>
        </is>
      </c>
      <c r="I292" s="32" t="inlineStr">
        <is>
          <t>Planned meetings with USTR Greer on critical minerals and USMCA</t>
        </is>
      </c>
      <c r="J292" s="32" t="inlineStr">
        <is>
          <t>Ebrard announced meetings on 3-4 February with USTR Greer to discuss cooperation on critical minerals such as lithium, copper, nickel, cobalt and graphite, and said the USMCA was not at risk.</t>
        </is>
      </c>
      <c r="K292" s="32" t="inlineStr">
        <is>
          <t>critical minerals general, lithium, copper, nickel, cobalt, graphite</t>
        </is>
      </c>
      <c r="L292" s="32" t="inlineStr">
        <is>
          <t>trade deals offtake, diplomatic relations</t>
        </is>
      </c>
      <c r="M292" s="31" t="inlineStr">
        <is>
          <t>not mentioned</t>
        </is>
      </c>
      <c r="N292" s="31" t="inlineStr">
        <is>
          <t>positive</t>
        </is>
      </c>
      <c r="O292" s="32" t="inlineStr">
        <is>
          <t>Yo no veo que esté en riesgo el tratado, porque ya estamos en consultas formales los tres países, ya terminamos el proceso de consulta</t>
        </is>
      </c>
      <c r="P292" s="32" t="inlineStr">
        <is>
          <t>I do not see the treaty at risk, because the three countries are already in formal consultations, we have already finished the consultation process</t>
        </is>
      </c>
      <c r="Q292" s="31" t="inlineStr">
        <is>
          <t>es</t>
        </is>
      </c>
      <c r="R292" s="33" t="inlineStr">
        <is>
          <t>Uno TV</t>
        </is>
      </c>
      <c r="S292" s="32" t="inlineStr">
        <is>
          <t>news media</t>
        </is>
      </c>
      <c r="T292" s="32" t="inlineStr">
        <is>
          <t>secondary reported</t>
        </is>
      </c>
      <c r="U292" s="32" t="inlineStr"/>
    </row>
    <row r="293" ht="45.75" customHeight="1" s="24">
      <c r="A293" s="31" t="inlineStr">
        <is>
          <t>PS-0278</t>
        </is>
      </c>
      <c r="B293" s="31" t="inlineStr">
        <is>
          <t>2026-02</t>
        </is>
      </c>
      <c r="C293" s="31" t="inlineStr">
        <is>
          <t>Peru</t>
        </is>
      </c>
      <c r="D293" s="31" t="inlineStr">
        <is>
          <t>Yes</t>
        </is>
      </c>
      <c r="E293" s="32" t="inlineStr">
        <is>
          <t>Bernie Navarro</t>
        </is>
      </c>
      <c r="F293" s="32" t="inlineStr">
        <is>
          <t>U.S. Ambassador to Peru</t>
        </is>
      </c>
      <c r="G293" s="32" t="inlineStr">
        <is>
          <t>United States</t>
        </is>
      </c>
      <c r="H293" s="32" t="inlineStr">
        <is>
          <t>official statement</t>
        </is>
      </c>
      <c r="I293" s="32" t="inlineStr">
        <is>
          <t>Chancay port oversight dispute</t>
        </is>
      </c>
      <c r="J293" s="32" t="inlineStr">
        <is>
          <t>Ambassador Navarro echoed the State Department warning on Chancay, saying cheap deals end up costly and that there is no higher price than losing sovereignty.</t>
        </is>
      </c>
      <c r="K293" s="32" t="inlineStr">
        <is>
          <t>mining general</t>
        </is>
      </c>
      <c r="L293" s="32" t="inlineStr">
        <is>
          <t>sovereignty, infrastructure ports, geopolitics security</t>
        </is>
      </c>
      <c r="M293" s="31" t="inlineStr">
        <is>
          <t>negative</t>
        </is>
      </c>
      <c r="N293" s="31" t="inlineStr">
        <is>
          <t>positive</t>
        </is>
      </c>
      <c r="O293" s="32" t="inlineStr">
        <is>
          <t>Todo tiene un precio, y a la larga lo barato sale caro. No hay precio más alto que perder soberanía</t>
        </is>
      </c>
      <c r="P293" s="32" t="inlineStr">
        <is>
          <t>Everything has a price, and in the long run cheap turns out expensive. There is no higher price than losing sovereignty</t>
        </is>
      </c>
      <c r="Q293" s="31" t="inlineStr">
        <is>
          <t>es</t>
        </is>
      </c>
      <c r="R293" s="33" t="inlineStr">
        <is>
          <t>Gestión</t>
        </is>
      </c>
      <c r="S293" s="32" t="inlineStr">
        <is>
          <t>news media</t>
        </is>
      </c>
      <c r="T293" s="32" t="inlineStr">
        <is>
          <t>secondary reported</t>
        </is>
      </c>
      <c r="U293" s="32" t="inlineStr">
        <is>
          <t>Exact day in Feb 2026 not given; minerals not explicitly mentioned</t>
        </is>
      </c>
    </row>
    <row r="294" ht="45.75" customHeight="1" s="24">
      <c r="A294" s="31" t="inlineStr">
        <is>
          <t>PS-0279</t>
        </is>
      </c>
      <c r="B294" s="31" t="inlineStr">
        <is>
          <t>2026-02</t>
        </is>
      </c>
      <c r="C294" s="31" t="inlineStr">
        <is>
          <t>Peru</t>
        </is>
      </c>
      <c r="D294" s="31" t="inlineStr">
        <is>
          <t>Yes</t>
        </is>
      </c>
      <c r="E294" s="32" t="inlineStr">
        <is>
          <t>Verónica Zambrano</t>
        </is>
      </c>
      <c r="F294" s="32" t="inlineStr">
        <is>
          <t>President of Ositran (transport infrastructure regulator)</t>
        </is>
      </c>
      <c r="G294" s="32" t="inlineStr">
        <is>
          <t>LatAm executive</t>
        </is>
      </c>
      <c r="H294" s="32" t="inlineStr">
        <is>
          <t>interview</t>
        </is>
      </c>
      <c r="I294" s="32" t="inlineStr">
        <is>
          <t>Court ruling exempting Chancay from regulator oversight</t>
        </is>
      </c>
      <c r="J294" s="32" t="inlineStr">
        <is>
          <t>Ositran's president warned that if the court ruling stands, Cosco would become the only public-service provider that could not be supervised.</t>
        </is>
      </c>
      <c r="K294" s="32" t="inlineStr">
        <is>
          <t>mining general</t>
        </is>
      </c>
      <c r="L294" s="32" t="inlineStr">
        <is>
          <t>sovereignty, infrastructure ports, corruption governance</t>
        </is>
      </c>
      <c r="M294" s="31" t="inlineStr">
        <is>
          <t>not mentioned</t>
        </is>
      </c>
      <c r="N294" s="31" t="inlineStr">
        <is>
          <t>not mentioned</t>
        </is>
      </c>
      <c r="O294" s="32" t="inlineStr">
        <is>
          <t>the only company providing services to the public that could not be supervised</t>
        </is>
      </c>
      <c r="P294" s="32" t="inlineStr">
        <is>
          <t>the only company providing services to the public that could not be supervised</t>
        </is>
      </c>
      <c r="Q294" s="31" t="inlineStr">
        <is>
          <t>en</t>
        </is>
      </c>
      <c r="R294" s="33" t="inlineStr">
        <is>
          <t>AP via Wyoming Public Media</t>
        </is>
      </c>
      <c r="S294" s="32" t="inlineStr">
        <is>
          <t>news media</t>
        </is>
      </c>
      <c r="T294" s="32" t="inlineStr">
        <is>
          <t>secondary reported</t>
        </is>
      </c>
      <c r="U294" s="32" t="inlineStr">
        <is>
          <t>English translation of Spanish remarks to local media; port record</t>
        </is>
      </c>
    </row>
    <row r="295" ht="45.75" customHeight="1" s="24">
      <c r="A295" s="31" t="inlineStr">
        <is>
          <t>PS-0280</t>
        </is>
      </c>
      <c r="B295" s="31" t="inlineStr">
        <is>
          <t>2026-02-02</t>
        </is>
      </c>
      <c r="C295" s="31" t="inlineStr">
        <is>
          <t>Chile</t>
        </is>
      </c>
      <c r="D295" s="31" t="inlineStr">
        <is>
          <t>Yes</t>
        </is>
      </c>
      <c r="E295" s="32" t="inlineStr">
        <is>
          <t>Brandon Judd</t>
        </is>
      </c>
      <c r="F295" s="32" t="inlineStr">
        <is>
          <t>U.S. Ambassador to Chile</t>
        </is>
      </c>
      <c r="G295" s="32" t="inlineStr">
        <is>
          <t>United States</t>
        </is>
      </c>
      <c r="H295" s="32" t="inlineStr">
        <is>
          <t>official statement</t>
        </is>
      </c>
      <c r="I295" s="32" t="inlineStr">
        <is>
          <t>Meetings with US mining investors (Albemarle, EnergyX, Freeport)</t>
        </is>
      </c>
      <c r="J295" s="32" t="inlineStr">
        <is>
          <t>The US ambassador stressed the importance of lithium, copper and cobalt for US national security, expressed concern about China's weight as destination of Chilean lithium and criticised slow permitting.</t>
        </is>
      </c>
      <c r="K295" s="32" t="inlineStr">
        <is>
          <t>lithium, copper, cobalt</t>
        </is>
      </c>
      <c r="L295" s="32" t="inlineStr">
        <is>
          <t>geopolitics security, foreign investment, trade deals offtake</t>
        </is>
      </c>
      <c r="M295" s="31" t="inlineStr">
        <is>
          <t>negative</t>
        </is>
      </c>
      <c r="N295" s="31" t="inlineStr">
        <is>
          <t>positive</t>
        </is>
      </c>
      <c r="O295" s="32" t="inlineStr"/>
      <c r="P295" s="32" t="inlineStr"/>
      <c r="Q295" s="31" t="inlineStr">
        <is>
          <t>es</t>
        </is>
      </c>
      <c r="R295" s="33" t="inlineStr">
        <is>
          <t>Redimin</t>
        </is>
      </c>
      <c r="S295" s="32" t="inlineStr">
        <is>
          <t>news media</t>
        </is>
      </c>
      <c r="T295" s="32" t="inlineStr">
        <is>
          <t>secondary reported</t>
        </is>
      </c>
      <c r="U295" s="32" t="inlineStr">
        <is>
          <t>Paraphrase; article 2 Feb 2026 summarising multiple meetings</t>
        </is>
      </c>
    </row>
    <row r="296" ht="45.75" customHeight="1" s="24">
      <c r="A296" s="31" t="inlineStr">
        <is>
          <t>PS-0281</t>
        </is>
      </c>
      <c r="B296" s="31" t="inlineStr">
        <is>
          <t>2026-02-03</t>
        </is>
      </c>
      <c r="C296" s="31" t="inlineStr">
        <is>
          <t>Bolivia</t>
        </is>
      </c>
      <c r="D296" s="31" t="inlineStr">
        <is>
          <t>Yes</t>
        </is>
      </c>
      <c r="E296" s="32" t="inlineStr">
        <is>
          <t>Rodrigo Paz</t>
        </is>
      </c>
      <c r="F296" s="32" t="inlineStr">
        <is>
          <t>President of Bolivia</t>
        </is>
      </c>
      <c r="G296" s="32" t="inlineStr">
        <is>
          <t>LatAm executive</t>
        </is>
      </c>
      <c r="H296" s="32" t="inlineStr">
        <is>
          <t>interview</t>
        </is>
      </c>
      <c r="I296" s="32" t="inlineStr">
        <is>
          <t>Financial Times interview</t>
        </is>
      </c>
      <c r="J296" s="32" t="inlineStr">
        <is>
          <t>Paz said the lithium deals signed with Russian and Chinese firms by the prior government would be respected if they are transparent, after review and public disclosure.</t>
        </is>
      </c>
      <c r="K296" s="32" t="inlineStr">
        <is>
          <t>lithium</t>
        </is>
      </c>
      <c r="L296" s="32" t="inlineStr">
        <is>
          <t>corruption governance, foreign investment, diplomatic relations</t>
        </is>
      </c>
      <c r="M296" s="31" t="inlineStr">
        <is>
          <t>neutral</t>
        </is>
      </c>
      <c r="N296" s="31" t="inlineStr">
        <is>
          <t>not mentioned</t>
        </is>
      </c>
      <c r="O296" s="32" t="inlineStr">
        <is>
          <t>They will be respected if and when they are transparent.</t>
        </is>
      </c>
      <c r="P296" s="32" t="inlineStr">
        <is>
          <t>They will be respected if and when they are transparent.</t>
        </is>
      </c>
      <c r="Q296" s="31" t="inlineStr">
        <is>
          <t>en</t>
        </is>
      </c>
      <c r="R296" s="33" t="inlineStr">
        <is>
          <t>Sputnik International (citing Financial Times)</t>
        </is>
      </c>
      <c r="S296" s="32" t="inlineStr">
        <is>
          <t>news media</t>
        </is>
      </c>
      <c r="T296" s="32" t="inlineStr">
        <is>
          <t>unverified</t>
        </is>
      </c>
      <c r="U296" s="32" t="inlineStr">
        <is>
          <t>Seen via mirror of Sputnik page; original FT interview not seen; Russian state media source.</t>
        </is>
      </c>
    </row>
    <row r="297" ht="45.75" customHeight="1" s="24">
      <c r="A297" s="31" t="inlineStr">
        <is>
          <t>PS-0282</t>
        </is>
      </c>
      <c r="B297" s="31" t="inlineStr">
        <is>
          <t>2026-02-04</t>
        </is>
      </c>
      <c r="C297" s="31" t="inlineStr">
        <is>
          <t>Argentina</t>
        </is>
      </c>
      <c r="D297" s="31" t="inlineStr">
        <is>
          <t>Yes</t>
        </is>
      </c>
      <c r="E297" s="32" t="inlineStr">
        <is>
          <t>Marco Rubio</t>
        </is>
      </c>
      <c r="F297" s="32" t="inlineStr">
        <is>
          <t>US Secretary of State</t>
        </is>
      </c>
      <c r="G297" s="32" t="inlineStr">
        <is>
          <t>United States</t>
        </is>
      </c>
      <c r="H297" s="32" t="inlineStr">
        <is>
          <t>speech</t>
        </is>
      </c>
      <c r="I297" s="32" t="inlineStr">
        <is>
          <t>Critical Minerals Ministerial, Washington DC</t>
        </is>
      </c>
      <c r="J297" s="32" t="inlineStr">
        <is>
          <t>Rubio said Argentina would play a key role for the world in critical minerals, highlighting not only its natural resources but also its processing expertise.</t>
        </is>
      </c>
      <c r="K297" s="32" t="inlineStr">
        <is>
          <t>critical minerals general</t>
        </is>
      </c>
      <c r="L297" s="32" t="inlineStr">
        <is>
          <t>processing refining, geopolitics security, diplomatic relations</t>
        </is>
      </c>
      <c r="M297" s="31" t="inlineStr">
        <is>
          <t>not mentioned</t>
        </is>
      </c>
      <c r="N297" s="31" t="inlineStr">
        <is>
          <t>positive</t>
        </is>
      </c>
      <c r="O297" s="32" t="inlineStr"/>
      <c r="P297" s="32" t="inlineStr"/>
      <c r="Q297" s="31" t="inlineStr">
        <is>
          <t>es</t>
        </is>
      </c>
      <c r="R297" s="33" t="inlineStr">
        <is>
          <t>Bloomberg Línea</t>
        </is>
      </c>
      <c r="S297" s="32" t="inlineStr">
        <is>
          <t>news media</t>
        </is>
      </c>
      <c r="T297" s="32" t="inlineStr">
        <is>
          <t>secondary reported</t>
        </is>
      </c>
      <c r="U297" s="32" t="inlineStr">
        <is>
          <t>Quote available only in Spanish rendering; original language uncertain, so paraphrased.</t>
        </is>
      </c>
    </row>
    <row r="298" ht="45.75" customHeight="1" s="24">
      <c r="A298" s="31" t="inlineStr">
        <is>
          <t>PS-0283</t>
        </is>
      </c>
      <c r="B298" s="31" t="inlineStr">
        <is>
          <t>2026-02-04</t>
        </is>
      </c>
      <c r="C298" s="31" t="inlineStr">
        <is>
          <t>Argentina</t>
        </is>
      </c>
      <c r="D298" s="31" t="inlineStr">
        <is>
          <t>Yes</t>
        </is>
      </c>
      <c r="E298" s="32" t="inlineStr">
        <is>
          <t>Pablo Quirno</t>
        </is>
      </c>
      <c r="F298" s="32" t="inlineStr">
        <is>
          <t>Foreign Minister of Argentina</t>
        </is>
      </c>
      <c r="G298" s="32" t="inlineStr">
        <is>
          <t>LatAm executive</t>
        </is>
      </c>
      <c r="H298" s="32" t="inlineStr">
        <is>
          <t>speech</t>
        </is>
      </c>
      <c r="I298" s="32" t="inlineStr">
        <is>
          <t>Critical Minerals Ministerial, Washington DC</t>
        </is>
      </c>
      <c r="J298" s="32" t="inlineStr">
        <is>
          <t>At the US-convened critical minerals ministerial where Argentina moved to join the US-launched preferential trade zone, Quirno said Argentina is committed to deepening critical-minerals cooperation with the US and secure supply chains.</t>
        </is>
      </c>
      <c r="K298" s="32" t="inlineStr">
        <is>
          <t>critical minerals general</t>
        </is>
      </c>
      <c r="L298" s="32" t="inlineStr">
        <is>
          <t>trade deals offtake, geopolitics security, diplomatic relations</t>
        </is>
      </c>
      <c r="M298" s="31" t="inlineStr">
        <is>
          <t>not mentioned</t>
        </is>
      </c>
      <c r="N298" s="31" t="inlineStr">
        <is>
          <t>positive</t>
        </is>
      </c>
      <c r="O298" s="32" t="inlineStr">
        <is>
          <t>Argentina está comprometida en profundizar la cooperación con los Estados Unidos en materia de minerales críticos, apoyando cadenas de suministro seguras</t>
        </is>
      </c>
      <c r="P298" s="32" t="inlineStr">
        <is>
          <t>Argentina is committed to deepening cooperation with the United States on critical minerals, supporting secure supply chains</t>
        </is>
      </c>
      <c r="Q298" s="31" t="inlineStr">
        <is>
          <t>es</t>
        </is>
      </c>
      <c r="R298" s="33" t="inlineStr">
        <is>
          <t>Bloomberg Línea</t>
        </is>
      </c>
      <c r="S298" s="32" t="inlineStr">
        <is>
          <t>news media</t>
        </is>
      </c>
      <c r="T298" s="32" t="inlineStr">
        <is>
          <t>secondary reported</t>
        </is>
      </c>
      <c r="U298" s="32" t="inlineStr"/>
    </row>
    <row r="299" ht="45.75" customHeight="1" s="24">
      <c r="A299" s="31" t="inlineStr">
        <is>
          <t>PS-0284</t>
        </is>
      </c>
      <c r="B299" s="31" t="inlineStr">
        <is>
          <t>2026-02-04</t>
        </is>
      </c>
      <c r="C299" s="31" t="inlineStr">
        <is>
          <t>Bolivia</t>
        </is>
      </c>
      <c r="D299" s="31" t="inlineStr">
        <is>
          <t>Yes</t>
        </is>
      </c>
      <c r="E299" s="32" t="inlineStr">
        <is>
          <t>Fernando Aramayo</t>
        </is>
      </c>
      <c r="F299" s="32" t="inlineStr">
        <is>
          <t>Minister of Foreign Affairs</t>
        </is>
      </c>
      <c r="G299" s="32" t="inlineStr">
        <is>
          <t>LatAm executive</t>
        </is>
      </c>
      <c r="H299" s="32" t="inlineStr">
        <is>
          <t>official statement</t>
        </is>
      </c>
      <c r="I299" s="32" t="inlineStr">
        <is>
          <t>US State Department Critical Minerals Ministerial, Washington</t>
        </is>
      </c>
      <c r="J299" s="32" t="inlineStr">
        <is>
          <t>Bolivia's foreign and mining ministers took part in the US-hosted critical minerals ministerial with over 50 countries, focused on diversifying supply chains away from Chinese dominance.</t>
        </is>
      </c>
      <c r="K299" s="32" t="inlineStr">
        <is>
          <t>critical minerals general, lithium</t>
        </is>
      </c>
      <c r="L299" s="32" t="inlineStr">
        <is>
          <t>diplomatic relations, geopolitics security</t>
        </is>
      </c>
      <c r="M299" s="31" t="inlineStr">
        <is>
          <t>not mentioned</t>
        </is>
      </c>
      <c r="N299" s="31" t="inlineStr">
        <is>
          <t>positive</t>
        </is>
      </c>
      <c r="O299" s="32" t="inlineStr"/>
      <c r="P299" s="32" t="inlineStr"/>
      <c r="Q299" s="31" t="inlineStr">
        <is>
          <t>es</t>
        </is>
      </c>
      <c r="R299" s="33" t="inlineStr">
        <is>
          <t>Los Tiempos</t>
        </is>
      </c>
      <c r="S299" s="32" t="inlineStr">
        <is>
          <t>news media</t>
        </is>
      </c>
      <c r="T299" s="32" t="inlineStr">
        <is>
          <t>secondary reported</t>
        </is>
      </c>
      <c r="U299" s="32" t="inlineStr">
        <is>
          <t>Participation act; no Bolivian quote seen; stance inferred from participation.</t>
        </is>
      </c>
    </row>
    <row r="300" ht="45.75" customHeight="1" s="24">
      <c r="A300" s="31" t="inlineStr">
        <is>
          <t>PS-0285</t>
        </is>
      </c>
      <c r="B300" s="31" t="inlineStr">
        <is>
          <t>2026-02-04</t>
        </is>
      </c>
      <c r="C300" s="31" t="inlineStr">
        <is>
          <t>Ecuador</t>
        </is>
      </c>
      <c r="D300" s="31" t="inlineStr">
        <is>
          <t>Yes</t>
        </is>
      </c>
      <c r="E300" s="32" t="inlineStr">
        <is>
          <t>Governments of Ecuador and the United States (Gabriela Sommerfeld)</t>
        </is>
      </c>
      <c r="F300" s="32" t="inlineStr">
        <is>
          <t>Ecuadorian Foreign Minister (signatory)</t>
        </is>
      </c>
      <c r="G300" s="32" t="inlineStr">
        <is>
          <t>Other (business, civil society, third countries)</t>
        </is>
      </c>
      <c r="H300" s="32" t="inlineStr">
        <is>
          <t>joint declaration or mou</t>
        </is>
      </c>
      <c r="I300" s="32" t="inlineStr">
        <is>
          <t>2026 Critical Minerals Ministerial, Washington</t>
        </is>
      </c>
      <c r="J300" s="32" t="inlineStr">
        <is>
          <t>Ecuador signed a non-binding Framework on Securing Supply in Mining and Processing of Critical Minerals and Rare Earths with the US, committing to tools to review and deter sales of critical mineral assets and to speed permitting.</t>
        </is>
      </c>
      <c r="K300" s="32" t="inlineStr">
        <is>
          <t>critical minerals general, rare earths, copper, lithium, cobalt, nickel</t>
        </is>
      </c>
      <c r="L300" s="32" t="inlineStr">
        <is>
          <t>geopolitics security, foreign investment, processing refining, environment water</t>
        </is>
      </c>
      <c r="M300" s="31" t="inlineStr">
        <is>
          <t>not mentioned</t>
        </is>
      </c>
      <c r="N300" s="31" t="inlineStr">
        <is>
          <t>positive</t>
        </is>
      </c>
      <c r="O300" s="32" t="inlineStr">
        <is>
          <t>revisar y disuadir la venta de activos de minerales críticos</t>
        </is>
      </c>
      <c r="P300" s="32" t="inlineStr">
        <is>
          <t>review and deter the sale of critical mineral assets</t>
        </is>
      </c>
      <c r="Q300" s="31" t="inlineStr">
        <is>
          <t>es</t>
        </is>
      </c>
      <c r="R300" s="33" t="inlineStr">
        <is>
          <t>Primicias</t>
        </is>
      </c>
      <c r="S300" s="32" t="inlineStr">
        <is>
          <t>news media</t>
        </is>
      </c>
      <c r="T300" s="32" t="inlineStr">
        <is>
          <t>secondary reported</t>
        </is>
      </c>
      <c r="U300" s="32" t="inlineStr">
        <is>
          <t>US State Dept ministerial readout lists Ecuador among 11 signatories (globalsecurity.org mirror mil-260204-state02).</t>
        </is>
      </c>
    </row>
    <row r="301" ht="45.75" customHeight="1" s="24">
      <c r="A301" s="31" t="inlineStr">
        <is>
          <t>PS-0286</t>
        </is>
      </c>
      <c r="B301" s="31" t="inlineStr">
        <is>
          <t>2026-02-04</t>
        </is>
      </c>
      <c r="C301" s="31" t="inlineStr">
        <is>
          <t>Ecuador</t>
        </is>
      </c>
      <c r="D301" s="31" t="inlineStr">
        <is>
          <t>Yes</t>
        </is>
      </c>
      <c r="E301" s="32" t="inlineStr">
        <is>
          <t>U.S. Department of State</t>
        </is>
      </c>
      <c r="F301" s="32" t="inlineStr">
        <is>
          <t>Signatory, US-Ecuador framework on critical minerals and rare earths</t>
        </is>
      </c>
      <c r="G301" s="32" t="inlineStr">
        <is>
          <t>United States</t>
        </is>
      </c>
      <c r="H301" s="32" t="inlineStr">
        <is>
          <t>joint declaration or mou</t>
        </is>
      </c>
      <c r="I301" s="32" t="inlineStr">
        <is>
          <t>2026 Critical Minerals Ministerial, Washington; signed with FM Gabriela Sommerfeld</t>
        </is>
      </c>
      <c r="J301" s="32" t="inlineStr">
        <is>
          <t>The non-binding US-Ecuador framework gives both sides six months to identify projects and mobilize financing (equity, guaranteed loans, offtake), commits them to accelerate or simplify permitting including environmental licences, and to develop tools to review and discourage sales of critical mineral assets for national security reasons.</t>
        </is>
      </c>
      <c r="K301" s="32" t="inlineStr">
        <is>
          <t>critical minerals general, rare earths</t>
        </is>
      </c>
      <c r="L301" s="32" t="inlineStr">
        <is>
          <t>foreign investment, financing credit, geopolitics security, environment water, trade deals offtake</t>
        </is>
      </c>
      <c r="M301" s="31" t="inlineStr">
        <is>
          <t>not mentioned</t>
        </is>
      </c>
      <c r="N301" s="31" t="inlineStr">
        <is>
          <t>positive</t>
        </is>
      </c>
      <c r="O301" s="32" t="inlineStr"/>
      <c r="P301" s="32" t="inlineStr"/>
      <c r="Q301" s="31" t="inlineStr">
        <is>
          <t>es</t>
        </is>
      </c>
      <c r="R301" s="33" t="inlineStr">
        <is>
          <t>Primicias</t>
        </is>
      </c>
      <c r="S301" s="32" t="inlineStr">
        <is>
          <t>news media</t>
        </is>
      </c>
      <c r="T301" s="32" t="inlineStr">
        <is>
          <t>secondary reported</t>
        </is>
      </c>
      <c r="U301" s="32" t="inlineStr"/>
    </row>
    <row r="302" ht="45.75" customHeight="1" s="24">
      <c r="A302" s="31" t="inlineStr">
        <is>
          <t>PS-0287</t>
        </is>
      </c>
      <c r="B302" s="31" t="inlineStr">
        <is>
          <t>2026-02-04</t>
        </is>
      </c>
      <c r="C302" s="31" t="inlineStr">
        <is>
          <t>Mexico</t>
        </is>
      </c>
      <c r="D302" s="31" t="inlineStr">
        <is>
          <t>No</t>
        </is>
      </c>
      <c r="E302" s="32" t="inlineStr">
        <is>
          <t>Jamieson Greer</t>
        </is>
      </c>
      <c r="F302" s="32" t="inlineStr">
        <is>
          <t>United States Trade Representative</t>
        </is>
      </c>
      <c r="G302" s="32" t="inlineStr">
        <is>
          <t>United States</t>
        </is>
      </c>
      <c r="H302" s="32" t="inlineStr">
        <is>
          <t>official statement</t>
        </is>
      </c>
      <c r="I302" s="32" t="inlineStr">
        <is>
          <t>Announcement of U.S.-Mexico Action Plan on Critical Minerals</t>
        </is>
      </c>
      <c r="J302" s="32" t="inlineStr">
        <is>
          <t>USTR Greer announced a U.S.-Mexico action plan to develop coordinated trade policies on critical minerals, including possible price floors for imports, within 60 days.</t>
        </is>
      </c>
      <c r="K302" s="32" t="inlineStr">
        <is>
          <t>critical minerals general</t>
        </is>
      </c>
      <c r="L302" s="32" t="inlineStr">
        <is>
          <t>trade deals offtake, tariffs trade policy, geopolitics security</t>
        </is>
      </c>
      <c r="M302" s="31" t="inlineStr">
        <is>
          <t>not mentioned</t>
        </is>
      </c>
      <c r="N302" s="31" t="inlineStr">
        <is>
          <t>positive</t>
        </is>
      </c>
      <c r="O302" s="32" t="inlineStr">
        <is>
          <t>Today's announcement demonstrates the United States and Mexico's shared commitment to address global market distortions that have left North American critical minerals supply chains vulnerable to disruptions.</t>
        </is>
      </c>
      <c r="P302" s="32" t="inlineStr">
        <is>
          <t>Today's announcement demonstrates the United States and Mexico's shared commitment to address global market distortions that have left North American critical minerals supply chains vulnerable to disruptions.</t>
        </is>
      </c>
      <c r="Q302" s="31" t="inlineStr">
        <is>
          <t>en</t>
        </is>
      </c>
      <c r="R302" s="33" t="inlineStr">
        <is>
          <t>USTR</t>
        </is>
      </c>
      <c r="S302" s="32" t="inlineStr">
        <is>
          <t>primary official</t>
        </is>
      </c>
      <c r="T302" s="32" t="inlineStr">
        <is>
          <t>primary verified</t>
        </is>
      </c>
      <c r="U302" s="32" t="inlineStr">
        <is>
          <t>Statement does not name China explicitly; 'market distortions' widely read as referring to China.</t>
        </is>
      </c>
    </row>
    <row r="303" ht="45.75" customHeight="1" s="24">
      <c r="A303" s="31" t="inlineStr">
        <is>
          <t>PS-0288</t>
        </is>
      </c>
      <c r="B303" s="31" t="inlineStr">
        <is>
          <t>2026-02-04</t>
        </is>
      </c>
      <c r="C303" s="31" t="inlineStr">
        <is>
          <t>Mexico</t>
        </is>
      </c>
      <c r="D303" s="31" t="inlineStr">
        <is>
          <t>No</t>
        </is>
      </c>
      <c r="E303" s="32" t="inlineStr">
        <is>
          <t>Marcelo Ebrard</t>
        </is>
      </c>
      <c r="F303" s="32" t="inlineStr">
        <is>
          <t>Secretary of Economy of Mexico</t>
        </is>
      </c>
      <c r="G303" s="32" t="inlineStr">
        <is>
          <t>LatAm executive</t>
        </is>
      </c>
      <c r="H303" s="32" t="inlineStr">
        <is>
          <t>press conference</t>
        </is>
      </c>
      <c r="I303" s="32" t="inlineStr">
        <is>
          <t>U.S.-Mexico Action Plan on Critical Minerals</t>
        </is>
      </c>
      <c r="J303" s="32" t="inlineStr">
        <is>
          <t>Ebrard said the Economy Ministry, which oversees the Geological Survey and mining regulation, would form a team to develop a joint work plan with the US on critical minerals, each side respecting its own laws and sovereignty.</t>
        </is>
      </c>
      <c r="K303" s="32" t="inlineStr">
        <is>
          <t>critical minerals general</t>
        </is>
      </c>
      <c r="L303" s="32" t="inlineStr">
        <is>
          <t>trade deals offtake, sovereignty, diplomatic relations</t>
        </is>
      </c>
      <c r="M303" s="31" t="inlineStr">
        <is>
          <t>not mentioned</t>
        </is>
      </c>
      <c r="N303" s="31" t="inlineStr">
        <is>
          <t>positive</t>
        </is>
      </c>
      <c r="O303" s="32" t="inlineStr">
        <is>
          <t>vamos a desarrollar un plan de trabajo conjunto... cada quien, respetando sus normas legales, son diferentes las nuestras a las de ellos. Y respetando cada quien la soberanía del otro</t>
        </is>
      </c>
      <c r="P303" s="32" t="inlineStr">
        <is>
          <t>we are going to develop a joint work plan... each respecting its legal norms, ours differ from theirs, and each respecting the other's sovereignty</t>
        </is>
      </c>
      <c r="Q303" s="31" t="inlineStr">
        <is>
          <t>es</t>
        </is>
      </c>
      <c r="R303" s="33" t="inlineStr">
        <is>
          <t>Vanguardia</t>
        </is>
      </c>
      <c r="S303" s="32" t="inlineStr">
        <is>
          <t>news media</t>
        </is>
      </c>
      <c r="T303" s="32" t="inlineStr">
        <is>
          <t>secondary reported</t>
        </is>
      </c>
      <c r="U303" s="32" t="inlineStr"/>
    </row>
    <row r="304" ht="45.75" customHeight="1" s="24">
      <c r="A304" s="31" t="inlineStr">
        <is>
          <t>PS-0289</t>
        </is>
      </c>
      <c r="B304" s="31" t="inlineStr">
        <is>
          <t>2026-02-04</t>
        </is>
      </c>
      <c r="C304" s="31" t="inlineStr">
        <is>
          <t>Peru</t>
        </is>
      </c>
      <c r="D304" s="31" t="inlineStr">
        <is>
          <t>Yes</t>
        </is>
      </c>
      <c r="E304" s="32" t="inlineStr">
        <is>
          <t>Carlos Talavera Flores</t>
        </is>
      </c>
      <c r="F304" s="32" t="inlineStr">
        <is>
          <t>Vice Minister of Mines of Peru</t>
        </is>
      </c>
      <c r="G304" s="32" t="inlineStr">
        <is>
          <t>LatAm executive</t>
        </is>
      </c>
      <c r="H304" s="32" t="inlineStr">
        <is>
          <t>official statement</t>
        </is>
      </c>
      <c r="I304" s="32" t="inlineStr">
        <is>
          <t>Critical Minerals Ministerial, Washington D.C.</t>
        </is>
      </c>
      <c r="J304" s="32" t="inlineStr">
        <is>
          <t>MINEM said Vice Minister Talavera led its delegation to the Washington critical minerals ministerial alongside the foreign minister, focusing on strengthening resilient global supply chains, investment conditions and financing.</t>
        </is>
      </c>
      <c r="K304" s="32" t="inlineStr">
        <is>
          <t>critical minerals general</t>
        </is>
      </c>
      <c r="L304" s="32" t="inlineStr">
        <is>
          <t>trade deals offtake, financing credit, energy transition</t>
        </is>
      </c>
      <c r="M304" s="31" t="inlineStr">
        <is>
          <t>not mentioned</t>
        </is>
      </c>
      <c r="N304" s="31" t="inlineStr">
        <is>
          <t>positive</t>
        </is>
      </c>
      <c r="O304" s="32" t="inlineStr"/>
      <c r="P304" s="32" t="inlineStr"/>
      <c r="Q304" s="31" t="inlineStr">
        <is>
          <t>es</t>
        </is>
      </c>
      <c r="R304" s="33" t="inlineStr">
        <is>
          <t>Reporte Minero</t>
        </is>
      </c>
      <c r="S304" s="32" t="inlineStr">
        <is>
          <t>news media</t>
        </is>
      </c>
      <c r="T304" s="32" t="inlineStr">
        <is>
          <t>secondary reported</t>
        </is>
      </c>
      <c r="U304" s="32" t="inlineStr"/>
    </row>
    <row r="305" ht="45.75" customHeight="1" s="24">
      <c r="A305" s="31" t="inlineStr">
        <is>
          <t>PS-0290</t>
        </is>
      </c>
      <c r="B305" s="31" t="inlineStr">
        <is>
          <t>2026-02-04</t>
        </is>
      </c>
      <c r="C305" s="31" t="inlineStr">
        <is>
          <t>Peru</t>
        </is>
      </c>
      <c r="D305" s="31" t="inlineStr">
        <is>
          <t>Yes</t>
        </is>
      </c>
      <c r="E305" s="32" t="inlineStr">
        <is>
          <t>Hugo de Zela</t>
        </is>
      </c>
      <c r="F305" s="32" t="inlineStr">
        <is>
          <t>Minister of Foreign Affairs of Peru</t>
        </is>
      </c>
      <c r="G305" s="32" t="inlineStr">
        <is>
          <t>LatAm executive</t>
        </is>
      </c>
      <c r="H305" s="32" t="inlineStr">
        <is>
          <t>joint declaration or mou</t>
        </is>
      </c>
      <c r="I305" s="32" t="inlineStr">
        <is>
          <t>Critical Minerals Ministerial, Washington D.C.; Peru-US MoU</t>
        </is>
      </c>
      <c r="J305" s="32" t="inlineStr">
        <is>
          <t>De Zela signed a non-binding Peru-US memorandum of understanding on critical minerals in Washington, framed as enabling joint identification of priority projects and access to US financial and technological instruments for exploration, processing and recycling.</t>
        </is>
      </c>
      <c r="K305" s="32" t="inlineStr">
        <is>
          <t>critical minerals general, copper</t>
        </is>
      </c>
      <c r="L305" s="32" t="inlineStr">
        <is>
          <t>trade deals offtake, processing refining, financing credit, technology transfer</t>
        </is>
      </c>
      <c r="M305" s="31" t="inlineStr">
        <is>
          <t>not mentioned</t>
        </is>
      </c>
      <c r="N305" s="31" t="inlineStr">
        <is>
          <t>positive</t>
        </is>
      </c>
      <c r="O305" s="32" t="inlineStr">
        <is>
          <t>The agreement facilitates the joint identification of priority projects, as well as access to financial and technological instruments that will contribute to boosting new investments.</t>
        </is>
      </c>
      <c r="P305" s="32" t="inlineStr">
        <is>
          <t>The agreement facilitates the joint identification of priority projects, as well as access to financial and technological instruments that will contribute to boosting new investments.</t>
        </is>
      </c>
      <c r="Q305" s="31" t="inlineStr">
        <is>
          <t>en</t>
        </is>
      </c>
      <c r="R305" s="33" t="inlineStr">
        <is>
          <t>Andina</t>
        </is>
      </c>
      <c r="S305" s="32" t="inlineStr">
        <is>
          <t>primary official</t>
        </is>
      </c>
      <c r="T305" s="32" t="inlineStr">
        <is>
          <t>primary verified</t>
        </is>
      </c>
      <c r="U305" s="32" t="inlineStr">
        <is>
          <t>Andina is the state news agency; quote is official English version (may be ministry wording rather than minister's own)</t>
        </is>
      </c>
    </row>
    <row r="306" ht="45.75" customHeight="1" s="24">
      <c r="A306" s="31" t="inlineStr">
        <is>
          <t>PS-0291</t>
        </is>
      </c>
      <c r="B306" s="31" t="inlineStr">
        <is>
          <t>2026-02-04</t>
        </is>
      </c>
      <c r="C306" s="31" t="inlineStr">
        <is>
          <t>Peru</t>
        </is>
      </c>
      <c r="D306" s="31" t="inlineStr">
        <is>
          <t>Yes</t>
        </is>
      </c>
      <c r="E306" s="32" t="inlineStr">
        <is>
          <t>U.S. Department of State</t>
        </is>
      </c>
      <c r="F306" s="32" t="inlineStr">
        <is>
          <t>Signatory, US-Peru critical minerals MoU</t>
        </is>
      </c>
      <c r="G306" s="32" t="inlineStr">
        <is>
          <t>United States</t>
        </is>
      </c>
      <c r="H306" s="32" t="inlineStr">
        <is>
          <t>joint declaration or mou</t>
        </is>
      </c>
      <c r="I306" s="32" t="inlineStr">
        <is>
          <t>Critical Minerals Ministerial, Washington</t>
        </is>
      </c>
      <c r="J306" s="32" t="inlineStr">
        <is>
          <t>The US and Peru (FM Hugo de Zela) signed a non-binding MoU on critical minerals to jointly identify priority projects and facilitate access to financing and technology, in the presence of VP Vance and Sec. Rubio.</t>
        </is>
      </c>
      <c r="K306" s="32" t="inlineStr">
        <is>
          <t>critical minerals general, copper, lithium, tin</t>
        </is>
      </c>
      <c r="L306" s="32" t="inlineStr">
        <is>
          <t>trade deals offtake, financing credit, technology transfer</t>
        </is>
      </c>
      <c r="M306" s="31" t="inlineStr">
        <is>
          <t>not mentioned</t>
        </is>
      </c>
      <c r="N306" s="31" t="inlineStr">
        <is>
          <t>positive</t>
        </is>
      </c>
      <c r="O306" s="32" t="inlineStr"/>
      <c r="P306" s="32" t="inlineStr"/>
      <c r="Q306" s="31" t="inlineStr">
        <is>
          <t>en</t>
        </is>
      </c>
      <c r="R306" s="33" t="inlineStr">
        <is>
          <t>Andina</t>
        </is>
      </c>
      <c r="S306" s="32" t="inlineStr">
        <is>
          <t>news media</t>
        </is>
      </c>
      <c r="T306" s="32" t="inlineStr">
        <is>
          <t>secondary reported</t>
        </is>
      </c>
      <c r="U306" s="32" t="inlineStr"/>
    </row>
    <row r="307" ht="45.75" customHeight="1" s="24">
      <c r="A307" s="31" t="inlineStr">
        <is>
          <t>PS-0292</t>
        </is>
      </c>
      <c r="B307" s="31" t="inlineStr">
        <is>
          <t>2026-02-04</t>
        </is>
      </c>
      <c r="C307" s="31" t="inlineStr">
        <is>
          <t>Regional</t>
        </is>
      </c>
      <c r="D307" s="31" t="inlineStr">
        <is>
          <t>No</t>
        </is>
      </c>
      <c r="E307" s="32" t="inlineStr">
        <is>
          <t>U.S. Department of State</t>
        </is>
      </c>
      <c r="F307" s="32" t="inlineStr">
        <is>
          <t>Host of 2026 Critical Minerals Ministerial (Sec. Marco Rubio)</t>
        </is>
      </c>
      <c r="G307" s="32" t="inlineStr">
        <is>
          <t>United States</t>
        </is>
      </c>
      <c r="H307" s="32" t="inlineStr">
        <is>
          <t>official statement</t>
        </is>
      </c>
      <c r="I307" s="32" t="inlineStr">
        <is>
          <t>2026 Critical Minerals Ministerial, Washington</t>
        </is>
      </c>
      <c r="J307" s="32" t="inlineStr">
        <is>
          <t>State Department fact sheet on the ministerial hosted by Rubio and VP Vance listed attending delegations including Argentina, Bolivia, Brazil, Ecuador, Paraguay and Peru, new bilateral critical minerals frameworks/MOUs with Argentina, Ecuador, Paraguay and Peru, and $565 million for rare earth extraction in Brazil.</t>
        </is>
      </c>
      <c r="K307" s="32" t="inlineStr">
        <is>
          <t>critical minerals general, rare earths</t>
        </is>
      </c>
      <c r="L307" s="32" t="inlineStr">
        <is>
          <t>trade deals offtake, financing credit, geopolitics security</t>
        </is>
      </c>
      <c r="M307" s="31" t="inlineStr">
        <is>
          <t>not mentioned</t>
        </is>
      </c>
      <c r="N307" s="31" t="inlineStr">
        <is>
          <t>positive</t>
        </is>
      </c>
      <c r="O307" s="32" t="inlineStr"/>
      <c r="P307" s="32" t="inlineStr"/>
      <c r="Q307" s="31" t="inlineStr">
        <is>
          <t>en</t>
        </is>
      </c>
      <c r="R307" s="33" t="inlineStr">
        <is>
          <t>U.S. Department of State (via GlobalSecurity.org)</t>
        </is>
      </c>
      <c r="S307" s="32" t="inlineStr">
        <is>
          <t>primary official</t>
        </is>
      </c>
      <c r="T307" s="32" t="inlineStr">
        <is>
          <t>primary verified</t>
        </is>
      </c>
      <c r="U307" s="32" t="inlineStr">
        <is>
          <t>Fact sheet reproduced by GlobalSecurity; 'other' = Paraguay</t>
        </is>
      </c>
    </row>
    <row r="308" ht="45.75" customHeight="1" s="24">
      <c r="A308" s="31" t="inlineStr">
        <is>
          <t>PS-0293</t>
        </is>
      </c>
      <c r="B308" s="31" t="inlineStr">
        <is>
          <t>2026-02-05</t>
        </is>
      </c>
      <c r="C308" s="31" t="inlineStr">
        <is>
          <t>Argentina</t>
        </is>
      </c>
      <c r="D308" s="31" t="inlineStr">
        <is>
          <t>Yes</t>
        </is>
      </c>
      <c r="E308" s="32" t="inlineStr">
        <is>
          <t>Christopher Landau</t>
        </is>
      </c>
      <c r="F308" s="32" t="inlineStr">
        <is>
          <t>U.S. Deputy Secretary of State</t>
        </is>
      </c>
      <c r="G308" s="32" t="inlineStr">
        <is>
          <t>United States</t>
        </is>
      </c>
      <c r="H308" s="32" t="inlineStr">
        <is>
          <t>joint declaration or mou</t>
        </is>
      </c>
      <c r="I308" s="32" t="inlineStr">
        <is>
          <t>Signing of US-Argentina Framework on critical minerals supply, Critical Minerals Ministerial</t>
        </is>
      </c>
      <c r="J308" s="32" t="inlineStr">
        <is>
          <t>Landau signed with FM Pablo Quirno a framework instrument to secure supply in critical minerals mining and processing, praising Argentina's leadership.</t>
        </is>
      </c>
      <c r="K308" s="32" t="inlineStr">
        <is>
          <t>critical minerals general, lithium, copper</t>
        </is>
      </c>
      <c r="L308" s="32" t="inlineStr">
        <is>
          <t>trade deals offtake, processing refining, diplomatic relations</t>
        </is>
      </c>
      <c r="M308" s="31" t="inlineStr">
        <is>
          <t>not mentioned</t>
        </is>
      </c>
      <c r="N308" s="31" t="inlineStr">
        <is>
          <t>positive</t>
        </is>
      </c>
      <c r="O308" s="32" t="inlineStr">
        <is>
          <t>Critical minerals cooperation strengthens U.S.-Argentina ties and advances secure, sustainable supply chains.</t>
        </is>
      </c>
      <c r="P308" s="32" t="inlineStr">
        <is>
          <t>Critical minerals cooperation strengthens U.S.-Argentina ties and advances secure, sustainable supply chains.</t>
        </is>
      </c>
      <c r="Q308" s="31" t="inlineStr">
        <is>
          <t>en</t>
        </is>
      </c>
      <c r="R308" s="33" t="inlineStr">
        <is>
          <t>Buenos Aires Herald</t>
        </is>
      </c>
      <c r="S308" s="32" t="inlineStr">
        <is>
          <t>news media</t>
        </is>
      </c>
      <c r="T308" s="32" t="inlineStr">
        <is>
          <t>secondary reported</t>
        </is>
      </c>
      <c r="U308" s="32" t="inlineStr"/>
    </row>
    <row r="309" ht="45.75" customHeight="1" s="24">
      <c r="A309" s="31" t="inlineStr">
        <is>
          <t>PS-0294</t>
        </is>
      </c>
      <c r="B309" s="31" t="inlineStr">
        <is>
          <t>2026-02-05</t>
        </is>
      </c>
      <c r="C309" s="31" t="inlineStr">
        <is>
          <t>Argentina</t>
        </is>
      </c>
      <c r="D309" s="31" t="inlineStr">
        <is>
          <t>Yes</t>
        </is>
      </c>
      <c r="E309" s="32" t="inlineStr">
        <is>
          <t>Lin Jian</t>
        </is>
      </c>
      <c r="F309" s="32" t="inlineStr">
        <is>
          <t>Spokesperson, Ministry of Foreign Affairs of China</t>
        </is>
      </c>
      <c r="G309" s="32" t="inlineStr">
        <is>
          <t>China</t>
        </is>
      </c>
      <c r="H309" s="32" t="inlineStr">
        <is>
          <t>press conference</t>
        </is>
      </c>
      <c r="I309" s="32" t="inlineStr">
        <is>
          <t>MFA regular press conference after US-hosted critical minerals ministerial and Argentina-US critical minerals agreement</t>
        </is>
      </c>
      <c r="J309" s="32" t="inlineStr">
        <is>
          <t>Asked about the US-organised critical minerals arrangement, Lin Jian said all parties should help keep global critical-mineral supply chains stable and opposed any country using 'small circle' rules to undermine the international economic and trade order. The remarks were reported alongside Argentina's signing of a critical minerals deal with the US.</t>
        </is>
      </c>
      <c r="K309" s="32" t="inlineStr">
        <is>
          <t>critical minerals general</t>
        </is>
      </c>
      <c r="L309" s="32" t="inlineStr">
        <is>
          <t>geopolitics security, trade deals offtake, tariffs trade policy</t>
        </is>
      </c>
      <c r="M309" s="31" t="inlineStr">
        <is>
          <t>positive</t>
        </is>
      </c>
      <c r="N309" s="31" t="inlineStr">
        <is>
          <t>negative</t>
        </is>
      </c>
      <c r="O309" s="32" t="inlineStr">
        <is>
          <t>各方都有责任为维护关键矿产全球产供链稳定与安全发挥建设性作用。</t>
        </is>
      </c>
      <c r="P309" s="32" t="inlineStr">
        <is>
          <t>All parties have a responsibility to play a constructive role in maintaining the stability and security of global critical-mineral supply chains.</t>
        </is>
      </c>
      <c r="Q309" s="31" t="inlineStr">
        <is>
          <t>zh</t>
        </is>
      </c>
      <c r="R309" s="33" t="inlineStr">
        <is>
          <t>ifeng.com</t>
        </is>
      </c>
      <c r="S309" s="32" t="inlineStr">
        <is>
          <t>news media</t>
        </is>
      </c>
      <c r="T309" s="32" t="inlineStr">
        <is>
          <t>secondary reported</t>
        </is>
      </c>
      <c r="U309" s="32" t="inlineStr">
        <is>
          <t>Article headline concerns Argentine FM saying the US deal does not exclude Chinese investment; Lin's remark addresses the US-led mechanism generally, not Argentina by name. A similar Lin Jian remark on 4 Feb 2026 is reported at news.ifeng.com/c/8qZobd1qUnI. MFA transcript not fetched.</t>
        </is>
      </c>
    </row>
    <row r="310" ht="45.75" customHeight="1" s="24">
      <c r="A310" s="31" t="inlineStr">
        <is>
          <t>PS-0295</t>
        </is>
      </c>
      <c r="B310" s="31" t="inlineStr">
        <is>
          <t>2026-02-05</t>
        </is>
      </c>
      <c r="C310" s="31" t="inlineStr">
        <is>
          <t>Argentina</t>
        </is>
      </c>
      <c r="D310" s="31" t="inlineStr">
        <is>
          <t>Yes</t>
        </is>
      </c>
      <c r="E310" s="32" t="inlineStr">
        <is>
          <t>Pablo Quirno; Marco Rubio</t>
        </is>
      </c>
      <c r="F310" s="32" t="inlineStr">
        <is>
          <t>Foreign Minister of Argentina; US Secretary of State</t>
        </is>
      </c>
      <c r="G310" s="32" t="inlineStr">
        <is>
          <t>LatAm executive</t>
        </is>
      </c>
      <c r="H310" s="32" t="inlineStr">
        <is>
          <t>joint declaration or mou</t>
        </is>
      </c>
      <c r="I310" s="32" t="inlineStr">
        <is>
          <t>Signing of Argentina-US critical minerals agreement, Washington</t>
        </is>
      </c>
      <c r="J310" s="32" t="inlineStr">
        <is>
          <t>Argentina and the US signed a bilateral critical minerals framework aimed at stronger, diversified and resilient value chains and long-term productive investment, with Argentina projecting mining exports above US$20bn within seven years.</t>
        </is>
      </c>
      <c r="K310" s="32" t="inlineStr">
        <is>
          <t>critical minerals general, copper, lithium</t>
        </is>
      </c>
      <c r="L310" s="32" t="inlineStr">
        <is>
          <t>trade deals offtake, foreign investment, geopolitics security</t>
        </is>
      </c>
      <c r="M310" s="31" t="inlineStr">
        <is>
          <t>not mentioned</t>
        </is>
      </c>
      <c r="N310" s="31" t="inlineStr">
        <is>
          <t>positive</t>
        </is>
      </c>
      <c r="O310" s="32" t="inlineStr">
        <is>
          <t>garantizar cadenas de valor más sólidas, diversificadas y resilientes, fomentando inversiones productivas de largo plazo</t>
        </is>
      </c>
      <c r="P310" s="32" t="inlineStr">
        <is>
          <t>ensure stronger, more diversified and resilient value chains, fostering long-term productive investment</t>
        </is>
      </c>
      <c r="Q310" s="31" t="inlineStr">
        <is>
          <t>es</t>
        </is>
      </c>
      <c r="R310" s="33" t="inlineStr">
        <is>
          <t>Diario de Cuyo</t>
        </is>
      </c>
      <c r="S310" s="32" t="inlineStr">
        <is>
          <t>news media</t>
        </is>
      </c>
      <c r="T310" s="32" t="inlineStr">
        <is>
          <t>secondary reported</t>
        </is>
      </c>
      <c r="U310" s="32" t="inlineStr">
        <is>
          <t>Official Cancillería release exists (cancilleria.gob.ar) but timed out on fetch.</t>
        </is>
      </c>
    </row>
    <row r="311" ht="45.75" customHeight="1" s="24">
      <c r="A311" s="31" t="inlineStr">
        <is>
          <t>PS-0296</t>
        </is>
      </c>
      <c r="B311" s="31" t="inlineStr">
        <is>
          <t>2026-02-05</t>
        </is>
      </c>
      <c r="C311" s="31" t="inlineStr">
        <is>
          <t>Regional</t>
        </is>
      </c>
      <c r="D311" s="31" t="inlineStr">
        <is>
          <t>No</t>
        </is>
      </c>
      <c r="E311" s="32" t="inlineStr">
        <is>
          <t>Marco Rubio</t>
        </is>
      </c>
      <c r="F311" s="32" t="inlineStr">
        <is>
          <t>U.S. Secretary of State</t>
        </is>
      </c>
      <c r="G311" s="32" t="inlineStr">
        <is>
          <t>United States</t>
        </is>
      </c>
      <c r="H311" s="32" t="inlineStr">
        <is>
          <t>official statement</t>
        </is>
      </c>
      <c r="I311" s="32" t="inlineStr">
        <is>
          <t>Close of 2026 Critical Minerals Ministerial; 11 bilateral frameworks incl. Argentina, Ecuador, Paraguay, Peru</t>
        </is>
      </c>
      <c r="J311" s="32" t="inlineStr">
        <is>
          <t>Rubio said the US and partners took a decisive step to reshape the global critical minerals and rare earths market, as 11 new bilateral agreements were signed including with Argentina, Ecuador, Paraguay and Peru.</t>
        </is>
      </c>
      <c r="K311" s="32" t="inlineStr">
        <is>
          <t>critical minerals general, rare earths</t>
        </is>
      </c>
      <c r="L311" s="32" t="inlineStr">
        <is>
          <t>trade deals offtake, financing credit, geopolitics security</t>
        </is>
      </c>
      <c r="M311" s="31" t="inlineStr">
        <is>
          <t>not mentioned</t>
        </is>
      </c>
      <c r="N311" s="31" t="inlineStr">
        <is>
          <t>positive</t>
        </is>
      </c>
      <c r="O311" s="32" t="inlineStr">
        <is>
          <t>took a decisive step to reshape the global market for critical minerals and rare earths, strengthening supply chains that underpin the world's most advanced technologies</t>
        </is>
      </c>
      <c r="P311" s="32" t="inlineStr">
        <is>
          <t>took a decisive step to reshape the global market for critical minerals and rare earths, strengthening supply chains that underpin the world's most advanced technologies</t>
        </is>
      </c>
      <c r="Q311" s="31" t="inlineStr">
        <is>
          <t>en</t>
        </is>
      </c>
      <c r="R311" s="33" t="inlineStr">
        <is>
          <t>UNI (United News of India)</t>
        </is>
      </c>
      <c r="S311" s="32" t="inlineStr">
        <is>
          <t>news media</t>
        </is>
      </c>
      <c r="T311" s="32" t="inlineStr">
        <is>
          <t>secondary reported</t>
        </is>
      </c>
      <c r="U311" s="32" t="inlineStr">
        <is>
          <t>'other' = Paraguay</t>
        </is>
      </c>
    </row>
    <row r="312" ht="45.75" customHeight="1" s="24">
      <c r="A312" s="31" t="inlineStr">
        <is>
          <t>PS-0297</t>
        </is>
      </c>
      <c r="B312" s="31" t="inlineStr">
        <is>
          <t>2026-02-09</t>
        </is>
      </c>
      <c r="C312" s="31" t="inlineStr">
        <is>
          <t>Mexico</t>
        </is>
      </c>
      <c r="D312" s="31" t="inlineStr">
        <is>
          <t>No</t>
        </is>
      </c>
      <c r="E312" s="32" t="inlineStr">
        <is>
          <t>Claudia Sheinbaum</t>
        </is>
      </c>
      <c r="F312" s="32" t="inlineStr">
        <is>
          <t>President of Mexico</t>
        </is>
      </c>
      <c r="G312" s="32" t="inlineStr">
        <is>
          <t>LatAm executive</t>
        </is>
      </c>
      <c r="H312" s="32" t="inlineStr">
        <is>
          <t>press conference</t>
        </is>
      </c>
      <c r="I312" s="32" t="inlineStr">
        <is>
          <t>Mañanera on US critical minerals talks and mining concessions</t>
        </is>
      </c>
      <c r="J312" s="32" t="inlineStr">
        <is>
          <t>Sheinbaum said nothing had been signed with the US on critical minerals, that Mexico would not change its mining law or open new mines as a result, and that over 200 unproductive concessions would return to the state.</t>
        </is>
      </c>
      <c r="K312" s="32" t="inlineStr">
        <is>
          <t>critical minerals general, mining general</t>
        </is>
      </c>
      <c r="L312" s="32" t="inlineStr">
        <is>
          <t>sovereignty, state control nationalization, diplomatic relations</t>
        </is>
      </c>
      <c r="M312" s="31" t="inlineStr">
        <is>
          <t>not mentioned</t>
        </is>
      </c>
      <c r="N312" s="31" t="inlineStr">
        <is>
          <t>neutral</t>
        </is>
      </c>
      <c r="O312" s="32" t="inlineStr">
        <is>
          <t>No hay nada firmado… Estados Unidos investiga en su país y nosotros exploramos en el nuestro, cada quien conforme a sus propias leyes</t>
        </is>
      </c>
      <c r="P312" s="32" t="inlineStr">
        <is>
          <t>Nothing is signed... the United States researches in its country and we explore in ours, each according to its own laws</t>
        </is>
      </c>
      <c r="Q312" s="31" t="inlineStr">
        <is>
          <t>es</t>
        </is>
      </c>
      <c r="R312" s="33" t="inlineStr">
        <is>
          <t>Diario de Yucatán</t>
        </is>
      </c>
      <c r="S312" s="32" t="inlineStr">
        <is>
          <t>news media</t>
        </is>
      </c>
      <c r="T312" s="32" t="inlineStr">
        <is>
          <t>secondary reported</t>
        </is>
      </c>
      <c r="U312" s="32" t="inlineStr"/>
    </row>
    <row r="313" ht="45.75" customHeight="1" s="24">
      <c r="A313" s="31" t="inlineStr">
        <is>
          <t>PS-0298</t>
        </is>
      </c>
      <c r="B313" s="31" t="inlineStr">
        <is>
          <t>2026-02-10</t>
        </is>
      </c>
      <c r="C313" s="31" t="inlineStr">
        <is>
          <t>Argentina</t>
        </is>
      </c>
      <c r="D313" s="31" t="inlineStr">
        <is>
          <t>Yes</t>
        </is>
      </c>
      <c r="E313" s="32" t="inlineStr">
        <is>
          <t>Pablo Quirno</t>
        </is>
      </c>
      <c r="F313" s="32" t="inlineStr">
        <is>
          <t>Foreign Minister of Argentina</t>
        </is>
      </c>
      <c r="G313" s="32" t="inlineStr">
        <is>
          <t>LatAm executive</t>
        </is>
      </c>
      <c r="H313" s="32" t="inlineStr">
        <is>
          <t>press conference</t>
        </is>
      </c>
      <c r="I313" s="32" t="inlineStr">
        <is>
          <t>Press conference after US-Argentina critical minerals and reciprocal trade agreements</t>
        </is>
      </c>
      <c r="J313" s="32" t="inlineStr">
        <is>
          <t>Quirno said the agreements with the US do not prevent China from participating in Argentine investments, noting China already has mineral investments in the country, while the pact prioritizes the US over market-manipulating economies.</t>
        </is>
      </c>
      <c r="K313" s="32" t="inlineStr">
        <is>
          <t>critical minerals general</t>
        </is>
      </c>
      <c r="L313" s="32" t="inlineStr">
        <is>
          <t>foreign investment, geopolitics security, diplomatic relations</t>
        </is>
      </c>
      <c r="M313" s="31" t="inlineStr">
        <is>
          <t>neutral</t>
        </is>
      </c>
      <c r="N313" s="31" t="inlineStr">
        <is>
          <t>positive</t>
        </is>
      </c>
      <c r="O313" s="32" t="inlineStr">
        <is>
          <t>Esto, a hoy, no implica que China no pueda participar o no vaya a participar en inversiones en Argentina. De hecho, tiene inversiones en Argentina, en minerales</t>
        </is>
      </c>
      <c r="P313" s="32" t="inlineStr">
        <is>
          <t>This, as of today, does not mean China cannot or will not participate in investments in Argentina. In fact, it has investments in Argentina, in minerals</t>
        </is>
      </c>
      <c r="Q313" s="31" t="inlineStr">
        <is>
          <t>es</t>
        </is>
      </c>
      <c r="R313" s="33" t="inlineStr">
        <is>
          <t>Reporte Minero</t>
        </is>
      </c>
      <c r="S313" s="32" t="inlineStr">
        <is>
          <t>news media</t>
        </is>
      </c>
      <c r="T313" s="32" t="inlineStr">
        <is>
          <t>secondary reported</t>
        </is>
      </c>
      <c r="U313" s="32" t="inlineStr"/>
    </row>
    <row r="314" ht="45.75" customHeight="1" s="24">
      <c r="A314" s="31" t="inlineStr">
        <is>
          <t>PS-0299</t>
        </is>
      </c>
      <c r="B314" s="31" t="inlineStr">
        <is>
          <t>2026-02-10</t>
        </is>
      </c>
      <c r="C314" s="31" t="inlineStr">
        <is>
          <t>Peru</t>
        </is>
      </c>
      <c r="D314" s="31" t="inlineStr">
        <is>
          <t>Yes</t>
        </is>
      </c>
      <c r="E314" s="32" t="inlineStr">
        <is>
          <t>U.S. Department of State, Bureau of Western Hemisphere Affairs</t>
        </is>
      </c>
      <c r="F314" s="32" t="inlineStr">
        <is>
          <t>US State Department bureau</t>
        </is>
      </c>
      <c r="G314" s="32" t="inlineStr">
        <is>
          <t>United States</t>
        </is>
      </c>
      <c r="H314" s="32" t="inlineStr">
        <is>
          <t>social media post</t>
        </is>
      </c>
      <c r="I314" s="32" t="inlineStr">
        <is>
          <t>Court ruling exempting Chancay port from Ositran oversight</t>
        </is>
      </c>
      <c r="J314" s="32" t="inlineStr">
        <is>
          <t>The State Department's WHA bureau said it was concerned Peru could be powerless to oversee Chancay under 'predatory Chinese owners' and warned that cheap Chinese money costs sovereignty.</t>
        </is>
      </c>
      <c r="K314" s="32" t="inlineStr">
        <is>
          <t>mining general</t>
        </is>
      </c>
      <c r="L314" s="32" t="inlineStr">
        <is>
          <t>geopolitics security, sovereignty, infrastructure ports</t>
        </is>
      </c>
      <c r="M314" s="31" t="inlineStr">
        <is>
          <t>negative</t>
        </is>
      </c>
      <c r="N314" s="31" t="inlineStr">
        <is>
          <t>not mentioned</t>
        </is>
      </c>
      <c r="O314" s="32" t="inlineStr">
        <is>
          <t>concerned about latest reports that Peru could be powerless to oversee Chancay, one of its largest ports, which is under the jurisdiction of predatory Chinese owners</t>
        </is>
      </c>
      <c r="P314" s="32" t="inlineStr">
        <is>
          <t>concerned about latest reports that Peru could be powerless to oversee Chancay, one of its largest ports, which is under the jurisdiction of predatory Chinese owners</t>
        </is>
      </c>
      <c r="Q314" s="31" t="inlineStr">
        <is>
          <t>en</t>
        </is>
      </c>
      <c r="R314" s="33" t="inlineStr">
        <is>
          <t>AP via Wyoming Public Media</t>
        </is>
      </c>
      <c r="S314" s="32" t="inlineStr">
        <is>
          <t>news media</t>
        </is>
      </c>
      <c r="T314" s="32" t="inlineStr">
        <is>
          <t>secondary reported</t>
        </is>
      </c>
      <c r="U314" s="32" t="inlineStr">
        <is>
          <t>Date approximate (post before 11 Feb 2026); port record</t>
        </is>
      </c>
    </row>
    <row r="315" ht="45.75" customHeight="1" s="24">
      <c r="A315" s="31" t="inlineStr">
        <is>
          <t>PS-0300</t>
        </is>
      </c>
      <c r="B315" s="31" t="inlineStr">
        <is>
          <t>2026-02-11</t>
        </is>
      </c>
      <c r="C315" s="31" t="inlineStr">
        <is>
          <t>Ecuador</t>
        </is>
      </c>
      <c r="D315" s="31" t="inlineStr">
        <is>
          <t>Yes</t>
        </is>
      </c>
      <c r="E315" s="32" t="inlineStr">
        <is>
          <t>Caleb Orr</t>
        </is>
      </c>
      <c r="F315" s="32" t="inlineStr">
        <is>
          <t>U.S. Assistant Secretary of State for Economic, Energy and Business Affairs</t>
        </is>
      </c>
      <c r="G315" s="32" t="inlineStr">
        <is>
          <t>United States</t>
        </is>
      </c>
      <c r="H315" s="32" t="inlineStr">
        <is>
          <t>press conference</t>
        </is>
      </c>
      <c r="I315" s="32" t="inlineStr">
        <is>
          <t>Press briefing on US-Ecuador framework agreement on critical minerals and rare earths</t>
        </is>
      </c>
      <c r="J315" s="32" t="inlineStr">
        <is>
          <t>Orr said the US-Ecuador critical minerals framework, which facilitates US investment, speeds permits for strategic projects, gives the US a first option on certain assets and discourages sales affecting national security, is not retaliation against China but about supply chain resilience and high standards, noting Ecuador's high-quality rare earth, copper and gold reserves.</t>
        </is>
      </c>
      <c r="K315" s="32" t="inlineStr">
        <is>
          <t>critical minerals general, rare earths, copper</t>
        </is>
      </c>
      <c r="L315" s="32" t="inlineStr">
        <is>
          <t>foreign investment, geopolitics security, trade deals offtake</t>
        </is>
      </c>
      <c r="M315" s="31" t="inlineStr">
        <is>
          <t>neutral</t>
        </is>
      </c>
      <c r="N315" s="31" t="inlineStr">
        <is>
          <t>positive</t>
        </is>
      </c>
      <c r="O315" s="32" t="inlineStr">
        <is>
          <t>Esperamos colaborar con Ecuador para identificar esos proyectos y promover una mayor inversión</t>
        </is>
      </c>
      <c r="P315" s="32" t="inlineStr">
        <is>
          <t>We hope to collaborate with Ecuador to identify those projects and promote greater investment</t>
        </is>
      </c>
      <c r="Q315" s="31" t="inlineStr">
        <is>
          <t>es</t>
        </is>
      </c>
      <c r="R315" s="33" t="inlineStr">
        <is>
          <t>Primicias</t>
        </is>
      </c>
      <c r="S315" s="32" t="inlineStr">
        <is>
          <t>news media</t>
        </is>
      </c>
      <c r="T315" s="32" t="inlineStr">
        <is>
          <t>secondary reported</t>
        </is>
      </c>
      <c r="U315" s="32" t="inlineStr">
        <is>
          <t>Spanish rendering of Orr's remarks; he also said the accord 'no es una represalia contra China' (Primicias https://www.primicias.ec/politica/estados-unidos-quiere-alejar-ecuador-china-peso-relacion-bilateral-pekin-ata-carondelet-132279/)</t>
        </is>
      </c>
    </row>
    <row r="316" ht="45.75" customHeight="1" s="24">
      <c r="A316" s="31" t="inlineStr">
        <is>
          <t>PS-0301</t>
        </is>
      </c>
      <c r="B316" s="31" t="inlineStr">
        <is>
          <t>2026-02-12</t>
        </is>
      </c>
      <c r="C316" s="31" t="inlineStr">
        <is>
          <t>Mexico</t>
        </is>
      </c>
      <c r="D316" s="31" t="inlineStr">
        <is>
          <t>No</t>
        </is>
      </c>
      <c r="E316" s="32" t="inlineStr">
        <is>
          <t>Claudia Sheinbaum</t>
        </is>
      </c>
      <c r="F316" s="32" t="inlineStr">
        <is>
          <t>President of Mexico</t>
        </is>
      </c>
      <c r="G316" s="32" t="inlineStr">
        <is>
          <t>LatAm executive</t>
        </is>
      </c>
      <c r="H316" s="32" t="inlineStr">
        <is>
          <t>press conference</t>
        </is>
      </c>
      <c r="I316" s="32" t="inlineStr">
        <is>
          <t>Mañanera on US-led multilateral critical minerals talks</t>
        </is>
      </c>
      <c r="J316" s="32" t="inlineStr">
        <is>
          <t>Sheinbaum said Mexico's mineral reserves belong to Mexico, their exploitation corresponds to Mexico, and this is not subject to any negotiation; Mexico is ceding nothing.</t>
        </is>
      </c>
      <c r="K316" s="32" t="inlineStr">
        <is>
          <t>critical minerals general</t>
        </is>
      </c>
      <c r="L316" s="32" t="inlineStr">
        <is>
          <t>sovereignty, state control nationalization</t>
        </is>
      </c>
      <c r="M316" s="31" t="inlineStr">
        <is>
          <t>not mentioned</t>
        </is>
      </c>
      <c r="N316" s="31" t="inlineStr">
        <is>
          <t>neutral</t>
        </is>
      </c>
      <c r="O316" s="32" t="inlineStr">
        <is>
          <t>Las reservas de minerales son de México. Y en todo caso su explotación le corresponde a México... eso no está a ninguna negociación.</t>
        </is>
      </c>
      <c r="P316" s="32" t="inlineStr">
        <is>
          <t>Mineral reserves belong to Mexico. And in any case their exploitation corresponds to Mexico... that is not under any negotiation.</t>
        </is>
      </c>
      <c r="Q316" s="31" t="inlineStr">
        <is>
          <t>es</t>
        </is>
      </c>
      <c r="R316" s="33" t="inlineStr">
        <is>
          <t>Excélsior</t>
        </is>
      </c>
      <c r="S316" s="32" t="inlineStr">
        <is>
          <t>news media</t>
        </is>
      </c>
      <c r="T316" s="32" t="inlineStr">
        <is>
          <t>secondary reported</t>
        </is>
      </c>
      <c r="U316" s="32" t="inlineStr"/>
    </row>
    <row r="317" ht="45.75" customHeight="1" s="24">
      <c r="A317" s="31" t="inlineStr">
        <is>
          <t>PS-0302</t>
        </is>
      </c>
      <c r="B317" s="31" t="inlineStr">
        <is>
          <t>2026-02-12</t>
        </is>
      </c>
      <c r="C317" s="31" t="inlineStr">
        <is>
          <t>Mexico</t>
        </is>
      </c>
      <c r="D317" s="31" t="inlineStr">
        <is>
          <t>No</t>
        </is>
      </c>
      <c r="E317" s="32" t="inlineStr">
        <is>
          <t>Marcelo Ebrard</t>
        </is>
      </c>
      <c r="F317" s="32" t="inlineStr">
        <is>
          <t>Secretary of Economy of Mexico</t>
        </is>
      </c>
      <c r="G317" s="32" t="inlineStr">
        <is>
          <t>LatAm executive</t>
        </is>
      </c>
      <c r="H317" s="32" t="inlineStr">
        <is>
          <t>press conference</t>
        </is>
      </c>
      <c r="I317" s="32" t="inlineStr">
        <is>
          <t>Mexico's participation in US-led 60-day multilateral critical minerals talks</t>
        </is>
      </c>
      <c r="J317" s="32" t="inlineStr">
        <is>
          <t>Ebrard said that amid geopolitical competition Mexico must guarantee its own supply of critical minerals it lacks, participating in multilateral talks on the basis of mutual respect, sovereignty and fair access.</t>
        </is>
      </c>
      <c r="K317" s="32" t="inlineStr">
        <is>
          <t>critical minerals general, lithium, nickel, cobalt, tantalum</t>
        </is>
      </c>
      <c r="L317" s="32" t="inlineStr">
        <is>
          <t>geopolitics security, trade deals offtake, sovereignty</t>
        </is>
      </c>
      <c r="M317" s="31" t="inlineStr">
        <is>
          <t>not mentioned</t>
        </is>
      </c>
      <c r="N317" s="31" t="inlineStr">
        <is>
          <t>neutral</t>
        </is>
      </c>
      <c r="O317" s="32" t="inlineStr">
        <is>
          <t>Nosotros tenemos que ocuparnos de garantizar el suministro de minerales críticos para México, porque nos hacen falta muchos minerales</t>
        </is>
      </c>
      <c r="P317" s="32" t="inlineStr">
        <is>
          <t>We have to take care of guaranteeing the supply of critical minerals for Mexico, because we lack many minerals</t>
        </is>
      </c>
      <c r="Q317" s="31" t="inlineStr">
        <is>
          <t>es</t>
        </is>
      </c>
      <c r="R317" s="33" t="inlineStr">
        <is>
          <t>La Política Online</t>
        </is>
      </c>
      <c r="S317" s="32" t="inlineStr">
        <is>
          <t>news media</t>
        </is>
      </c>
      <c r="T317" s="32" t="inlineStr">
        <is>
          <t>secondary reported</t>
        </is>
      </c>
      <c r="U317" s="32" t="inlineStr">
        <is>
          <t>Talks also involve India and South Korea; China not named by Ebrard.</t>
        </is>
      </c>
    </row>
    <row r="318" ht="45.75" customHeight="1" s="24">
      <c r="A318" s="31" t="inlineStr">
        <is>
          <t>PS-0303</t>
        </is>
      </c>
      <c r="B318" s="31" t="inlineStr">
        <is>
          <t>2026-02-12</t>
        </is>
      </c>
      <c r="C318" s="31" t="inlineStr">
        <is>
          <t>Peru</t>
        </is>
      </c>
      <c r="D318" s="31" t="inlineStr">
        <is>
          <t>Yes</t>
        </is>
      </c>
      <c r="E318" s="32" t="inlineStr">
        <is>
          <t>Lin Jian</t>
        </is>
      </c>
      <c r="F318" s="32" t="inlineStr">
        <is>
          <t>Spokesperson, Ministry of Foreign Affairs of China</t>
        </is>
      </c>
      <c r="G318" s="32" t="inlineStr">
        <is>
          <t>China</t>
        </is>
      </c>
      <c r="H318" s="32" t="inlineStr">
        <is>
          <t>press conference</t>
        </is>
      </c>
      <c r="I318" s="32" t="inlineStr">
        <is>
          <t>MFA regular press conference; response to US remarks on Chancay</t>
        </is>
      </c>
      <c r="J318" s="32" t="inlineStr">
        <is>
          <t>Lin Jian said China firmly opposes and strongly deplores US rumor-mongering and smearing of Chancay port after US warnings over Peruvian sovereignty.</t>
        </is>
      </c>
      <c r="K318" s="32" t="inlineStr">
        <is>
          <t>mining general</t>
        </is>
      </c>
      <c r="L318" s="32" t="inlineStr">
        <is>
          <t>sovereignty, geopolitics security, infrastructure ports</t>
        </is>
      </c>
      <c r="M318" s="31" t="inlineStr">
        <is>
          <t>positive</t>
        </is>
      </c>
      <c r="N318" s="31" t="inlineStr">
        <is>
          <t>negative</t>
        </is>
      </c>
      <c r="O318" s="32" t="inlineStr">
        <is>
          <t>firmly opposes and strongly deplores the U.S.'s blatant rumor-mongering and smearing of Chancay port</t>
        </is>
      </c>
      <c r="P318" s="32" t="inlineStr">
        <is>
          <t>firmly opposes and strongly deplores the U.S.'s blatant rumor-mongering and smearing of Chancay port</t>
        </is>
      </c>
      <c r="Q318" s="31" t="inlineStr">
        <is>
          <t>en</t>
        </is>
      </c>
      <c r="R318" s="33" t="inlineStr">
        <is>
          <t>AP via Wyoming Public Media</t>
        </is>
      </c>
      <c r="S318" s="32" t="inlineStr">
        <is>
          <t>news media</t>
        </is>
      </c>
      <c r="T318" s="32" t="inlineStr">
        <is>
          <t>secondary reported</t>
        </is>
      </c>
      <c r="U318" s="32" t="inlineStr">
        <is>
          <t>Also reported by Canal N; port record</t>
        </is>
      </c>
    </row>
    <row r="319" ht="45.75" customHeight="1" s="24">
      <c r="A319" s="31" t="inlineStr">
        <is>
          <t>PS-0304</t>
        </is>
      </c>
      <c r="B319" s="31" t="inlineStr">
        <is>
          <t>2026-02-12</t>
        </is>
      </c>
      <c r="C319" s="31" t="inlineStr">
        <is>
          <t>Peru</t>
        </is>
      </c>
      <c r="D319" s="31" t="inlineStr">
        <is>
          <t>Yes</t>
        </is>
      </c>
      <c r="E319" s="32" t="inlineStr">
        <is>
          <t>U.S. Department of State, Bureau of Western Hemisphere Affairs</t>
        </is>
      </c>
      <c r="F319" s="32" t="inlineStr">
        <is>
          <t>State Department regional bureau</t>
        </is>
      </c>
      <c r="G319" s="32" t="inlineStr">
        <is>
          <t>United States</t>
        </is>
      </c>
      <c r="H319" s="32" t="inlineStr">
        <is>
          <t>social media post</t>
        </is>
      </c>
      <c r="I319" s="32" t="inlineStr">
        <is>
          <t>Reaction to Peruvian court ruling limiting regulator Ositrán's oversight of Chancay port</t>
        </is>
      </c>
      <c r="J319" s="32" t="inlineStr">
        <is>
          <t>The WHA bureau said Peru could be powerless to oversee Chancay port under 'predatory Chinese owners', backed Peru's right to oversee critical infrastructure, and warned that cheap Chinese money costs sovereignty.</t>
        </is>
      </c>
      <c r="K319" s="32" t="inlineStr">
        <is>
          <t>mining general</t>
        </is>
      </c>
      <c r="L319" s="32" t="inlineStr">
        <is>
          <t>sovereignty, infrastructure ports, geopolitics security</t>
        </is>
      </c>
      <c r="M319" s="31" t="inlineStr">
        <is>
          <t>negative</t>
        </is>
      </c>
      <c r="N319" s="31" t="inlineStr">
        <is>
          <t>positive</t>
        </is>
      </c>
      <c r="O319" s="32" t="inlineStr">
        <is>
          <t>Let this be a cautionary tale for the region and the world: cheap Chinese money costs sovereignty.</t>
        </is>
      </c>
      <c r="P319" s="32" t="inlineStr">
        <is>
          <t>Let this be a cautionary tale for the region and the world: cheap Chinese money costs sovereignty.</t>
        </is>
      </c>
      <c r="Q319" s="31" t="inlineStr">
        <is>
          <t>en</t>
        </is>
      </c>
      <c r="R319" s="33" t="inlineStr">
        <is>
          <t>Boston Globe (AP)</t>
        </is>
      </c>
      <c r="S319" s="32" t="inlineStr">
        <is>
          <t>news media</t>
        </is>
      </c>
      <c r="T319" s="32" t="inlineStr">
        <is>
          <t>secondary reported</t>
        </is>
      </c>
      <c r="U319" s="32" t="inlineStr">
        <is>
          <t>Date approximate (article 12 Feb 2026); minerals not explicitly mentioned—Chancay is a key copper/mineral export port</t>
        </is>
      </c>
    </row>
    <row r="320" ht="45.75" customHeight="1" s="24">
      <c r="A320" s="31" t="inlineStr">
        <is>
          <t>PS-0305</t>
        </is>
      </c>
      <c r="B320" s="31" t="inlineStr">
        <is>
          <t>2026-02-18</t>
        </is>
      </c>
      <c r="C320" s="31" t="inlineStr">
        <is>
          <t>Bolivia</t>
        </is>
      </c>
      <c r="D320" s="31" t="inlineStr">
        <is>
          <t>Yes</t>
        </is>
      </c>
      <c r="E320" s="32" t="inlineStr">
        <is>
          <t>Alberto Pérez</t>
        </is>
      </c>
      <c r="F320" s="32" t="inlineStr">
        <is>
          <t>President, Comité Cívico Potosinista (Comcipo)</t>
        </is>
      </c>
      <c r="G320" s="32" t="inlineStr">
        <is>
          <t>Other (business, civil society, third countries)</t>
        </is>
      </c>
      <c r="H320" s="32" t="inlineStr">
        <is>
          <t>press conference</t>
        </is>
      </c>
      <c r="I320" s="32" t="inlineStr">
        <is>
          <t>Reminder to Paz of campaign commitment on lithium</t>
        </is>
      </c>
      <c r="J320" s="32" t="inlineStr">
        <is>
          <t>Comcipo's president reminded President Paz that as a candidate he signed a commitment in Potosí that lithium industrialization would be built from Potosí with Potosinos' authorization.</t>
        </is>
      </c>
      <c r="K320" s="32" t="inlineStr">
        <is>
          <t>lithium</t>
        </is>
      </c>
      <c r="L320" s="32" t="inlineStr">
        <is>
          <t>value added industrialization, sovereignty</t>
        </is>
      </c>
      <c r="M320" s="31" t="inlineStr">
        <is>
          <t>not mentioned</t>
        </is>
      </c>
      <c r="N320" s="31" t="inlineStr">
        <is>
          <t>not mentioned</t>
        </is>
      </c>
      <c r="O320" s="32" t="inlineStr">
        <is>
          <t>el litio se construye desde Potosí, con los potosinos y todo se hace con la autorización de los potosinos</t>
        </is>
      </c>
      <c r="P320" s="32" t="inlineStr">
        <is>
          <t>lithium is built from Potosí, with the Potosinos, and everything is done with the authorization of the Potosinos</t>
        </is>
      </c>
      <c r="Q320" s="31" t="inlineStr">
        <is>
          <t>es</t>
        </is>
      </c>
      <c r="R320" s="33" t="inlineStr">
        <is>
          <t>EJU.tv</t>
        </is>
      </c>
      <c r="S320" s="32" t="inlineStr">
        <is>
          <t>news media</t>
        </is>
      </c>
      <c r="T320" s="32" t="inlineStr">
        <is>
          <t>secondary reported</t>
        </is>
      </c>
      <c r="U320" s="32" t="inlineStr"/>
    </row>
    <row r="321" ht="45.75" customHeight="1" s="24">
      <c r="A321" s="31" t="inlineStr">
        <is>
          <t>PS-0306</t>
        </is>
      </c>
      <c r="B321" s="31" t="inlineStr">
        <is>
          <t>2026-02-21</t>
        </is>
      </c>
      <c r="C321" s="31" t="inlineStr">
        <is>
          <t>Brazil</t>
        </is>
      </c>
      <c r="D321" s="31" t="inlineStr">
        <is>
          <t>Yes</t>
        </is>
      </c>
      <c r="E321" s="32" t="inlineStr">
        <is>
          <t>Luiz Inácio Lula da Silva</t>
        </is>
      </c>
      <c r="F321" s="32" t="inlineStr">
        <is>
          <t>President of Brazil</t>
        </is>
      </c>
      <c r="G321" s="32" t="inlineStr">
        <is>
          <t>LatAm executive</t>
        </is>
      </c>
      <c r="H321" s="32" t="inlineStr">
        <is>
          <t>joint declaration or mou</t>
        </is>
      </c>
      <c r="I321" s="32" t="inlineStr">
        <is>
          <t>Brazil-India critical minerals MoU signed during state visit, New Delhi</t>
        </is>
      </c>
      <c r="J321" s="32" t="inlineStr">
        <is>
          <t>Brazil and India signed their first memorandum on technical and scientific cooperation in critical minerals supply chains, with no export guarantees or quotas; Lula said the energy and digital transition would not happen without critical minerals and that a national council would ensure sovereignty and domestic processing.</t>
        </is>
      </c>
      <c r="K321" s="32" t="inlineStr">
        <is>
          <t>critical minerals general, rare earths</t>
        </is>
      </c>
      <c r="L321" s="32" t="inlineStr">
        <is>
          <t>diplomatic relations, technology transfer, sovereignty</t>
        </is>
      </c>
      <c r="M321" s="31" t="inlineStr">
        <is>
          <t>not mentioned</t>
        </is>
      </c>
      <c r="N321" s="31" t="inlineStr">
        <is>
          <t>not mentioned</t>
        </is>
      </c>
      <c r="O321" s="32" t="inlineStr"/>
      <c r="P321" s="32" t="inlineStr"/>
      <c r="Q321" s="31" t="inlineStr">
        <is>
          <t>pt</t>
        </is>
      </c>
      <c r="R321" s="33" t="inlineStr">
        <is>
          <t>Poder360</t>
        </is>
      </c>
      <c r="S321" s="32" t="inlineStr">
        <is>
          <t>news media</t>
        </is>
      </c>
      <c r="T321" s="32" t="inlineStr">
        <is>
          <t>secondary reported</t>
        </is>
      </c>
      <c r="U321" s="32" t="inlineStr">
        <is>
          <t>counterpart other = India; Lula quote seen only in translation</t>
        </is>
      </c>
    </row>
    <row r="322" ht="45.75" customHeight="1" s="24">
      <c r="A322" s="31" t="inlineStr">
        <is>
          <t>PS-0307</t>
        </is>
      </c>
      <c r="B322" s="31" t="inlineStr">
        <is>
          <t>2026-02-22</t>
        </is>
      </c>
      <c r="C322" s="31" t="inlineStr">
        <is>
          <t>Brazil</t>
        </is>
      </c>
      <c r="D322" s="31" t="inlineStr">
        <is>
          <t>Yes</t>
        </is>
      </c>
      <c r="E322" s="32" t="inlineStr">
        <is>
          <t>Luiz Inácio Lula da Silva</t>
        </is>
      </c>
      <c r="F322" s="32" t="inlineStr">
        <is>
          <t>President of Brazil</t>
        </is>
      </c>
      <c r="G322" s="32" t="inlineStr">
        <is>
          <t>LatAm executive</t>
        </is>
      </c>
      <c r="H322" s="32" t="inlineStr">
        <is>
          <t>press conference</t>
        </is>
      </c>
      <c r="I322" s="32" t="inlineStr">
        <is>
          <t>State visit to India, remarks to journalists in New Delhi</t>
        </is>
      </c>
      <c r="J322" s="32" t="inlineStr">
        <is>
          <t>Speaking in New Delhi, Lula said Brazil will not allow its rare earths to be exploited the way iron ore was, and that critical minerals can be exploited only if industrial transformation takes place in Brazil.</t>
        </is>
      </c>
      <c r="K322" s="32" t="inlineStr">
        <is>
          <t>rare earths, iron ore, critical minerals general</t>
        </is>
      </c>
      <c r="L322" s="32" t="inlineStr">
        <is>
          <t>value added industrialization, processing refining, sovereignty</t>
        </is>
      </c>
      <c r="M322" s="31" t="inlineStr">
        <is>
          <t>not mentioned</t>
        </is>
      </c>
      <c r="N322" s="31" t="inlineStr">
        <is>
          <t>neutral</t>
        </is>
      </c>
      <c r="O322" s="32" t="inlineStr">
        <is>
          <t>Não vamos permitir que nossas terras raras sejam exploradas como foi o minério de ferro</t>
        </is>
      </c>
      <c r="P322" s="32" t="inlineStr">
        <is>
          <t>We will not allow our rare earths to be exploited the way iron ore was</t>
        </is>
      </c>
      <c r="Q322" s="31" t="inlineStr">
        <is>
          <t>pt</t>
        </is>
      </c>
      <c r="R322" s="33" t="inlineStr">
        <is>
          <t>Poder360</t>
        </is>
      </c>
      <c r="S322" s="32" t="inlineStr">
        <is>
          <t>news media</t>
        </is>
      </c>
      <c r="T322" s="32" t="inlineStr">
        <is>
          <t>secondary reported</t>
        </is>
      </c>
      <c r="U322" s="32" t="inlineStr"/>
    </row>
    <row r="323" ht="45.75" customHeight="1" s="24">
      <c r="A323" s="31" t="inlineStr">
        <is>
          <t>PS-0308</t>
        </is>
      </c>
      <c r="B323" s="31" t="inlineStr">
        <is>
          <t>2026-02-24</t>
        </is>
      </c>
      <c r="C323" s="31" t="inlineStr">
        <is>
          <t>Brazil</t>
        </is>
      </c>
      <c r="D323" s="31" t="inlineStr">
        <is>
          <t>Yes</t>
        </is>
      </c>
      <c r="E323" s="32" t="inlineStr">
        <is>
          <t>Michael Cadenazzi</t>
        </is>
      </c>
      <c r="F323" s="32" t="inlineStr">
        <is>
          <t>Assistant Secretary of Defense for Industrial Base Policy</t>
        </is>
      </c>
      <c r="G323" s="32" t="inlineStr">
        <is>
          <t>United States</t>
        </is>
      </c>
      <c r="H323" s="32" t="inlineStr">
        <is>
          <t>legislative debate</t>
        </is>
      </c>
      <c r="I323" s="32" t="inlineStr">
        <is>
          <t>SASC hearing 'Rebuilding American Critical Minerals Supply Chains'</t>
        </is>
      </c>
      <c r="J323" s="32" t="inlineStr">
        <is>
          <t>Testifying on rebuilding critical-minerals supply chains amid China's dominance of heavy rare earths, Cadenazzi said the Pentagon had struck additional deals with a Brazilian company, citing Serra Verde.</t>
        </is>
      </c>
      <c r="K323" s="32" t="inlineStr">
        <is>
          <t>rare earths, critical minerals general</t>
        </is>
      </c>
      <c r="L323" s="32" t="inlineStr">
        <is>
          <t>geopolitics security, trade deals offtake, processing refining</t>
        </is>
      </c>
      <c r="M323" s="31" t="inlineStr">
        <is>
          <t>negative</t>
        </is>
      </c>
      <c r="N323" s="31" t="inlineStr">
        <is>
          <t>positive</t>
        </is>
      </c>
      <c r="O323" s="32" t="inlineStr"/>
      <c r="P323" s="32" t="inlineStr"/>
      <c r="Q323" s="31" t="inlineStr">
        <is>
          <t>en</t>
        </is>
      </c>
      <c r="R323" s="33" t="inlineStr">
        <is>
          <t>U.S. Senate Armed Services Committee (hearing transcript)</t>
        </is>
      </c>
      <c r="S323" s="32" t="inlineStr">
        <is>
          <t>legislative record</t>
        </is>
      </c>
      <c r="T323" s="32" t="inlineStr">
        <is>
          <t>primary verified</t>
        </is>
      </c>
      <c r="U323" s="32" t="inlineStr">
        <is>
          <t>Transcript extract was fragmentary, so paraphrase only. Transcript URL path dated 03/03/2026; hearing 24 Feb 2026.</t>
        </is>
      </c>
    </row>
    <row r="324" ht="45.75" customHeight="1" s="24">
      <c r="A324" s="31" t="inlineStr">
        <is>
          <t>PS-0309</t>
        </is>
      </c>
      <c r="B324" s="31" t="inlineStr">
        <is>
          <t>2026-02-25</t>
        </is>
      </c>
      <c r="C324" s="31" t="inlineStr">
        <is>
          <t>Brazil</t>
        </is>
      </c>
      <c r="D324" s="31" t="inlineStr">
        <is>
          <t>Yes</t>
        </is>
      </c>
      <c r="E324" s="32" t="inlineStr">
        <is>
          <t>Ana Paula Bittencourt</t>
        </is>
      </c>
      <c r="F324" s="32" t="inlineStr">
        <is>
          <t>National Secretary of Geology, Mining and Mineral Transformation, MME</t>
        </is>
      </c>
      <c r="G324" s="32" t="inlineStr">
        <is>
          <t>LatAm executive</t>
        </is>
      </c>
      <c r="H324" s="32" t="inlineStr">
        <is>
          <t>speech</t>
        </is>
      </c>
      <c r="I324" s="32" t="inlineStr">
        <is>
          <t>Remarks on Brazil's negotiating stance on critical minerals partnerships</t>
        </is>
      </c>
      <c r="J324" s="32" t="inlineStr">
        <is>
          <t>Bittencourt said Brazil would not sign exclusive critical minerals deals despite US offers of finance and technology, and would talk with any partner that accepts it will not have exclusivity.</t>
        </is>
      </c>
      <c r="K324" s="32" t="inlineStr">
        <is>
          <t>rare earths, critical minerals general</t>
        </is>
      </c>
      <c r="L324" s="32" t="inlineStr">
        <is>
          <t>diplomatic relations, foreign investment, sovereignty</t>
        </is>
      </c>
      <c r="M324" s="31" t="inlineStr">
        <is>
          <t>not mentioned</t>
        </is>
      </c>
      <c r="N324" s="31" t="inlineStr">
        <is>
          <t>neutral</t>
        </is>
      </c>
      <c r="O324" s="32" t="inlineStr">
        <is>
          <t>Uma das premissas básicas das nossas relações é que nós sentamos para conversar com qualquer um que entenda que ele não vai ter exclusividade</t>
        </is>
      </c>
      <c r="P324" s="32" t="inlineStr">
        <is>
          <t>One of the basic premises of our relations is that we sit down to talk with anyone who understands they will not have exclusivity</t>
        </is>
      </c>
      <c r="Q324" s="31" t="inlineStr">
        <is>
          <t>pt</t>
        </is>
      </c>
      <c r="R324" s="33" t="inlineStr">
        <is>
          <t>Agência iNFRA</t>
        </is>
      </c>
      <c r="S324" s="32" t="inlineStr">
        <is>
          <t>news media</t>
        </is>
      </c>
      <c r="T324" s="32" t="inlineStr">
        <is>
          <t>secondary reported</t>
        </is>
      </c>
      <c r="U324" s="32" t="inlineStr"/>
    </row>
    <row r="325" ht="45.75" customHeight="1" s="24">
      <c r="A325" s="31" t="inlineStr">
        <is>
          <t>PS-0310</t>
        </is>
      </c>
      <c r="B325" s="31" t="inlineStr">
        <is>
          <t>2026-02-26</t>
        </is>
      </c>
      <c r="C325" s="31" t="inlineStr">
        <is>
          <t>Argentina</t>
        </is>
      </c>
      <c r="D325" s="31" t="inlineStr">
        <is>
          <t>Yes</t>
        </is>
      </c>
      <c r="E325" s="32" t="inlineStr">
        <is>
          <t>Patricia Bullrich</t>
        </is>
      </c>
      <c r="F325" s="32" t="inlineStr">
        <is>
          <t>National Senator (La Libertad Avanza bloc leader)</t>
        </is>
      </c>
      <c r="G325" s="32" t="inlineStr">
        <is>
          <t>LatAm legislature</t>
        </is>
      </c>
      <c r="H325" s="32" t="inlineStr">
        <is>
          <t>legislative debate</t>
        </is>
      </c>
      <c r="I325" s="32" t="inlineStr">
        <is>
          <t>Glacier Law reform debate</t>
        </is>
      </c>
      <c r="J325" s="32" t="inlineStr">
        <is>
          <t>Bullrich said the reform profoundly changes Argentina by ending the 'ridiculous' logic opposing environment and economy.</t>
        </is>
      </c>
      <c r="K325" s="32" t="inlineStr">
        <is>
          <t>mining general, copper</t>
        </is>
      </c>
      <c r="L325" s="32" t="inlineStr">
        <is>
          <t>environment water, foreign investment</t>
        </is>
      </c>
      <c r="M325" s="31" t="inlineStr">
        <is>
          <t>not mentioned</t>
        </is>
      </c>
      <c r="N325" s="31" t="inlineStr">
        <is>
          <t>not mentioned</t>
        </is>
      </c>
      <c r="O325" s="32" t="inlineStr">
        <is>
          <t>Estamos cambiando profundamente a la Argentina porque no queremos discutir más esta lógica ridícula</t>
        </is>
      </c>
      <c r="P325" s="32" t="inlineStr">
        <is>
          <t>We are profoundly changing Argentina because we no longer want to debate this ridiculous logic</t>
        </is>
      </c>
      <c r="Q325" s="31" t="inlineStr">
        <is>
          <t>es</t>
        </is>
      </c>
      <c r="R325" s="33" t="inlineStr">
        <is>
          <t>Más Energía (LM Neuquén)</t>
        </is>
      </c>
      <c r="S325" s="32" t="inlineStr">
        <is>
          <t>news media</t>
        </is>
      </c>
      <c r="T325" s="32" t="inlineStr">
        <is>
          <t>secondary reported</t>
        </is>
      </c>
      <c r="U325" s="32" t="inlineStr">
        <is>
          <t>Date assumed to be Senate debate; article covers both chambers.</t>
        </is>
      </c>
    </row>
    <row r="326" ht="45.75" customHeight="1" s="24">
      <c r="A326" s="31" t="inlineStr">
        <is>
          <t>PS-0311</t>
        </is>
      </c>
      <c r="B326" s="31" t="inlineStr">
        <is>
          <t>2026-02-26</t>
        </is>
      </c>
      <c r="C326" s="31" t="inlineStr">
        <is>
          <t>Argentina</t>
        </is>
      </c>
      <c r="D326" s="31" t="inlineStr">
        <is>
          <t>Yes</t>
        </is>
      </c>
      <c r="E326" s="32" t="inlineStr">
        <is>
          <t>Senate of Argentina</t>
        </is>
      </c>
      <c r="F326" s="32" t="inlineStr">
        <is>
          <t>Upper chamber</t>
        </is>
      </c>
      <c r="G326" s="32" t="inlineStr">
        <is>
          <t>LatAm legislature</t>
        </is>
      </c>
      <c r="H326" s="32" t="inlineStr">
        <is>
          <t>bill or law</t>
        </is>
      </c>
      <c r="I326" s="32" t="inlineStr">
        <is>
          <t>Senate approval of Glacier Law reform</t>
        </is>
      </c>
      <c r="J326" s="32" t="inlineStr">
        <is>
          <t>The Senate approved the government's reform of the Glacier Law by 40 votes to 31 with 1 abstention, opening periglacial areas to mining; the ruling party said it would unlock mining investment while the opposition denounced irregularities.</t>
        </is>
      </c>
      <c r="K326" s="32" t="inlineStr">
        <is>
          <t>copper, mining general</t>
        </is>
      </c>
      <c r="L326" s="32" t="inlineStr">
        <is>
          <t>environment water, foreign investment</t>
        </is>
      </c>
      <c r="M326" s="31" t="inlineStr">
        <is>
          <t>not mentioned</t>
        </is>
      </c>
      <c r="N326" s="31" t="inlineStr">
        <is>
          <t>not mentioned</t>
        </is>
      </c>
      <c r="O326" s="32" t="inlineStr"/>
      <c r="P326" s="32" t="inlineStr"/>
      <c r="Q326" s="31" t="inlineStr">
        <is>
          <t>es</t>
        </is>
      </c>
      <c r="R326" s="33" t="inlineStr">
        <is>
          <t>La Voz de San Justo</t>
        </is>
      </c>
      <c r="S326" s="32" t="inlineStr">
        <is>
          <t>news media</t>
        </is>
      </c>
      <c r="T326" s="32" t="inlineStr">
        <is>
          <t>secondary reported</t>
        </is>
      </c>
      <c r="U326" s="32" t="inlineStr">
        <is>
          <t>Another source gives 27 Feb (session past midnight).</t>
        </is>
      </c>
    </row>
    <row r="327" ht="45.75" customHeight="1" s="24">
      <c r="A327" s="31" t="inlineStr">
        <is>
          <t>PS-0406</t>
        </is>
      </c>
      <c r="B327" s="31" t="inlineStr">
        <is>
          <t>2026-03-04</t>
        </is>
      </c>
      <c r="C327" s="31" t="inlineStr">
        <is>
          <t>Venezuela</t>
        </is>
      </c>
      <c r="D327" s="31" t="inlineStr">
        <is>
          <t>Yes</t>
        </is>
      </c>
      <c r="E327" s="32" t="inlineStr">
        <is>
          <t>Delcy Rodríguez</t>
        </is>
      </c>
      <c r="F327" s="32" t="inlineStr">
        <is>
          <t>Acting President of Venezuela</t>
        </is>
      </c>
      <c r="G327" s="32" t="inlineStr">
        <is>
          <t>LatAm executive</t>
        </is>
      </c>
      <c r="H327" s="32" t="inlineStr">
        <is>
          <t>official statement</t>
        </is>
      </c>
      <c r="I327" s="32" t="inlineStr">
        <is>
          <t>Joint appearance at Miraflores with US Interior Secretary Doug Burgum and a delegation of US mining companies</t>
        </is>
      </c>
      <c r="J327" s="32" t="inlineStr">
        <is>
          <t>Rodríguez announced that her economic team would send the National Assembly an expansion of the Mining Law in the coming days, modelled on the recent hydrocarbons reform, to ease private investment, and asked the deputies for speed.</t>
        </is>
      </c>
      <c r="K327" s="32" t="inlineStr">
        <is>
          <t>critical minerals general, mining general</t>
        </is>
      </c>
      <c r="L327" s="32" t="inlineStr">
        <is>
          <t>foreign investment, diplomatic relations</t>
        </is>
      </c>
      <c r="M327" s="31" t="inlineStr">
        <is>
          <t>not mentioned</t>
        </is>
      </c>
      <c r="N327" s="31" t="inlineStr">
        <is>
          <t>positive</t>
        </is>
      </c>
      <c r="O327" s="32" t="inlineStr">
        <is>
          <t>ampliación de la Ley de Minas</t>
        </is>
      </c>
      <c r="P327" s="32" t="inlineStr">
        <is>
          <t>expansion of the Mining Law</t>
        </is>
      </c>
      <c r="Q327" s="31" t="inlineStr">
        <is>
          <t>es</t>
        </is>
      </c>
      <c r="R327" s="33" t="inlineStr">
        <is>
          <t>La Estrella de Panamá</t>
        </is>
      </c>
      <c r="S327" s="32" t="inlineStr">
        <is>
          <t>news media</t>
        </is>
      </c>
      <c r="T327" s="32" t="inlineStr">
        <is>
          <t>secondary reported</t>
        </is>
      </c>
      <c r="U327" s="32" t="inlineStr">
        <is>
          <t>Coded by an AI session (2026-10-09) under the README vocabularies, from web-search results that cite the page; the page itself was not opened. Also reported by Reuters (mining.com) and RT. The call for the deputies' collaboration was reported in Spanish press on 4 and 5 March 2026.</t>
        </is>
      </c>
    </row>
    <row r="328" ht="45.75" customHeight="1" s="24">
      <c r="A328" s="31" t="inlineStr">
        <is>
          <t>PS-0407</t>
        </is>
      </c>
      <c r="B328" s="31" t="inlineStr">
        <is>
          <t>2026-03-04</t>
        </is>
      </c>
      <c r="C328" s="31" t="inlineStr">
        <is>
          <t>Venezuela</t>
        </is>
      </c>
      <c r="D328" s="31" t="inlineStr">
        <is>
          <t>Yes</t>
        </is>
      </c>
      <c r="E328" s="32" t="inlineStr">
        <is>
          <t>Doug Burgum</t>
        </is>
      </c>
      <c r="F328" s="32" t="inlineStr">
        <is>
          <t>US Secretary of the Interior</t>
        </is>
      </c>
      <c r="G328" s="32" t="inlineStr">
        <is>
          <t>United States</t>
        </is>
      </c>
      <c r="H328" s="32" t="inlineStr">
        <is>
          <t>official statement</t>
        </is>
      </c>
      <c r="I328" s="32" t="inlineStr">
        <is>
          <t>Visit to Caracas with more than two dozen US mining and minerals companies</t>
        </is>
      </c>
      <c r="J328" s="32" t="inlineStr">
        <is>
          <t>Burgum praised Rodríguez's efforts to cut red tape and let capital flow, and said US companies that had operated in Venezuela before could return to its mining sector.</t>
        </is>
      </c>
      <c r="K328" s="32" t="inlineStr">
        <is>
          <t>critical minerals general</t>
        </is>
      </c>
      <c r="L328" s="32" t="inlineStr">
        <is>
          <t>foreign investment, geopolitics security</t>
        </is>
      </c>
      <c r="M328" s="31" t="inlineStr">
        <is>
          <t>not mentioned</t>
        </is>
      </c>
      <c r="N328" s="31" t="inlineStr">
        <is>
          <t>positive</t>
        </is>
      </c>
      <c r="O328" s="32" t="inlineStr">
        <is>
          <t>to cut the red tape and allow capital investment to flow</t>
        </is>
      </c>
      <c r="P328" s="32" t="inlineStr">
        <is>
          <t>to cut the red tape and allow capital investment to flow</t>
        </is>
      </c>
      <c r="Q328" s="31" t="inlineStr">
        <is>
          <t>en</t>
        </is>
      </c>
      <c r="R328" s="33" t="inlineStr">
        <is>
          <t>Mining.com (Reuters)</t>
        </is>
      </c>
      <c r="S328" s="32" t="inlineStr">
        <is>
          <t>news media</t>
        </is>
      </c>
      <c r="T328" s="32" t="inlineStr">
        <is>
          <t>secondary reported</t>
        </is>
      </c>
      <c r="U328" s="32" t="inlineStr">
        <is>
          <t xml:space="preserve">Coded by an AI session (2026-10-09) under the README vocabularies, from web-search results that cite the page; the page itself was not opened. </t>
        </is>
      </c>
    </row>
    <row r="329" ht="45.75" customHeight="1" s="24">
      <c r="A329" s="31" t="inlineStr">
        <is>
          <t>PS-0312</t>
        </is>
      </c>
      <c r="B329" s="31" t="inlineStr">
        <is>
          <t>2026-03-05</t>
        </is>
      </c>
      <c r="C329" s="31" t="inlineStr">
        <is>
          <t>Argentina</t>
        </is>
      </c>
      <c r="D329" s="31" t="inlineStr">
        <is>
          <t>Yes</t>
        </is>
      </c>
      <c r="E329" s="32" t="inlineStr">
        <is>
          <t>Javier Milei</t>
        </is>
      </c>
      <c r="F329" s="32" t="inlineStr">
        <is>
          <t>President of Argentina</t>
        </is>
      </c>
      <c r="G329" s="32" t="inlineStr">
        <is>
          <t>LatAm executive</t>
        </is>
      </c>
      <c r="H329" s="32" t="inlineStr">
        <is>
          <t>speech</t>
        </is>
      </c>
      <c r="I329" s="32" t="inlineStr">
        <is>
          <t>Opening of 144th ordinary sessions of Congress</t>
        </is>
      </c>
      <c r="J329" s="32" t="inlineStr">
        <is>
          <t>Milei told Congress that mining would take off along the whole Andes, that doing things as Chile does could generate a million jobs, and called the RIGI the most effective development policy of the century.</t>
        </is>
      </c>
      <c r="K329" s="32" t="inlineStr">
        <is>
          <t>mining general, copper, lithium</t>
        </is>
      </c>
      <c r="L329" s="32" t="inlineStr">
        <is>
          <t>foreign investment, labor social conflict</t>
        </is>
      </c>
      <c r="M329" s="31" t="inlineStr">
        <is>
          <t>not mentioned</t>
        </is>
      </c>
      <c r="N329" s="31" t="inlineStr">
        <is>
          <t>not mentioned</t>
        </is>
      </c>
      <c r="O329" s="32" t="inlineStr">
        <is>
          <t>la política de desarrollo más eficaz del siglo</t>
        </is>
      </c>
      <c r="P329" s="32" t="inlineStr">
        <is>
          <t>the most effective development policy of the century</t>
        </is>
      </c>
      <c r="Q329" s="31" t="inlineStr">
        <is>
          <t>es</t>
        </is>
      </c>
      <c r="R329" s="33" t="inlineStr">
        <is>
          <t>Reporte Minero</t>
        </is>
      </c>
      <c r="S329" s="32" t="inlineStr">
        <is>
          <t>news media</t>
        </is>
      </c>
      <c r="T329" s="32" t="inlineStr">
        <is>
          <t>secondary reported</t>
        </is>
      </c>
      <c r="U329" s="32" t="inlineStr">
        <is>
          <t>Quote refers to RIGI.</t>
        </is>
      </c>
    </row>
    <row r="330" ht="45.75" customHeight="1" s="24">
      <c r="A330" s="31" t="inlineStr">
        <is>
          <t>PS-0408</t>
        </is>
      </c>
      <c r="B330" s="31" t="inlineStr">
        <is>
          <t>2026-03-05</t>
        </is>
      </c>
      <c r="C330" s="31" t="inlineStr">
        <is>
          <t>Venezuela</t>
        </is>
      </c>
      <c r="D330" s="31" t="inlineStr">
        <is>
          <t>Yes</t>
        </is>
      </c>
      <c r="E330" s="32" t="inlineStr">
        <is>
          <t>Jorge Rodríguez</t>
        </is>
      </c>
      <c r="F330" s="32" t="inlineStr">
        <is>
          <t>President of the National Assembly</t>
        </is>
      </c>
      <c r="G330" s="32" t="inlineStr">
        <is>
          <t>LatAm legislature</t>
        </is>
      </c>
      <c r="H330" s="32" t="inlineStr">
        <is>
          <t>press conference</t>
        </is>
      </c>
      <c r="I330" s="32" t="inlineStr">
        <is>
          <t>Day after the acting president's announcement of a mining-law reform</t>
        </is>
      </c>
      <c r="J330" s="32" t="inlineStr">
        <is>
          <t>Rodríguez said the Assembly was reviewing the Mining Law hard and was close to an agreement, that the reform was urgent and would come as soon as possible, though not in that day's session.</t>
        </is>
      </c>
      <c r="K330" s="32" t="inlineStr">
        <is>
          <t>mining general</t>
        </is>
      </c>
      <c r="L330" s="32" t="inlineStr">
        <is>
          <t>foreign investment</t>
        </is>
      </c>
      <c r="M330" s="31" t="inlineStr">
        <is>
          <t>not mentioned</t>
        </is>
      </c>
      <c r="N330" s="31" t="inlineStr">
        <is>
          <t>not mentioned</t>
        </is>
      </c>
      <c r="O330" s="32" t="inlineStr">
        <is>
          <t>Estamos revisando arduamente la Ley de Minas, estamos ya llegando a un acuerdo</t>
        </is>
      </c>
      <c r="P330" s="32" t="inlineStr">
        <is>
          <t>We are reviewing the Mining Law hard, we are already reaching an agreement</t>
        </is>
      </c>
      <c r="Q330" s="31" t="inlineStr">
        <is>
          <t>es</t>
        </is>
      </c>
      <c r="R330" s="33" t="inlineStr">
        <is>
          <t>LaPatilla</t>
        </is>
      </c>
      <c r="S330" s="32" t="inlineStr">
        <is>
          <t>news media</t>
        </is>
      </c>
      <c r="T330" s="32" t="inlineStr">
        <is>
          <t>secondary reported</t>
        </is>
      </c>
      <c r="U330" s="32" t="inlineStr">
        <is>
          <t xml:space="preserve">Coded by an AI session (2026-10-09) under the README vocabularies, from web-search results that cite the page; the page itself was not opened. </t>
        </is>
      </c>
    </row>
    <row r="331" ht="45.75" customHeight="1" s="24">
      <c r="A331" s="31" t="inlineStr">
        <is>
          <t>PS-0409</t>
        </is>
      </c>
      <c r="B331" s="31" t="inlineStr">
        <is>
          <t>2026-03-09</t>
        </is>
      </c>
      <c r="C331" s="31" t="inlineStr">
        <is>
          <t>Venezuela</t>
        </is>
      </c>
      <c r="D331" s="31" t="inlineStr">
        <is>
          <t>Yes</t>
        </is>
      </c>
      <c r="E331" s="32" t="inlineStr">
        <is>
          <t>Orlando Camacho</t>
        </is>
      </c>
      <c r="F331" s="32" t="inlineStr">
        <is>
          <t>Deputy, National Assembly (presented the bill)</t>
        </is>
      </c>
      <c r="G331" s="32" t="inlineStr">
        <is>
          <t>LatAm legislature</t>
        </is>
      </c>
      <c r="H331" s="32" t="inlineStr">
        <is>
          <t>legislative debate</t>
        </is>
      </c>
      <c r="I331" s="32" t="inlineStr">
        <is>
          <t>First discussion of the Ley Orgánica de Minas (19 chapters, 126 articles), approved by qualified majority</t>
        </is>
      </c>
      <c r="J331" s="32" t="inlineStr">
        <is>
          <t>Presenting the bill, Camacho said it sought to increase legal guarantees to build confidence and attract investment, created a superintendency to oversee the sector, and declared strategic minerals, state reserves and security zones; opposition deputies abstained.</t>
        </is>
      </c>
      <c r="K331" s="32" t="inlineStr">
        <is>
          <t>mining general, rare earths</t>
        </is>
      </c>
      <c r="L331" s="32" t="inlineStr">
        <is>
          <t>foreign investment, state control nationalization</t>
        </is>
      </c>
      <c r="M331" s="31" t="inlineStr">
        <is>
          <t>not mentioned</t>
        </is>
      </c>
      <c r="N331" s="31" t="inlineStr">
        <is>
          <t>not mentioned</t>
        </is>
      </c>
      <c r="O331" s="32" t="inlineStr">
        <is>
          <t>Se busca que con esta ley se pueda ayudar a aumentar todas las garantías jurídicas que permitan generar confianza para atraer inversión</t>
        </is>
      </c>
      <c r="P331" s="32" t="inlineStr">
        <is>
          <t>The aim is for this law to help increase all the legal guarantees that build confidence to attract investment</t>
        </is>
      </c>
      <c r="Q331" s="31" t="inlineStr">
        <is>
          <t>es</t>
        </is>
      </c>
      <c r="R331" s="33" t="inlineStr">
        <is>
          <t>LaPatilla</t>
        </is>
      </c>
      <c r="S331" s="32" t="inlineStr">
        <is>
          <t>news media</t>
        </is>
      </c>
      <c r="T331" s="32" t="inlineStr">
        <is>
          <t>secondary reported</t>
        </is>
      </c>
      <c r="U331" s="32" t="inlineStr">
        <is>
          <t>Coded by an AI session (2026-10-09) under the README vocabularies, from web-search results that cite the page; the page itself was not opened. Also reported by Prensa Latina and Telesur; Reuters noted the draft lets foreign and domestic companies exploit gold, diamonds and rare earths.</t>
        </is>
      </c>
    </row>
    <row r="332" ht="45.75" customHeight="1" s="24">
      <c r="A332" s="31" t="inlineStr">
        <is>
          <t>PS-0313</t>
        </is>
      </c>
      <c r="B332" s="31" t="inlineStr">
        <is>
          <t>2026-03-12</t>
        </is>
      </c>
      <c r="C332" s="31" t="inlineStr">
        <is>
          <t>Chile</t>
        </is>
      </c>
      <c r="D332" s="31" t="inlineStr">
        <is>
          <t>Yes</t>
        </is>
      </c>
      <c r="E332" s="32" t="inlineStr">
        <is>
          <t>Christopher Landau</t>
        </is>
      </c>
      <c r="F332" s="32" t="inlineStr">
        <is>
          <t>U.S. Deputy Secretary of State</t>
        </is>
      </c>
      <c r="G332" s="32" t="inlineStr">
        <is>
          <t>United States</t>
        </is>
      </c>
      <c r="H332" s="32" t="inlineStr">
        <is>
          <t>joint declaration or mou</t>
        </is>
      </c>
      <c r="I332" s="32" t="inlineStr">
        <is>
          <t>Landau visit to Santiago; US-Chile joint statement on critical minerals, overseen by President José Antonio Kast</t>
        </is>
      </c>
      <c r="J332" s="32" t="inlineStr">
        <is>
          <t>Landau and FM Francisco Pérez Mackenna signed a joint statement launching talks on rare earths and critical minerals, covering public and private financing for mining projects, scrap recycling and exploration, within US efforts to reduce reliance on China.</t>
        </is>
      </c>
      <c r="K332" s="32" t="inlineStr">
        <is>
          <t>rare earths, critical minerals general, lithium</t>
        </is>
      </c>
      <c r="L332" s="32" t="inlineStr">
        <is>
          <t>financing credit, trade deals offtake, geopolitics security, diplomatic relations</t>
        </is>
      </c>
      <c r="M332" s="31" t="inlineStr">
        <is>
          <t>negative</t>
        </is>
      </c>
      <c r="N332" s="31" t="inlineStr">
        <is>
          <t>positive</t>
        </is>
      </c>
      <c r="O332" s="32" t="inlineStr">
        <is>
          <t>I believe there is much we can do with the United States and Chile to strengthen the supply chains of these minerals.</t>
        </is>
      </c>
      <c r="P332" s="32" t="inlineStr">
        <is>
          <t>I believe there is much we can do with the United States and Chile to strengthen the supply chains of these minerals.</t>
        </is>
      </c>
      <c r="Q332" s="31" t="inlineStr">
        <is>
          <t>en</t>
        </is>
      </c>
      <c r="R332" s="33" t="inlineStr">
        <is>
          <t>Mining Weekly / Creamer Media</t>
        </is>
      </c>
      <c r="S332" s="32" t="inlineStr">
        <is>
          <t>news media</t>
        </is>
      </c>
      <c r="T332" s="32" t="inlineStr">
        <is>
          <t>secondary reported</t>
        </is>
      </c>
      <c r="U332" s="32" t="inlineStr">
        <is>
          <t>Date = Thursday before 13 Mar 2026 article; quote possibly translated from Spanish remarks; stance_china inferred from article framing</t>
        </is>
      </c>
    </row>
    <row r="333" ht="45.75" customHeight="1" s="24">
      <c r="A333" s="31" t="inlineStr">
        <is>
          <t>PS-0314</t>
        </is>
      </c>
      <c r="B333" s="31" t="inlineStr">
        <is>
          <t>2026-03-12</t>
        </is>
      </c>
      <c r="C333" s="31" t="inlineStr">
        <is>
          <t>Chile</t>
        </is>
      </c>
      <c r="D333" s="31" t="inlineStr">
        <is>
          <t>Yes</t>
        </is>
      </c>
      <c r="E333" s="32" t="inlineStr">
        <is>
          <t>Francisco Pérez Mackenna</t>
        </is>
      </c>
      <c r="F333" s="32" t="inlineStr">
        <is>
          <t>Minister of Foreign Affairs</t>
        </is>
      </c>
      <c r="G333" s="32" t="inlineStr">
        <is>
          <t>LatAm executive</t>
        </is>
      </c>
      <c r="H333" s="32" t="inlineStr">
        <is>
          <t>joint declaration or mou</t>
        </is>
      </c>
      <c r="I333" s="32" t="inlineStr">
        <is>
          <t>Chile-US joint declaration on critical minerals and rare earths, signed with Deputy Secretary Christopher Landau</t>
        </is>
      </c>
      <c r="J333" s="32" t="inlineStr">
        <is>
          <t>On Kast's second day in office, Chile and the US signed a declaration on 14 critical minerals to strengthen supply chains, identify joint projects, manage scrap and explore financing mechanisms.</t>
        </is>
      </c>
      <c r="K333" s="32" t="inlineStr">
        <is>
          <t>copper, lithium, molybdenum, cobalt, rare earths, critical minerals general</t>
        </is>
      </c>
      <c r="L333" s="32" t="inlineStr">
        <is>
          <t>geopolitics security, financing credit, trade deals offtake</t>
        </is>
      </c>
      <c r="M333" s="31" t="inlineStr">
        <is>
          <t>not mentioned</t>
        </is>
      </c>
      <c r="N333" s="31" t="inlineStr">
        <is>
          <t>positive</t>
        </is>
      </c>
      <c r="O333" s="32" t="inlineStr">
        <is>
          <t>abordar el desarrollo de mecanismos que fortalezcan las cadenas de suministro de minerales críticos</t>
        </is>
      </c>
      <c r="P333" s="32" t="inlineStr">
        <is>
          <t>address the development of mechanisms that strengthen critical-mineral supply chains</t>
        </is>
      </c>
      <c r="Q333" s="31" t="inlineStr">
        <is>
          <t>es</t>
        </is>
      </c>
      <c r="R333" s="33" t="inlineStr">
        <is>
          <t>El Desconcierto</t>
        </is>
      </c>
      <c r="S333" s="32" t="inlineStr">
        <is>
          <t>news media</t>
        </is>
      </c>
      <c r="T333" s="32" t="inlineStr">
        <is>
          <t>secondary reported</t>
        </is>
      </c>
      <c r="U333" s="32" t="inlineStr">
        <is>
          <t>Quote is from Foreign Ministry statement; Kast present at signing</t>
        </is>
      </c>
    </row>
    <row r="334" ht="45.75" customHeight="1" s="24">
      <c r="A334" s="31" t="inlineStr">
        <is>
          <t>PS-0315</t>
        </is>
      </c>
      <c r="B334" s="31" t="inlineStr">
        <is>
          <t>2026-03-16</t>
        </is>
      </c>
      <c r="C334" s="31" t="inlineStr">
        <is>
          <t>Ecuador</t>
        </is>
      </c>
      <c r="D334" s="31" t="inlineStr">
        <is>
          <t>Yes</t>
        </is>
      </c>
      <c r="E334" s="32" t="inlineStr">
        <is>
          <t>Gabriela Jauregui</t>
        </is>
      </c>
      <c r="F334" s="32" t="inlineStr">
        <is>
          <t>Mining Business Manager, ENAMI</t>
        </is>
      </c>
      <c r="G334" s="32" t="inlineStr">
        <is>
          <t>LatAm state company</t>
        </is>
      </c>
      <c r="H334" s="32" t="inlineStr">
        <is>
          <t>interview</t>
        </is>
      </c>
      <c r="I334" s="32" t="inlineStr">
        <is>
          <t>Plans to re-tender Llurimagua copper project after Codelco exit</t>
        </is>
      </c>
      <c r="J334" s="32" t="inlineStr">
        <is>
          <t>ENAMI said an international firm or bank would design the tender for the Llurimagua copper project after Codelco's exit, aiming to attract top-tier companies; BHP, Chinalco, Teck and South32 were reported interested.</t>
        </is>
      </c>
      <c r="K334" s="32" t="inlineStr">
        <is>
          <t>copper</t>
        </is>
      </c>
      <c r="L334" s="32" t="inlineStr">
        <is>
          <t>foreign investment, state control nationalization</t>
        </is>
      </c>
      <c r="M334" s="31" t="inlineStr">
        <is>
          <t>neutral</t>
        </is>
      </c>
      <c r="N334" s="31" t="inlineStr">
        <is>
          <t>not mentioned</t>
        </is>
      </c>
      <c r="O334" s="32" t="inlineStr">
        <is>
          <t>Cuando lo saquemos a licitación, queremos que compitan empresas de primer nivel</t>
        </is>
      </c>
      <c r="P334" s="32" t="inlineStr">
        <is>
          <t>When we put it out to tender, we want top-tier companies to compete</t>
        </is>
      </c>
      <c r="Q334" s="31" t="inlineStr">
        <is>
          <t>es</t>
        </is>
      </c>
      <c r="R334" s="33" t="inlineStr">
        <is>
          <t>Primicias</t>
        </is>
      </c>
      <c r="S334" s="32" t="inlineStr">
        <is>
          <t>news media</t>
        </is>
      </c>
      <c r="T334" s="32" t="inlineStr">
        <is>
          <t>secondary reported</t>
        </is>
      </c>
      <c r="U334" s="32" t="inlineStr"/>
    </row>
    <row r="335" ht="45.75" customHeight="1" s="24">
      <c r="A335" s="31" t="inlineStr">
        <is>
          <t>PS-0316</t>
        </is>
      </c>
      <c r="B335" s="31" t="inlineStr">
        <is>
          <t>2026-03-18</t>
        </is>
      </c>
      <c r="C335" s="31" t="inlineStr">
        <is>
          <t>Brazil</t>
        </is>
      </c>
      <c r="D335" s="31" t="inlineStr">
        <is>
          <t>Yes</t>
        </is>
      </c>
      <c r="E335" s="32" t="inlineStr">
        <is>
          <t>Ronaldo Caiado</t>
        </is>
      </c>
      <c r="F335" s="32" t="inlineStr">
        <is>
          <t>Governor of Goiás</t>
        </is>
      </c>
      <c r="G335" s="32" t="inlineStr">
        <is>
          <t>LatAm executive</t>
        </is>
      </c>
      <c r="H335" s="32" t="inlineStr">
        <is>
          <t>speech</t>
        </is>
      </c>
      <c r="I335" s="32" t="inlineStr">
        <is>
          <t>Signing of Goiás-US memorandum on critical minerals and rare earths, US Consulate General São Paulo</t>
        </is>
      </c>
      <c r="J335" s="32" t="inlineStr">
        <is>
          <t>Caiado signed a memorandum of understanding with the US government on research, training, regulation and value-added processing of critical minerals in Goiás, calling it the most important agreement in the state's history and saying Goiás would be a partner rather than just a raw-material supplier.</t>
        </is>
      </c>
      <c r="K335" s="32" t="inlineStr">
        <is>
          <t>rare earths, critical minerals general</t>
        </is>
      </c>
      <c r="L335" s="32" t="inlineStr">
        <is>
          <t>value added industrialization, foreign investment, diplomatic relations</t>
        </is>
      </c>
      <c r="M335" s="31" t="inlineStr">
        <is>
          <t>not mentioned</t>
        </is>
      </c>
      <c r="N335" s="31" t="inlineStr">
        <is>
          <t>positive</t>
        </is>
      </c>
      <c r="O335" s="32" t="inlineStr">
        <is>
          <t>Goiás deixa de ser apenas um Estado que fornece matéria-prima</t>
        </is>
      </c>
      <c r="P335" s="32" t="inlineStr">
        <is>
          <t>Goiás stops being merely a state that supplies raw material</t>
        </is>
      </c>
      <c r="Q335" s="31" t="inlineStr">
        <is>
          <t>pt</t>
        </is>
      </c>
      <c r="R335" s="33" t="inlineStr">
        <is>
          <t>Poder360</t>
        </is>
      </c>
      <c r="S335" s="32" t="inlineStr">
        <is>
          <t>news media</t>
        </is>
      </c>
      <c r="T335" s="32" t="inlineStr">
        <is>
          <t>secondary reported</t>
        </is>
      </c>
      <c r="U335" s="32" t="inlineStr">
        <is>
          <t>Source describes Caiado as PSD presidential pre-candidate</t>
        </is>
      </c>
    </row>
    <row r="336" ht="45.75" customHeight="1" s="24">
      <c r="A336" s="31" t="inlineStr">
        <is>
          <t>PS-0317</t>
        </is>
      </c>
      <c r="B336" s="31" t="inlineStr">
        <is>
          <t>2026-03-18</t>
        </is>
      </c>
      <c r="C336" s="31" t="inlineStr">
        <is>
          <t>Brazil</t>
        </is>
      </c>
      <c r="D336" s="31" t="inlineStr">
        <is>
          <t>Yes</t>
        </is>
      </c>
      <c r="E336" s="32" t="inlineStr">
        <is>
          <t>U.S. Embassy in Brazil (spokesperson)</t>
        </is>
      </c>
      <c r="F336" s="32" t="inlineStr">
        <is>
          <t>Spokesperson, U.S. Embassy Brasília</t>
        </is>
      </c>
      <c r="G336" s="32" t="inlineStr">
        <is>
          <t>United States</t>
        </is>
      </c>
      <c r="H336" s="32" t="inlineStr">
        <is>
          <t>official statement</t>
        </is>
      </c>
      <c r="I336" s="32" t="inlineStr">
        <is>
          <t>Negotiation of a US-Brazil critical minerals framework</t>
        </is>
      </c>
      <c r="J336" s="32" t="inlineStr">
        <is>
          <t>The embassy said the US awaits a clear political signal from Brazil to move forward with a bilateral critical minerals agreement, noting DFC and EXIM are offering over $600 million for ongoing projects in Brazil with potential for billions more.</t>
        </is>
      </c>
      <c r="K336" s="32" t="inlineStr">
        <is>
          <t>critical minerals general, rare earths</t>
        </is>
      </c>
      <c r="L336" s="32" t="inlineStr">
        <is>
          <t>financing credit, trade deals offtake, processing refining, diplomatic relations</t>
        </is>
      </c>
      <c r="M336" s="31" t="inlineStr">
        <is>
          <t>not mentioned</t>
        </is>
      </c>
      <c r="N336" s="31" t="inlineStr">
        <is>
          <t>positive</t>
        </is>
      </c>
      <c r="O336" s="32" t="inlineStr">
        <is>
          <t>The U.S. International Development Finance Corporation (DFC) and the Export-Import Bank of the United States are offering more than $600 million in financing</t>
        </is>
      </c>
      <c r="P336" s="32" t="inlineStr">
        <is>
          <t>The U.S. International Development Finance Corporation (DFC) and the Export-Import Bank of the United States are offering more than $600 million in financing</t>
        </is>
      </c>
      <c r="Q336" s="31" t="inlineStr">
        <is>
          <t>en</t>
        </is>
      </c>
      <c r="R336" s="33" t="inlineStr">
        <is>
          <t>Datamar News</t>
        </is>
      </c>
      <c r="S336" s="32" t="inlineStr">
        <is>
          <t>news media</t>
        </is>
      </c>
      <c r="T336" s="32" t="inlineStr">
        <is>
          <t>secondary reported</t>
        </is>
      </c>
      <c r="U336" s="32" t="inlineStr">
        <is>
          <t>Statement possibly issued in Portuguese; English wording as reported</t>
        </is>
      </c>
    </row>
    <row r="337" ht="45.75" customHeight="1" s="24">
      <c r="A337" s="31" t="inlineStr">
        <is>
          <t>PS-0318</t>
        </is>
      </c>
      <c r="B337" s="31" t="inlineStr">
        <is>
          <t>2026-03-21</t>
        </is>
      </c>
      <c r="C337" s="31" t="inlineStr">
        <is>
          <t>Brazil</t>
        </is>
      </c>
      <c r="D337" s="31" t="inlineStr">
        <is>
          <t>Yes</t>
        </is>
      </c>
      <c r="E337" s="32" t="inlineStr">
        <is>
          <t>Gabriel Escobar</t>
        </is>
      </c>
      <c r="F337" s="32" t="inlineStr">
        <is>
          <t>Chargé d'affaires, U.S. Embassy in Brasília</t>
        </is>
      </c>
      <c r="G337" s="32" t="inlineStr">
        <is>
          <t>United States</t>
        </is>
      </c>
      <c r="H337" s="32" t="inlineStr">
        <is>
          <t>interview</t>
        </is>
      </c>
      <c r="I337" s="32" t="inlineStr">
        <is>
          <t>Debate on legality of Goiás-US rare earths memorandum</t>
        </is>
      </c>
      <c r="J337" s="32" t="inlineStr">
        <is>
          <t>Amid federal objections to Goiás's state-level memorandum with the US, Escobar indicated that the US had already presented the Lula government with a proposal for federal-level cooperation on critical minerals.</t>
        </is>
      </c>
      <c r="K337" s="32" t="inlineStr">
        <is>
          <t>rare earths, critical minerals general</t>
        </is>
      </c>
      <c r="L337" s="32" t="inlineStr">
        <is>
          <t>diplomatic relations, foreign investment</t>
        </is>
      </c>
      <c r="M337" s="31" t="inlineStr">
        <is>
          <t>not mentioned</t>
        </is>
      </c>
      <c r="N337" s="31" t="inlineStr">
        <is>
          <t>positive</t>
        </is>
      </c>
      <c r="O337" s="32" t="inlineStr"/>
      <c r="P337" s="32" t="inlineStr"/>
      <c r="Q337" s="31" t="inlineStr">
        <is>
          <t>pt</t>
        </is>
      </c>
      <c r="R337" s="33" t="inlineStr">
        <is>
          <t>Metrópoles</t>
        </is>
      </c>
      <c r="S337" s="32" t="inlineStr">
        <is>
          <t>news media</t>
        </is>
      </c>
      <c r="T337" s="32" t="inlineStr">
        <is>
          <t>secondary reported</t>
        </is>
      </c>
      <c r="U337" s="32" t="inlineStr">
        <is>
          <t>Date = column publication; exact channel of Escobar remark unclear</t>
        </is>
      </c>
    </row>
    <row r="338" ht="45.75" customHeight="1" s="24">
      <c r="A338" s="31" t="inlineStr">
        <is>
          <t>PS-0319</t>
        </is>
      </c>
      <c r="B338" s="31" t="inlineStr">
        <is>
          <t>2026-03-21</t>
        </is>
      </c>
      <c r="C338" s="31" t="inlineStr">
        <is>
          <t>Brazil</t>
        </is>
      </c>
      <c r="D338" s="31" t="inlineStr">
        <is>
          <t>Yes</t>
        </is>
      </c>
      <c r="E338" s="32" t="inlineStr">
        <is>
          <t>Government of Goiás</t>
        </is>
      </c>
      <c r="F338" s="32" t="inlineStr">
        <is>
          <t>State government of Goiás</t>
        </is>
      </c>
      <c r="G338" s="32" t="inlineStr">
        <is>
          <t>LatAm executive</t>
        </is>
      </c>
      <c r="H338" s="32" t="inlineStr">
        <is>
          <t>official statement</t>
        </is>
      </c>
      <c r="I338" s="32" t="inlineStr">
        <is>
          <t>Response to criticism that Goiás-US MoU encroaches on federal powers</t>
        </is>
      </c>
      <c r="J338" s="32" t="inlineStr">
        <is>
          <t>The Goiás government stated that its memorandum with the US expressly reserves approvals, licences and exploration permits to federal law and respects federal competences over mining rights, after diplomats called the accord legally void.</t>
        </is>
      </c>
      <c r="K338" s="32" t="inlineStr">
        <is>
          <t>rare earths, critical minerals general</t>
        </is>
      </c>
      <c r="L338" s="32" t="inlineStr">
        <is>
          <t>sovereignty, corruption governance, diplomatic relations</t>
        </is>
      </c>
      <c r="M338" s="31" t="inlineStr">
        <is>
          <t>not mentioned</t>
        </is>
      </c>
      <c r="N338" s="31" t="inlineStr">
        <is>
          <t>positive</t>
        </is>
      </c>
      <c r="O338" s="32" t="inlineStr"/>
      <c r="P338" s="32" t="inlineStr"/>
      <c r="Q338" s="31" t="inlineStr">
        <is>
          <t>pt</t>
        </is>
      </c>
      <c r="R338" s="33" t="inlineStr">
        <is>
          <t>Metrópoles</t>
        </is>
      </c>
      <c r="S338" s="32" t="inlineStr">
        <is>
          <t>news media</t>
        </is>
      </c>
      <c r="T338" s="32" t="inlineStr">
        <is>
          <t>secondary reported</t>
        </is>
      </c>
      <c r="U338" s="32" t="inlineStr">
        <is>
          <t>Unnamed federal insiders called the initiative 'gravíssima'</t>
        </is>
      </c>
    </row>
    <row r="339" ht="45.75" customHeight="1" s="24">
      <c r="A339" s="31" t="inlineStr">
        <is>
          <t>PS-0320</t>
        </is>
      </c>
      <c r="B339" s="31" t="inlineStr">
        <is>
          <t>2026-03-28</t>
        </is>
      </c>
      <c r="C339" s="31" t="inlineStr">
        <is>
          <t>Brazil</t>
        </is>
      </c>
      <c r="D339" s="31" t="inlineStr">
        <is>
          <t>Yes</t>
        </is>
      </c>
      <c r="E339" s="32" t="inlineStr">
        <is>
          <t>Flávio Bolsonaro</t>
        </is>
      </c>
      <c r="F339" s="32" t="inlineStr">
        <is>
          <t>Senator (PL-RJ); presidential pre-candidate</t>
        </is>
      </c>
      <c r="G339" s="32" t="inlineStr">
        <is>
          <t>LatAm party/candidate</t>
        </is>
      </c>
      <c r="H339" s="32" t="inlineStr">
        <is>
          <t>speech</t>
        </is>
      </c>
      <c r="I339" s="32" t="inlineStr">
        <is>
          <t>Conservative event (CPAC) in Texas, United States</t>
        </is>
      </c>
      <c r="J339" s="32" t="inlineStr">
        <is>
          <t>Speaking at a conservative event in Texas, Flávio Bolsonaro presented Brazil as the battleground for the hemisphere's future and as the US solution to break China's hold over critical minerals, especially rare earths.</t>
        </is>
      </c>
      <c r="K339" s="32" t="inlineStr">
        <is>
          <t>rare earths, critical minerals general</t>
        </is>
      </c>
      <c r="L339" s="32" t="inlineStr">
        <is>
          <t>geopolitics security, diplomatic relations</t>
        </is>
      </c>
      <c r="M339" s="31" t="inlineStr">
        <is>
          <t>negative</t>
        </is>
      </c>
      <c r="N339" s="31" t="inlineStr">
        <is>
          <t>positive</t>
        </is>
      </c>
      <c r="O339" s="32" t="inlineStr">
        <is>
          <t>o Brasil é a solução dos Estados Unidos para quebrar a independência da China em relação a minerais críticos, especialmente elementos de terras raras</t>
        </is>
      </c>
      <c r="P339" s="32" t="inlineStr">
        <is>
          <t>Brazil is the United States' solution to break China's independence regarding critical minerals, especially rare earth elements</t>
        </is>
      </c>
      <c r="Q339" s="31" t="inlineStr">
        <is>
          <t>pt</t>
        </is>
      </c>
      <c r="R339" s="33" t="inlineStr">
        <is>
          <t>NSC Total</t>
        </is>
      </c>
      <c r="S339" s="32" t="inlineStr">
        <is>
          <t>news media</t>
        </is>
      </c>
      <c r="T339" s="32" t="inlineStr">
        <is>
          <t>secondary reported</t>
        </is>
      </c>
      <c r="U339" s="32" t="inlineStr">
        <is>
          <t>Original speech likely in English; quote is the Portuguese rendering published by NSC Total</t>
        </is>
      </c>
    </row>
    <row r="340" ht="45.75" customHeight="1" s="24">
      <c r="A340" s="31" t="inlineStr">
        <is>
          <t>PS-0321</t>
        </is>
      </c>
      <c r="B340" s="31" t="inlineStr">
        <is>
          <t>2026-04</t>
        </is>
      </c>
      <c r="C340" s="31" t="inlineStr">
        <is>
          <t>Argentina</t>
        </is>
      </c>
      <c r="D340" s="31" t="inlineStr">
        <is>
          <t>Yes</t>
        </is>
      </c>
      <c r="E340" s="32" t="inlineStr">
        <is>
          <t>Peter Lamelas</t>
        </is>
      </c>
      <c r="F340" s="32" t="inlineStr">
        <is>
          <t>US Ambassador to Argentina</t>
        </is>
      </c>
      <c r="G340" s="32" t="inlineStr">
        <is>
          <t>United States</t>
        </is>
      </c>
      <c r="H340" s="32" t="inlineStr">
        <is>
          <t>social media post</t>
        </is>
      </c>
      <c r="I340" s="32" t="inlineStr">
        <is>
          <t>Tour of Salta and Jujuy meeting governors</t>
        </is>
      </c>
      <c r="J340" s="32" t="inlineStr">
        <is>
          <t>During a tour of Salta and Jujuy, Lamelas posted that mining companies agree fewer obstacles and more market are key to unlocking potential, promised many US investments in Jujuy, and warned about security risks of China's presence.</t>
        </is>
      </c>
      <c r="K340" s="32" t="inlineStr">
        <is>
          <t>mining general, lithium</t>
        </is>
      </c>
      <c r="L340" s="32" t="inlineStr">
        <is>
          <t>foreign investment, geopolitics security</t>
        </is>
      </c>
      <c r="M340" s="31" t="inlineStr">
        <is>
          <t>negative</t>
        </is>
      </c>
      <c r="N340" s="31" t="inlineStr">
        <is>
          <t>positive</t>
        </is>
      </c>
      <c r="O340" s="32" t="inlineStr">
        <is>
          <t>Las empresas mineras coinciden: menos trabas y más mercado son clave para liberar ese potencial</t>
        </is>
      </c>
      <c r="P340" s="32" t="inlineStr">
        <is>
          <t>Mining companies agree: fewer obstacles and more market are key to unlocking that potential</t>
        </is>
      </c>
      <c r="Q340" s="31" t="inlineStr">
        <is>
          <t>es</t>
        </is>
      </c>
      <c r="R340" s="33" t="inlineStr">
        <is>
          <t>El Litoral</t>
        </is>
      </c>
      <c r="S340" s="32" t="inlineStr">
        <is>
          <t>news media</t>
        </is>
      </c>
      <c r="T340" s="32" t="inlineStr">
        <is>
          <t>secondary reported</t>
        </is>
      </c>
      <c r="U340" s="32" t="inlineStr">
        <is>
          <t>Article dated ~20 Apr 2026; exact post date unknown.</t>
        </is>
      </c>
    </row>
    <row r="341" ht="45.75" customHeight="1" s="24">
      <c r="A341" s="31" t="inlineStr">
        <is>
          <t>PS-0322</t>
        </is>
      </c>
      <c r="B341" s="31" t="inlineStr">
        <is>
          <t>2026-04</t>
        </is>
      </c>
      <c r="C341" s="31" t="inlineStr">
        <is>
          <t>Brazil</t>
        </is>
      </c>
      <c r="D341" s="31" t="inlineStr">
        <is>
          <t>Yes</t>
        </is>
      </c>
      <c r="E341" s="32" t="inlineStr">
        <is>
          <t>Conor Coleman</t>
        </is>
      </c>
      <c r="F341" s="32" t="inlineStr">
        <is>
          <t>Chief Investment Officer, U.S. International Development Finance Corporation</t>
        </is>
      </c>
      <c r="G341" s="32" t="inlineStr">
        <is>
          <t>United States</t>
        </is>
      </c>
      <c r="H341" s="32" t="inlineStr">
        <is>
          <t>interview</t>
        </is>
      </c>
      <c r="I341" s="32" t="inlineStr">
        <is>
          <t>Remarks on DFC financing of Serra Verde</t>
        </is>
      </c>
      <c r="J341" s="32" t="inlineStr">
        <is>
          <t>DFC's investment chief confirmed the US$565m loan to Serra Verde carried offtake controls ensuring metals go to the US and US-aligned parties, linked to the financing.</t>
        </is>
      </c>
      <c r="K341" s="32" t="inlineStr">
        <is>
          <t>rare earths</t>
        </is>
      </c>
      <c r="L341" s="32" t="inlineStr">
        <is>
          <t>financing credit, trade deals offtake, geopolitics security</t>
        </is>
      </c>
      <c r="M341" s="31" t="inlineStr">
        <is>
          <t>not mentioned</t>
        </is>
      </c>
      <c r="N341" s="31" t="inlineStr">
        <is>
          <t>positive</t>
        </is>
      </c>
      <c r="O341" s="32" t="inlineStr"/>
      <c r="P341" s="32" t="inlineStr"/>
      <c r="Q341" s="31" t="inlineStr">
        <is>
          <t>pt</t>
        </is>
      </c>
      <c r="R341" s="33" t="inlineStr">
        <is>
          <t>Jornal Opção</t>
        </is>
      </c>
      <c r="S341" s="32" t="inlineStr">
        <is>
          <t>news media</t>
        </is>
      </c>
      <c r="T341" s="32" t="inlineStr">
        <is>
          <t>secondary reported</t>
        </is>
      </c>
      <c r="U341" s="32" t="inlineStr">
        <is>
          <t>Article 4 Apr 2026; original remark date/venue not given</t>
        </is>
      </c>
    </row>
    <row r="342" ht="45.75" customHeight="1" s="24">
      <c r="A342" s="31" t="inlineStr">
        <is>
          <t>PS-0323</t>
        </is>
      </c>
      <c r="B342" s="31" t="inlineStr">
        <is>
          <t>2026-04</t>
        </is>
      </c>
      <c r="C342" s="31" t="inlineStr">
        <is>
          <t>Brazil</t>
        </is>
      </c>
      <c r="D342" s="31" t="inlineStr">
        <is>
          <t>Yes</t>
        </is>
      </c>
      <c r="E342" s="32" t="inlineStr">
        <is>
          <t>Luiz Inácio Lula da Silva</t>
        </is>
      </c>
      <c r="F342" s="32" t="inlineStr">
        <is>
          <t>President of Brazil</t>
        </is>
      </c>
      <c r="G342" s="32" t="inlineStr">
        <is>
          <t>LatAm executive</t>
        </is>
      </c>
      <c r="H342" s="32" t="inlineStr">
        <is>
          <t>speech</t>
        </is>
      </c>
      <c r="I342" s="32" t="inlineStr">
        <is>
          <t>Debate over sale of Serra Verde to USA Rare Earth</t>
        </is>
      </c>
      <c r="J342" s="32" t="inlineStr">
        <is>
          <t>In the context of the Serra Verde sale controversy, Lula asserted that nobody would own Brazil's mineral wealth.</t>
        </is>
      </c>
      <c r="K342" s="32" t="inlineStr">
        <is>
          <t>rare earths, mining general</t>
        </is>
      </c>
      <c r="L342" s="32" t="inlineStr">
        <is>
          <t>sovereignty</t>
        </is>
      </c>
      <c r="M342" s="31" t="inlineStr">
        <is>
          <t>not mentioned</t>
        </is>
      </c>
      <c r="N342" s="31" t="inlineStr">
        <is>
          <t>not mentioned</t>
        </is>
      </c>
      <c r="O342" s="32" t="inlineStr">
        <is>
          <t>Ninguém, no nosso Brasil, será dono da nossa riqueza mineral</t>
        </is>
      </c>
      <c r="P342" s="32" t="inlineStr">
        <is>
          <t>Nobody, in our Brazil, will be the owner of our mineral wealth</t>
        </is>
      </c>
      <c r="Q342" s="31" t="inlineStr">
        <is>
          <t>pt</t>
        </is>
      </c>
      <c r="R342" s="33" t="inlineStr">
        <is>
          <t>InfoMoney</t>
        </is>
      </c>
      <c r="S342" s="32" t="inlineStr">
        <is>
          <t>news media</t>
        </is>
      </c>
      <c r="T342" s="32" t="inlineStr">
        <is>
          <t>secondary reported</t>
        </is>
      </c>
      <c r="U342" s="32" t="inlineStr">
        <is>
          <t>Exact date and venue not given in source; channel assumed</t>
        </is>
      </c>
    </row>
    <row r="343" ht="45.75" customHeight="1" s="24">
      <c r="A343" s="31" t="inlineStr">
        <is>
          <t>PS-0324</t>
        </is>
      </c>
      <c r="B343" s="31" t="inlineStr">
        <is>
          <t>2026-04</t>
        </is>
      </c>
      <c r="C343" s="31" t="inlineStr">
        <is>
          <t>Brazil</t>
        </is>
      </c>
      <c r="D343" s="31" t="inlineStr">
        <is>
          <t>Yes</t>
        </is>
      </c>
      <c r="E343" s="32" t="inlineStr">
        <is>
          <t>Serra Verde</t>
        </is>
      </c>
      <c r="F343" s="32" t="inlineStr">
        <is>
          <t>Rare earths miner, Minaçu (GO)</t>
        </is>
      </c>
      <c r="G343" s="32" t="inlineStr">
        <is>
          <t>Other (business, civil society, third countries)</t>
        </is>
      </c>
      <c r="H343" s="32" t="inlineStr">
        <is>
          <t>official statement</t>
        </is>
      </c>
      <c r="I343" s="32" t="inlineStr">
        <is>
          <t>Response to reports of US control via DFC financing</t>
        </is>
      </c>
      <c r="J343" s="32" t="inlineStr">
        <is>
          <t>Serra Verde stated it is and will remain an independent company not controlled by any government, and that the US would have no board seat despite the US$565m loan.</t>
        </is>
      </c>
      <c r="K343" s="32" t="inlineStr">
        <is>
          <t>rare earths</t>
        </is>
      </c>
      <c r="L343" s="32" t="inlineStr">
        <is>
          <t>financing credit, sovereignty</t>
        </is>
      </c>
      <c r="M343" s="31" t="inlineStr">
        <is>
          <t>not mentioned</t>
        </is>
      </c>
      <c r="N343" s="31" t="inlineStr">
        <is>
          <t>neutral</t>
        </is>
      </c>
      <c r="O343" s="32" t="inlineStr">
        <is>
          <t>A Serra Verde é, e continuará sendo, uma empresa independente</t>
        </is>
      </c>
      <c r="P343" s="32" t="inlineStr">
        <is>
          <t>Serra Verde is, and will remain, an independent company</t>
        </is>
      </c>
      <c r="Q343" s="31" t="inlineStr">
        <is>
          <t>pt</t>
        </is>
      </c>
      <c r="R343" s="33" t="inlineStr">
        <is>
          <t>Jornal Opção</t>
        </is>
      </c>
      <c r="S343" s="32" t="inlineStr">
        <is>
          <t>news media</t>
        </is>
      </c>
      <c r="T343" s="32" t="inlineStr">
        <is>
          <t>secondary reported</t>
        </is>
      </c>
      <c r="U343" s="32" t="inlineStr">
        <is>
          <t>Corporate actor; speaker_country BRA by incorporation, owners foreign</t>
        </is>
      </c>
    </row>
    <row r="344" ht="45.75" customHeight="1" s="24">
      <c r="A344" s="31" t="inlineStr">
        <is>
          <t>PS-0417</t>
        </is>
      </c>
      <c r="B344" s="31" t="inlineStr">
        <is>
          <t>2026-04-01</t>
        </is>
      </c>
      <c r="C344" s="31" t="inlineStr">
        <is>
          <t>Venezuela</t>
        </is>
      </c>
      <c r="D344" s="31" t="inlineStr">
        <is>
          <t>Yes</t>
        </is>
      </c>
      <c r="E344" s="32" t="inlineStr">
        <is>
          <t>Mao Ning</t>
        </is>
      </c>
      <c r="F344" s="32" t="inlineStr">
        <is>
          <t>Spokesperson, Ministry of Foreign Affairs of China</t>
        </is>
      </c>
      <c r="G344" s="32" t="inlineStr">
        <is>
          <t>China</t>
        </is>
      </c>
      <c r="H344" s="32" t="inlineStr">
        <is>
          <t>press conference</t>
        </is>
      </c>
      <c r="I344" s="32" t="inlineStr">
        <is>
          <t>US Treasury general licences allowing US companies to invest in Venezuela's mining sector (including gold) while Chinese companies stay excluded</t>
        </is>
      </c>
      <c r="J344" s="32" t="inlineStr">
        <is>
          <t>Mao said China firmly opposes the United States using so-called general licences to interfere in China-Venezuela cooperation, that the legitimate rights of Chinese companies must be protected, and that Washington should lift its unilateral sanctions on Venezuela instead.</t>
        </is>
      </c>
      <c r="K344" s="32" t="inlineStr">
        <is>
          <t>mining general</t>
        </is>
      </c>
      <c r="L344" s="32" t="inlineStr">
        <is>
          <t>geopolitics security, foreign investment</t>
        </is>
      </c>
      <c r="M344" s="31" t="inlineStr">
        <is>
          <t>positive</t>
        </is>
      </c>
      <c r="N344" s="31" t="inlineStr">
        <is>
          <t>negative</t>
        </is>
      </c>
      <c r="O344" s="32" t="inlineStr">
        <is>
          <t>se opone firmemente</t>
        </is>
      </c>
      <c r="P344" s="32" t="inlineStr">
        <is>
          <t>firmly opposes</t>
        </is>
      </c>
      <c r="Q344" s="31" t="inlineStr">
        <is>
          <t>es</t>
        </is>
      </c>
      <c r="R344" s="33" t="inlineStr">
        <is>
          <t>swissinfo (EFE)</t>
        </is>
      </c>
      <c r="S344" s="32" t="inlineStr">
        <is>
          <t>news media</t>
        </is>
      </c>
      <c r="T344" s="32" t="inlineStr">
        <is>
          <t>secondary reported</t>
        </is>
      </c>
      <c r="U344" s="32" t="inlineStr">
        <is>
          <t>Coded by an AI session (2026-10-09) under the README vocabularies, from web-search results that cite the page; the page itself was not opened. Spanish-language wire report of the Beijing press conference; the Chinese or English transcript was not seen.</t>
        </is>
      </c>
    </row>
    <row r="345" ht="45.75" customHeight="1" s="24">
      <c r="A345" s="31" t="inlineStr">
        <is>
          <t>PS-0325</t>
        </is>
      </c>
      <c r="B345" s="31" t="inlineStr">
        <is>
          <t>2026-04-06</t>
        </is>
      </c>
      <c r="C345" s="31" t="inlineStr">
        <is>
          <t>Peru</t>
        </is>
      </c>
      <c r="D345" s="31" t="inlineStr">
        <is>
          <t>Yes</t>
        </is>
      </c>
      <c r="E345" s="32" t="inlineStr">
        <is>
          <t>Keiko Fujimori</t>
        </is>
      </c>
      <c r="F345" s="32" t="inlineStr">
        <is>
          <t>Presidential candidate, Fuerza Popular</t>
        </is>
      </c>
      <c r="G345" s="32" t="inlineStr">
        <is>
          <t>LatAm party/candidate</t>
        </is>
      </c>
      <c r="H345" s="32" t="inlineStr">
        <is>
          <t>campaign statement</t>
        </is>
      </c>
      <c r="I345" s="32" t="inlineStr">
        <is>
          <t>Interview on Andina Canal Online, 2026 general election</t>
        </is>
      </c>
      <c r="J345" s="32" t="inlineStr">
        <is>
          <t>Fujimori said Peru is a mining country whose main income comes from the industry and must be promoted with full environmental respect and community harmony, prioritizing water for people and agriculture.</t>
        </is>
      </c>
      <c r="K345" s="32" t="inlineStr">
        <is>
          <t>mining general</t>
        </is>
      </c>
      <c r="L345" s="32" t="inlineStr">
        <is>
          <t>foreign investment, environment water, indigenous community rights</t>
        </is>
      </c>
      <c r="M345" s="31" t="inlineStr">
        <is>
          <t>not mentioned</t>
        </is>
      </c>
      <c r="N345" s="31" t="inlineStr">
        <is>
          <t>not mentioned</t>
        </is>
      </c>
      <c r="O345" s="32" t="inlineStr">
        <is>
          <t>Hay que entender que el Perú es un país minero, sin duda, la principal fuente de ingreso de nuestro país proviene de esta industria.</t>
        </is>
      </c>
      <c r="P345" s="32" t="inlineStr">
        <is>
          <t>It must be understood that Peru is a mining country; without doubt the main source of income of our country comes from this industry.</t>
        </is>
      </c>
      <c r="Q345" s="31" t="inlineStr">
        <is>
          <t>es</t>
        </is>
      </c>
      <c r="R345" s="33" t="inlineStr">
        <is>
          <t>El Peruano</t>
        </is>
      </c>
      <c r="S345" s="32" t="inlineStr">
        <is>
          <t>primary official</t>
        </is>
      </c>
      <c r="T345" s="32" t="inlineStr">
        <is>
          <t>primary verified</t>
        </is>
      </c>
      <c r="U345" s="32" t="inlineStr"/>
    </row>
    <row r="346" ht="45.75" customHeight="1" s="24">
      <c r="A346" s="31" t="inlineStr">
        <is>
          <t>PS-0326</t>
        </is>
      </c>
      <c r="B346" s="31" t="inlineStr">
        <is>
          <t>2026-04-07</t>
        </is>
      </c>
      <c r="C346" s="31" t="inlineStr">
        <is>
          <t>Panama</t>
        </is>
      </c>
      <c r="D346" s="31" t="inlineStr">
        <is>
          <t>No</t>
        </is>
      </c>
      <c r="E346" s="32" t="inlineStr">
        <is>
          <t>Government of Panama (Mulino administration)</t>
        </is>
      </c>
      <c r="F346" s="32" t="inlineStr">
        <is>
          <t>Executive</t>
        </is>
      </c>
      <c r="G346" s="32" t="inlineStr">
        <is>
          <t>LatAm executive</t>
        </is>
      </c>
      <c r="H346" s="32" t="inlineStr">
        <is>
          <t>decree or regulation</t>
        </is>
      </c>
      <c r="I346" s="32" t="inlineStr">
        <is>
          <t>Approval to process stockpiled ore at Cobre Panamá</t>
        </is>
      </c>
      <c r="J346" s="32" t="inlineStr">
        <is>
          <t>The government approved removal, processing and export of ~38 Mt of stockpiled ore at Cobre Panamá to fund preservation and reduce environmental risks, stressing this was not a reopening of the mine.</t>
        </is>
      </c>
      <c r="K346" s="32" t="inlineStr">
        <is>
          <t>copper</t>
        </is>
      </c>
      <c r="L346" s="32" t="inlineStr">
        <is>
          <t>environment water, labor social conflict, foreign investment</t>
        </is>
      </c>
      <c r="M346" s="31" t="inlineStr">
        <is>
          <t>not mentioned</t>
        </is>
      </c>
      <c r="N346" s="31" t="inlineStr">
        <is>
          <t>not mentioned</t>
        </is>
      </c>
      <c r="O346" s="32" t="inlineStr"/>
      <c r="P346" s="32" t="inlineStr"/>
      <c r="Q346" s="31" t="inlineStr">
        <is>
          <t>en</t>
        </is>
      </c>
      <c r="R346" s="33" t="inlineStr">
        <is>
          <t>First Quantum Minerals (company release)</t>
        </is>
      </c>
      <c r="S346" s="32" t="inlineStr">
        <is>
          <t>news media</t>
        </is>
      </c>
      <c r="T346" s="32" t="inlineStr">
        <is>
          <t>secondary reported</t>
        </is>
      </c>
      <c r="U346" s="32" t="inlineStr">
        <is>
          <t>Corporate source; Wikipedia gives January 2026 for authorization – date discrepancy, release dated 2026-04-07.</t>
        </is>
      </c>
    </row>
    <row r="347" ht="45.75" customHeight="1" s="24">
      <c r="A347" s="31" t="inlineStr">
        <is>
          <t>PS-0327</t>
        </is>
      </c>
      <c r="B347" s="31" t="inlineStr">
        <is>
          <t>2026-04-08</t>
        </is>
      </c>
      <c r="C347" s="31" t="inlineStr">
        <is>
          <t>Brazil</t>
        </is>
      </c>
      <c r="D347" s="31" t="inlineStr">
        <is>
          <t>Yes</t>
        </is>
      </c>
      <c r="E347" s="32" t="inlineStr">
        <is>
          <t>Luiz Inácio Lula da Silva</t>
        </is>
      </c>
      <c r="F347" s="32" t="inlineStr">
        <is>
          <t>President of Brazil</t>
        </is>
      </c>
      <c r="G347" s="32" t="inlineStr">
        <is>
          <t>LatAm executive</t>
        </is>
      </c>
      <c r="H347" s="32" t="inlineStr">
        <is>
          <t>interview</t>
        </is>
      </c>
      <c r="I347" s="32" t="inlineStr">
        <is>
          <t>Interview with ICL Notícias; criticism of Flávio Bolsonaro and Caiado over rare earths</t>
        </is>
      </c>
      <c r="J347" s="32" t="inlineStr">
        <is>
          <t>Lula accused Senator Flávio Bolsonaro and Governor Caiado of wanting to hand Brazil's raw rare earths to the US, likened it to giving away oil, and said the government was turning critical minerals into a matter of national security, announcing a council on mineral policy linked to the Presidency.</t>
        </is>
      </c>
      <c r="K347" s="32" t="inlineStr">
        <is>
          <t>rare earths, critical minerals general</t>
        </is>
      </c>
      <c r="L347" s="32" t="inlineStr">
        <is>
          <t>sovereignty, geopolitics security, value added industrialization</t>
        </is>
      </c>
      <c r="M347" s="31" t="inlineStr">
        <is>
          <t>not mentioned</t>
        </is>
      </c>
      <c r="N347" s="31" t="inlineStr">
        <is>
          <t>negative</t>
        </is>
      </c>
      <c r="O347" s="32" t="inlineStr">
        <is>
          <t>Essa gente vai vender o Brasil e nós não podemos permitir</t>
        </is>
      </c>
      <c r="P347" s="32" t="inlineStr">
        <is>
          <t>These people will sell Brazil and we cannot allow it</t>
        </is>
      </c>
      <c r="Q347" s="31" t="inlineStr">
        <is>
          <t>pt</t>
        </is>
      </c>
      <c r="R347" s="33" t="inlineStr">
        <is>
          <t>Poder360</t>
        </is>
      </c>
      <c r="S347" s="32" t="inlineStr">
        <is>
          <t>news media</t>
        </is>
      </c>
      <c r="T347" s="32" t="inlineStr">
        <is>
          <t>secondary reported</t>
        </is>
      </c>
      <c r="U347" s="32" t="inlineStr">
        <is>
          <t>Eixos reports Lula contrasted this with partnerships with China, India, EU (https://eixos.com.br/politica/minerais-criticos-lula-diz-que-flavio-bolsonaro-e-caiado-vao-vender-o-brasil/)</t>
        </is>
      </c>
    </row>
    <row r="348" ht="45.75" customHeight="1" s="24">
      <c r="A348" s="31" t="inlineStr">
        <is>
          <t>PS-0328</t>
        </is>
      </c>
      <c r="B348" s="31" t="inlineStr">
        <is>
          <t>2026-04-09</t>
        </is>
      </c>
      <c r="C348" s="31" t="inlineStr">
        <is>
          <t>Argentina</t>
        </is>
      </c>
      <c r="D348" s="31" t="inlineStr">
        <is>
          <t>Yes</t>
        </is>
      </c>
      <c r="E348" s="32" t="inlineStr">
        <is>
          <t>Chamber of Deputies of Argentina</t>
        </is>
      </c>
      <c r="F348" s="32" t="inlineStr">
        <is>
          <t>Lower chamber</t>
        </is>
      </c>
      <c r="G348" s="32" t="inlineStr">
        <is>
          <t>LatAm legislature</t>
        </is>
      </c>
      <c r="H348" s="32" t="inlineStr">
        <is>
          <t>bill or law</t>
        </is>
      </c>
      <c r="I348" s="32" t="inlineStr">
        <is>
          <t>Final approval of Glacier Law reform</t>
        </is>
      </c>
      <c r="J348" s="32" t="inlineStr">
        <is>
          <t>Deputies gave final approval to the Glacier Law reform 137-111 with 3 abstentions, opening periglacial zones to mining; copper projects in San Juan, Salta, Catamarca and Mendoza worth about US$23bn were cited as beneficiaries.</t>
        </is>
      </c>
      <c r="K348" s="32" t="inlineStr">
        <is>
          <t>copper, mining general</t>
        </is>
      </c>
      <c r="L348" s="32" t="inlineStr">
        <is>
          <t>environment water, foreign investment</t>
        </is>
      </c>
      <c r="M348" s="31" t="inlineStr">
        <is>
          <t>not mentioned</t>
        </is>
      </c>
      <c r="N348" s="31" t="inlineStr">
        <is>
          <t>not mentioned</t>
        </is>
      </c>
      <c r="O348" s="32" t="inlineStr"/>
      <c r="P348" s="32" t="inlineStr"/>
      <c r="Q348" s="31" t="inlineStr">
        <is>
          <t>es</t>
        </is>
      </c>
      <c r="R348" s="33" t="inlineStr">
        <is>
          <t>Más Energía (LM Neuquén)</t>
        </is>
      </c>
      <c r="S348" s="32" t="inlineStr">
        <is>
          <t>news media</t>
        </is>
      </c>
      <c r="T348" s="32" t="inlineStr">
        <is>
          <t>secondary reported</t>
        </is>
      </c>
      <c r="U348" s="32" t="inlineStr"/>
    </row>
    <row r="349" ht="45.75" customHeight="1" s="24">
      <c r="A349" s="31" t="inlineStr">
        <is>
          <t>PS-0329</t>
        </is>
      </c>
      <c r="B349" s="31" t="inlineStr">
        <is>
          <t>2026-04-09</t>
        </is>
      </c>
      <c r="C349" s="31" t="inlineStr">
        <is>
          <t>Argentina</t>
        </is>
      </c>
      <c r="D349" s="31" t="inlineStr">
        <is>
          <t>Yes</t>
        </is>
      </c>
      <c r="E349" s="32" t="inlineStr">
        <is>
          <t>Maximiliano Ferraro</t>
        </is>
      </c>
      <c r="F349" s="32" t="inlineStr">
        <is>
          <t>National Deputy</t>
        </is>
      </c>
      <c r="G349" s="32" t="inlineStr">
        <is>
          <t>LatAm legislature</t>
        </is>
      </c>
      <c r="H349" s="32" t="inlineStr">
        <is>
          <t>legislative debate</t>
        </is>
      </c>
      <c r="I349" s="32" t="inlineStr">
        <is>
          <t>Chamber of Deputies Glacier Law reform debate</t>
        </is>
      </c>
      <c r="J349" s="32" t="inlineStr">
        <is>
          <t>Ferraro called the Glacier Law reform completely regressive and unconstitutional.</t>
        </is>
      </c>
      <c r="K349" s="32" t="inlineStr">
        <is>
          <t>mining general</t>
        </is>
      </c>
      <c r="L349" s="32" t="inlineStr">
        <is>
          <t>environment water, corruption governance</t>
        </is>
      </c>
      <c r="M349" s="31" t="inlineStr">
        <is>
          <t>not mentioned</t>
        </is>
      </c>
      <c r="N349" s="31" t="inlineStr">
        <is>
          <t>not mentioned</t>
        </is>
      </c>
      <c r="O349" s="32" t="inlineStr">
        <is>
          <t>totalmente regresiva e inconstitucional</t>
        </is>
      </c>
      <c r="P349" s="32" t="inlineStr">
        <is>
          <t>completely regressive and unconstitutional</t>
        </is>
      </c>
      <c r="Q349" s="31" t="inlineStr">
        <is>
          <t>es</t>
        </is>
      </c>
      <c r="R349" s="33" t="inlineStr">
        <is>
          <t>Más Energía (LM Neuquén)</t>
        </is>
      </c>
      <c r="S349" s="32" t="inlineStr">
        <is>
          <t>news media</t>
        </is>
      </c>
      <c r="T349" s="32" t="inlineStr">
        <is>
          <t>secondary reported</t>
        </is>
      </c>
      <c r="U349" s="32" t="inlineStr"/>
    </row>
    <row r="350" ht="45.75" customHeight="1" s="24">
      <c r="A350" s="31" t="inlineStr">
        <is>
          <t>PS-0330</t>
        </is>
      </c>
      <c r="B350" s="31" t="inlineStr">
        <is>
          <t>2026-04-09</t>
        </is>
      </c>
      <c r="C350" s="31" t="inlineStr">
        <is>
          <t>Argentina</t>
        </is>
      </c>
      <c r="D350" s="31" t="inlineStr">
        <is>
          <t>Yes</t>
        </is>
      </c>
      <c r="E350" s="32" t="inlineStr">
        <is>
          <t>Miguel Ángel Pichetto</t>
        </is>
      </c>
      <c r="F350" s="32" t="inlineStr">
        <is>
          <t>National Deputy</t>
        </is>
      </c>
      <c r="G350" s="32" t="inlineStr">
        <is>
          <t>LatAm legislature</t>
        </is>
      </c>
      <c r="H350" s="32" t="inlineStr">
        <is>
          <t>legislative debate</t>
        </is>
      </c>
      <c r="I350" s="32" t="inlineStr">
        <is>
          <t>Chamber of Deputies Glacier Law reform debate</t>
        </is>
      </c>
      <c r="J350" s="32" t="inlineStr">
        <is>
          <t>Pichetto, sponsor of the 2010 law, opposed the reform, arguing the original law was self-sufficient and already reconciled mining interests with glacier protection.</t>
        </is>
      </c>
      <c r="K350" s="32" t="inlineStr">
        <is>
          <t>mining general</t>
        </is>
      </c>
      <c r="L350" s="32" t="inlineStr">
        <is>
          <t>environment water</t>
        </is>
      </c>
      <c r="M350" s="31" t="inlineStr">
        <is>
          <t>not mentioned</t>
        </is>
      </c>
      <c r="N350" s="31" t="inlineStr">
        <is>
          <t>not mentioned</t>
        </is>
      </c>
      <c r="O350" s="32" t="inlineStr">
        <is>
          <t>La ley que se votó en 2010 es una ley autosuficiente que permitía perfectamente conciliar los intereses</t>
        </is>
      </c>
      <c r="P350" s="32" t="inlineStr">
        <is>
          <t>The law voted in 2010 is a self-sufficient law that perfectly allowed reconciling interests</t>
        </is>
      </c>
      <c r="Q350" s="31" t="inlineStr">
        <is>
          <t>es</t>
        </is>
      </c>
      <c r="R350" s="33" t="inlineStr">
        <is>
          <t>Más Energía (LM Neuquén)</t>
        </is>
      </c>
      <c r="S350" s="32" t="inlineStr">
        <is>
          <t>news media</t>
        </is>
      </c>
      <c r="T350" s="32" t="inlineStr">
        <is>
          <t>secondary reported</t>
        </is>
      </c>
      <c r="U350" s="32" t="inlineStr"/>
    </row>
    <row r="351" ht="45.75" customHeight="1" s="24">
      <c r="A351" s="31" t="inlineStr">
        <is>
          <t>PS-0331</t>
        </is>
      </c>
      <c r="B351" s="31" t="inlineStr">
        <is>
          <t>2026-04-17</t>
        </is>
      </c>
      <c r="C351" s="31" t="inlineStr">
        <is>
          <t>Peru</t>
        </is>
      </c>
      <c r="D351" s="31" t="inlineStr">
        <is>
          <t>Yes</t>
        </is>
      </c>
      <c r="E351" s="32" t="inlineStr">
        <is>
          <t>María Elvira Salazar</t>
        </is>
      </c>
      <c r="F351" s="32" t="inlineStr">
        <is>
          <t>U.S. Representative; Chair, House Foreign Affairs Subcommittee on the Western Hemisphere</t>
        </is>
      </c>
      <c r="G351" s="32" t="inlineStr">
        <is>
          <t>United States</t>
        </is>
      </c>
      <c r="H351" s="32" t="inlineStr">
        <is>
          <t>interview</t>
        </is>
      </c>
      <c r="I351" s="32" t="inlineStr">
        <is>
          <t>Remarks on Chancay ahead of Peru's 2026 election</t>
        </is>
      </c>
      <c r="J351" s="32" t="inlineStr">
        <is>
          <t>Salazar said Peru's next government must take back Chancay port and that the US would help, describing its dual-use potential as a military threat to the hemisphere.</t>
        </is>
      </c>
      <c r="K351" s="32" t="inlineStr">
        <is>
          <t>mining general</t>
        </is>
      </c>
      <c r="L351" s="32" t="inlineStr">
        <is>
          <t>geopolitics security, sovereignty, infrastructure ports</t>
        </is>
      </c>
      <c r="M351" s="31" t="inlineStr">
        <is>
          <t>negative</t>
        </is>
      </c>
      <c r="N351" s="31" t="inlineStr">
        <is>
          <t>positive</t>
        </is>
      </c>
      <c r="O351" s="32" t="inlineStr">
        <is>
          <t>The new Peruvian government, which will be elected next June, must take it back, that port, take it back, and the United States will help them.</t>
        </is>
      </c>
      <c r="P351" s="32" t="inlineStr">
        <is>
          <t>The new Peruvian government, which will be elected next June, must take it back, that port, take it back, and the United States will help them.</t>
        </is>
      </c>
      <c r="Q351" s="31" t="inlineStr">
        <is>
          <t>en</t>
        </is>
      </c>
      <c r="R351" s="33" t="inlineStr">
        <is>
          <t>South China Morning Post</t>
        </is>
      </c>
      <c r="S351" s="32" t="inlineStr">
        <is>
          <t>news media</t>
        </is>
      </c>
      <c r="T351" s="32" t="inlineStr">
        <is>
          <t>secondary reported</t>
        </is>
      </c>
      <c r="U351" s="32" t="inlineStr">
        <is>
          <t>Port record</t>
        </is>
      </c>
    </row>
    <row r="352" ht="45.75" customHeight="1" s="24">
      <c r="A352" s="31" t="inlineStr">
        <is>
          <t>PS-0332</t>
        </is>
      </c>
      <c r="B352" s="31" t="inlineStr">
        <is>
          <t>2026-04-20</t>
        </is>
      </c>
      <c r="C352" s="31" t="inlineStr">
        <is>
          <t>Chile</t>
        </is>
      </c>
      <c r="D352" s="31" t="inlineStr">
        <is>
          <t>Yes</t>
        </is>
      </c>
      <c r="E352" s="32" t="inlineStr">
        <is>
          <t>Francisco Pérez Mackenna</t>
        </is>
      </c>
      <c r="F352" s="32" t="inlineStr">
        <is>
          <t>Minister of Foreign Affairs</t>
        </is>
      </c>
      <c r="G352" s="32" t="inlineStr">
        <is>
          <t>LatAm executive</t>
        </is>
      </c>
      <c r="H352" s="32" t="inlineStr">
        <is>
          <t>joint declaration or mou</t>
        </is>
      </c>
      <c r="I352" s="32" t="inlineStr">
        <is>
          <t>Signing of Chile-US critical minerals MoU at Foreign Ministry</t>
        </is>
      </c>
      <c r="J352" s="32" t="inlineStr">
        <is>
          <t>Chile and the US signed a non-binding MoU on exploration, extraction and processing of critical minerals and rare earths; the foreign minister called it a step toward a Chilean state policy on critical minerals.</t>
        </is>
      </c>
      <c r="K352" s="32" t="inlineStr">
        <is>
          <t>copper, lithium, cobalt, nickel, rare earths, critical minerals general</t>
        </is>
      </c>
      <c r="L352" s="32" t="inlineStr">
        <is>
          <t>geopolitics security, foreign investment, processing refining</t>
        </is>
      </c>
      <c r="M352" s="31" t="inlineStr">
        <is>
          <t>not mentioned</t>
        </is>
      </c>
      <c r="N352" s="31" t="inlineStr">
        <is>
          <t>positive</t>
        </is>
      </c>
      <c r="O352" s="32" t="inlineStr">
        <is>
          <t>Es un paso más en la consolidación de una Política de Estado de Chile en minerales críticos</t>
        </is>
      </c>
      <c r="P352" s="32" t="inlineStr">
        <is>
          <t>It is one more step in consolidating a Chilean State Policy on critical minerals</t>
        </is>
      </c>
      <c r="Q352" s="31" t="inlineStr">
        <is>
          <t>es</t>
        </is>
      </c>
      <c r="R352" s="33" t="inlineStr">
        <is>
          <t>ABC Color (EFE)</t>
        </is>
      </c>
      <c r="S352" s="32" t="inlineStr">
        <is>
          <t>news media</t>
        </is>
      </c>
      <c r="T352" s="32" t="inlineStr">
        <is>
          <t>secondary reported</t>
        </is>
      </c>
      <c r="U352" s="32" t="inlineStr">
        <is>
          <t>counterparts DEU listed as other ISO3; MoU complements deals with Germany, Japan, Korea, EU</t>
        </is>
      </c>
    </row>
    <row r="353" ht="45.75" customHeight="1" s="24">
      <c r="A353" s="31" t="inlineStr">
        <is>
          <t>PS-0333</t>
        </is>
      </c>
      <c r="B353" s="31" t="inlineStr">
        <is>
          <t>2026-04-23</t>
        </is>
      </c>
      <c r="C353" s="31" t="inlineStr">
        <is>
          <t>Brazil</t>
        </is>
      </c>
      <c r="D353" s="31" t="inlineStr">
        <is>
          <t>Yes</t>
        </is>
      </c>
      <c r="E353" s="32" t="inlineStr">
        <is>
          <t>Ronaldo Caiado</t>
        </is>
      </c>
      <c r="F353" s="32" t="inlineStr">
        <is>
          <t>Former Governor of Goiás; presidential pre-candidate</t>
        </is>
      </c>
      <c r="G353" s="32" t="inlineStr">
        <is>
          <t>LatAm party/candidate</t>
        </is>
      </c>
      <c r="H353" s="32" t="inlineStr">
        <is>
          <t>interview</t>
        </is>
      </c>
      <c r="I353" s="32" t="inlineStr">
        <is>
          <t>Reply to Lula's criticism of Goiás-US rare earths MoU</t>
        </is>
      </c>
      <c r="J353" s="32" t="inlineStr">
        <is>
          <t>Responding to Lula's attacks on his rare-earths deal with the US, Caiado accused Lula himself of 'selling' niobium and heavy rare earths and said the agreement would let Goiás develop technology instead of only exporting mineral concentrate.</t>
        </is>
      </c>
      <c r="K353" s="32" t="inlineStr">
        <is>
          <t>rare earths, niobium</t>
        </is>
      </c>
      <c r="L353" s="32" t="inlineStr">
        <is>
          <t>sovereignty, value added industrialization, diplomatic relations</t>
        </is>
      </c>
      <c r="M353" s="31" t="inlineStr">
        <is>
          <t>not mentioned</t>
        </is>
      </c>
      <c r="N353" s="31" t="inlineStr">
        <is>
          <t>positive</t>
        </is>
      </c>
      <c r="O353" s="32" t="inlineStr">
        <is>
          <t>Quem tá vendendo é ele! É ele que está entregando tudo</t>
        </is>
      </c>
      <c r="P353" s="32" t="inlineStr">
        <is>
          <t>He's the one selling! He's the one handing everything over</t>
        </is>
      </c>
      <c r="Q353" s="31" t="inlineStr">
        <is>
          <t>pt</t>
        </is>
      </c>
      <c r="R353" s="33" t="inlineStr">
        <is>
          <t>IstoÉ Dinheiro</t>
        </is>
      </c>
      <c r="S353" s="32" t="inlineStr">
        <is>
          <t>news media</t>
        </is>
      </c>
      <c r="T353" s="32" t="inlineStr">
        <is>
          <t>secondary reported</t>
        </is>
      </c>
      <c r="U353" s="32" t="inlineStr">
        <is>
          <t>Caiado had left the governorship to run for president</t>
        </is>
      </c>
    </row>
    <row r="354" ht="45.75" customHeight="1" s="24">
      <c r="A354" s="31" t="inlineStr">
        <is>
          <t>PS-0334</t>
        </is>
      </c>
      <c r="B354" s="31" t="inlineStr">
        <is>
          <t>2026-04-25</t>
        </is>
      </c>
      <c r="C354" s="31" t="inlineStr">
        <is>
          <t>Brazil</t>
        </is>
      </c>
      <c r="D354" s="31" t="inlineStr">
        <is>
          <t>Yes</t>
        </is>
      </c>
      <c r="E354" s="32" t="inlineStr">
        <is>
          <t>Rede Sustentabilidade (with Dep. Heloisa Helena)</t>
        </is>
      </c>
      <c r="F354" s="32" t="inlineStr">
        <is>
          <t>Political party</t>
        </is>
      </c>
      <c r="G354" s="32" t="inlineStr">
        <is>
          <t>LatAm party/candidate</t>
        </is>
      </c>
      <c r="H354" s="32" t="inlineStr">
        <is>
          <t>official statement</t>
        </is>
      </c>
      <c r="I354" s="32" t="inlineStr">
        <is>
          <t>ADPF filed at STF to suspend sale of Serra Verde to USA Rare Earth</t>
        </is>
      </c>
      <c r="J354" s="32" t="inlineStr">
        <is>
          <t>Rede and Deputy Heloisa Helena asked the Supreme Court to suspend the US$2.8bn sale of Serra Verde to USA Rare Earth, arguing current rules fail to stop strategic Union minerals passing to foreign control; PSOL and PCdoB deputies petitioned the PGR similarly.</t>
        </is>
      </c>
      <c r="K354" s="32" t="inlineStr">
        <is>
          <t>rare earths</t>
        </is>
      </c>
      <c r="L354" s="32" t="inlineStr">
        <is>
          <t>sovereignty, foreign investment, state control nationalization</t>
        </is>
      </c>
      <c r="M354" s="31" t="inlineStr">
        <is>
          <t>not mentioned</t>
        </is>
      </c>
      <c r="N354" s="31" t="inlineStr">
        <is>
          <t>negative</t>
        </is>
      </c>
      <c r="O354" s="32" t="inlineStr"/>
      <c r="P354" s="32" t="inlineStr"/>
      <c r="Q354" s="31" t="inlineStr">
        <is>
          <t>pt</t>
        </is>
      </c>
      <c r="R354" s="33" t="inlineStr">
        <is>
          <t>InfoMoney</t>
        </is>
      </c>
      <c r="S354" s="32" t="inlineStr">
        <is>
          <t>news media</t>
        </is>
      </c>
      <c r="T354" s="32" t="inlineStr">
        <is>
          <t>secondary reported</t>
        </is>
      </c>
      <c r="U354" s="32" t="inlineStr">
        <is>
          <t>Date = article date; filing date may be slightly earlier</t>
        </is>
      </c>
    </row>
    <row r="355" ht="45.75" customHeight="1" s="24">
      <c r="A355" s="31" t="inlineStr">
        <is>
          <t>PS-0335</t>
        </is>
      </c>
      <c r="B355" s="31" t="inlineStr">
        <is>
          <t>2026-04-28</t>
        </is>
      </c>
      <c r="C355" s="31" t="inlineStr">
        <is>
          <t>Bolivia</t>
        </is>
      </c>
      <c r="D355" s="31" t="inlineStr">
        <is>
          <t>Yes</t>
        </is>
      </c>
      <c r="E355" s="32" t="inlineStr">
        <is>
          <t>Caleb Orr</t>
        </is>
      </c>
      <c r="F355" s="32" t="inlineStr">
        <is>
          <t>US Assistant Secretary of State for Economic, Energy and Business Affairs</t>
        </is>
      </c>
      <c r="G355" s="32" t="inlineStr">
        <is>
          <t>United States</t>
        </is>
      </c>
      <c r="H355" s="32" t="inlineStr">
        <is>
          <t>joint declaration or mou</t>
        </is>
      </c>
      <c r="I355" s="32" t="inlineStr">
        <is>
          <t>Signing of US-Bolivia critical minerals MoU</t>
        </is>
      </c>
      <c r="J355" s="32" t="inlineStr">
        <is>
          <t>The US and Bolivia signed a memorandum of understanding to attract investment in lithium and other critical minerals; the US said it was committed to working with Bolivia under Paz to secure critical mineral supply chains.</t>
        </is>
      </c>
      <c r="K355" s="32" t="inlineStr">
        <is>
          <t>lithium, copper, cobalt, nickel, rare earths, critical minerals general</t>
        </is>
      </c>
      <c r="L355" s="32" t="inlineStr">
        <is>
          <t>foreign investment, geopolitics security, diplomatic relations</t>
        </is>
      </c>
      <c r="M355" s="31" t="inlineStr">
        <is>
          <t>not mentioned</t>
        </is>
      </c>
      <c r="N355" s="31" t="inlineStr">
        <is>
          <t>positive</t>
        </is>
      </c>
      <c r="O355" s="32" t="inlineStr">
        <is>
          <t>Estados Unidos está comprometido a trabajar con Bolivia bajo el liderazgo del Presidente Paz a atraer inversiones</t>
        </is>
      </c>
      <c r="P355" s="32" t="inlineStr">
        <is>
          <t>The United States is committed to working with Bolivia under President Paz's leadership to attract investment</t>
        </is>
      </c>
      <c r="Q355" s="31" t="inlineStr">
        <is>
          <t>es</t>
        </is>
      </c>
      <c r="R355" s="33" t="inlineStr">
        <is>
          <t>KEYT (EFE/CNN)</t>
        </is>
      </c>
      <c r="S355" s="32" t="inlineStr">
        <is>
          <t>news media</t>
        </is>
      </c>
      <c r="T355" s="32" t="inlineStr">
        <is>
          <t>secondary reported</t>
        </is>
      </c>
      <c r="U355" s="32" t="inlineStr">
        <is>
          <t>Orr's exact title varies across sources (Under/Assistant/Deputy). Also Diario Las Américas and Correo del Sur.</t>
        </is>
      </c>
    </row>
    <row r="356" ht="45.75" customHeight="1" s="24">
      <c r="A356" s="31" t="inlineStr">
        <is>
          <t>PS-0336</t>
        </is>
      </c>
      <c r="B356" s="31" t="inlineStr">
        <is>
          <t>2026-04-28</t>
        </is>
      </c>
      <c r="C356" s="31" t="inlineStr">
        <is>
          <t>Bolivia</t>
        </is>
      </c>
      <c r="D356" s="31" t="inlineStr">
        <is>
          <t>Yes</t>
        </is>
      </c>
      <c r="E356" s="32" t="inlineStr">
        <is>
          <t>Fernando Aramayo</t>
        </is>
      </c>
      <c r="F356" s="32" t="inlineStr">
        <is>
          <t>Minister of Foreign Affairs</t>
        </is>
      </c>
      <c r="G356" s="32" t="inlineStr">
        <is>
          <t>LatAm executive</t>
        </is>
      </c>
      <c r="H356" s="32" t="inlineStr">
        <is>
          <t>press conference</t>
        </is>
      </c>
      <c r="I356" s="32" t="inlineStr">
        <is>
          <t>US-Bolivia critical minerals MoU</t>
        </is>
      </c>
      <c r="J356" s="32" t="inlineStr">
        <is>
          <t>Aramayo said the United States aims to form a regional bloc for critical mineral supply to reduce dependence on China's market dominance.</t>
        </is>
      </c>
      <c r="K356" s="32" t="inlineStr">
        <is>
          <t>rare earths, lithium, critical minerals general</t>
        </is>
      </c>
      <c r="L356" s="32" t="inlineStr">
        <is>
          <t>geopolitics security, diplomatic relations</t>
        </is>
      </c>
      <c r="M356" s="31" t="inlineStr">
        <is>
          <t>neutral</t>
        </is>
      </c>
      <c r="N356" s="31" t="inlineStr">
        <is>
          <t>positive</t>
        </is>
      </c>
      <c r="O356" s="32" t="inlineStr"/>
      <c r="P356" s="32" t="inlineStr"/>
      <c r="Q356" s="31" t="inlineStr">
        <is>
          <t>es</t>
        </is>
      </c>
      <c r="R356" s="33" t="inlineStr">
        <is>
          <t>Correo del Sur</t>
        </is>
      </c>
      <c r="S356" s="32" t="inlineStr">
        <is>
          <t>news media</t>
        </is>
      </c>
      <c r="T356" s="32" t="inlineStr">
        <is>
          <t>secondary reported</t>
        </is>
      </c>
      <c r="U356" s="32" t="inlineStr">
        <is>
          <t>Paraphrase only.</t>
        </is>
      </c>
    </row>
    <row r="357" ht="45.75" customHeight="1" s="24">
      <c r="A357" s="31" t="inlineStr">
        <is>
          <t>PS-0337</t>
        </is>
      </c>
      <c r="B357" s="31" t="inlineStr">
        <is>
          <t>2026-04-28</t>
        </is>
      </c>
      <c r="C357" s="31" t="inlineStr">
        <is>
          <t>Bolivia</t>
        </is>
      </c>
      <c r="D357" s="31" t="inlineStr">
        <is>
          <t>Yes</t>
        </is>
      </c>
      <c r="E357" s="32" t="inlineStr">
        <is>
          <t>Marco Antonio Calderón de la Barca</t>
        </is>
      </c>
      <c r="F357" s="32" t="inlineStr">
        <is>
          <t>Minister of Mining and Metallurgy</t>
        </is>
      </c>
      <c r="G357" s="32" t="inlineStr">
        <is>
          <t>LatAm executive</t>
        </is>
      </c>
      <c r="H357" s="32" t="inlineStr">
        <is>
          <t>joint declaration or mou</t>
        </is>
      </c>
      <c r="I357" s="32" t="inlineStr">
        <is>
          <t>Signing of US-Bolivia critical minerals MoU</t>
        </is>
      </c>
      <c r="J357" s="32" t="inlineStr">
        <is>
          <t>Bolivia's mining minister signed the critical minerals MoU with the United States covering cooperation to attract investment in lithium, rare earths and other minerals.</t>
        </is>
      </c>
      <c r="K357" s="32" t="inlineStr">
        <is>
          <t>lithium, rare earths, critical minerals general</t>
        </is>
      </c>
      <c r="L357" s="32" t="inlineStr">
        <is>
          <t>foreign investment, diplomatic relations</t>
        </is>
      </c>
      <c r="M357" s="31" t="inlineStr">
        <is>
          <t>not mentioned</t>
        </is>
      </c>
      <c r="N357" s="31" t="inlineStr">
        <is>
          <t>positive</t>
        </is>
      </c>
      <c r="O357" s="32" t="inlineStr"/>
      <c r="P357" s="32" t="inlineStr"/>
      <c r="Q357" s="31" t="inlineStr">
        <is>
          <t>es</t>
        </is>
      </c>
      <c r="R357" s="33" t="inlineStr">
        <is>
          <t>Diario Las Américas</t>
        </is>
      </c>
      <c r="S357" s="32" t="inlineStr">
        <is>
          <t>news media</t>
        </is>
      </c>
      <c r="T357" s="32" t="inlineStr">
        <is>
          <t>secondary reported</t>
        </is>
      </c>
      <c r="U357" s="32" t="inlineStr"/>
    </row>
    <row r="358" ht="45.75" customHeight="1" s="24">
      <c r="A358" s="31" t="inlineStr">
        <is>
          <t>PS-0338</t>
        </is>
      </c>
      <c r="B358" s="31" t="inlineStr">
        <is>
          <t>2026-04-30</t>
        </is>
      </c>
      <c r="C358" s="31" t="inlineStr">
        <is>
          <t>Argentina</t>
        </is>
      </c>
      <c r="D358" s="31" t="inlineStr">
        <is>
          <t>Yes</t>
        </is>
      </c>
      <c r="E358" s="32" t="inlineStr">
        <is>
          <t>Daniel González</t>
        </is>
      </c>
      <c r="F358" s="32" t="inlineStr">
        <is>
          <t>Coordinating Secretary of Energy and Mining of Argentina</t>
        </is>
      </c>
      <c r="G358" s="32" t="inlineStr">
        <is>
          <t>LatAm executive</t>
        </is>
      </c>
      <c r="H358" s="32" t="inlineStr">
        <is>
          <t>speech</t>
        </is>
      </c>
      <c r="I358" s="32" t="inlineStr">
        <is>
          <t>Signing of joint statement with US Chamber of Commerce/AmCham on minerals</t>
        </is>
      </c>
      <c r="J358" s="32" t="inlineStr">
        <is>
          <t>González said the copper had always been there but was not developed, and that Argentina is again macroeconomically ordered and aligned with the West, crediting Milei for taking on the issue.</t>
        </is>
      </c>
      <c r="K358" s="32" t="inlineStr">
        <is>
          <t>copper, critical minerals general</t>
        </is>
      </c>
      <c r="L358" s="32" t="inlineStr">
        <is>
          <t>foreign investment, geopolitics security</t>
        </is>
      </c>
      <c r="M358" s="31" t="inlineStr">
        <is>
          <t>not mentioned</t>
        </is>
      </c>
      <c r="N358" s="31" t="inlineStr">
        <is>
          <t>positive</t>
        </is>
      </c>
      <c r="O358" s="32" t="inlineStr">
        <is>
          <t>Volvimos a ser un país más ordenado macroeconómicamente y alineado con Occidente</t>
        </is>
      </c>
      <c r="P358" s="32" t="inlineStr">
        <is>
          <t>We are once again a more macroeconomically orderly country aligned with the West</t>
        </is>
      </c>
      <c r="Q358" s="31" t="inlineStr">
        <is>
          <t>es</t>
        </is>
      </c>
      <c r="R358" s="33" t="inlineStr">
        <is>
          <t>La Nación</t>
        </is>
      </c>
      <c r="S358" s="32" t="inlineStr">
        <is>
          <t>news media</t>
        </is>
      </c>
      <c r="T358" s="32" t="inlineStr">
        <is>
          <t>secondary reported</t>
        </is>
      </c>
      <c r="U358" s="32" t="inlineStr"/>
    </row>
    <row r="359" ht="45.75" customHeight="1" s="24">
      <c r="A359" s="31" t="inlineStr">
        <is>
          <t>PS-0401</t>
        </is>
      </c>
      <c r="B359" s="31" t="inlineStr">
        <is>
          <t>2026-05-04</t>
        </is>
      </c>
      <c r="C359" s="31" t="inlineStr">
        <is>
          <t>Guyana</t>
        </is>
      </c>
      <c r="D359" s="31" t="inlineStr">
        <is>
          <t>Yes</t>
        </is>
      </c>
      <c r="E359" s="32" t="inlineStr">
        <is>
          <t>Mohamed Irfaan Ali</t>
        </is>
      </c>
      <c r="F359" s="32" t="inlineStr">
        <is>
          <t>President of Guyana</t>
        </is>
      </c>
      <c r="G359" s="32" t="inlineStr">
        <is>
          <t>LatAm executive</t>
        </is>
      </c>
      <c r="H359" s="32" t="inlineStr">
        <is>
          <t>speech</t>
        </is>
      </c>
      <c r="I359" s="32" t="inlineStr">
        <is>
          <t>Opening address of the Offshore Technology Conference (OTC) 2026, Houston</t>
        </is>
      </c>
      <c r="J359" s="32" t="inlineStr">
        <is>
          <t>In a speech on a balanced energy system, Ali was reported to have warned that critical minerals are concentrated in few geographies and that a transition built on them risks trading one energy dependence for another.</t>
        </is>
      </c>
      <c r="K359" s="32" t="inlineStr">
        <is>
          <t>critical minerals general</t>
        </is>
      </c>
      <c r="L359" s="32" t="inlineStr">
        <is>
          <t>energy transition, geopolitics security</t>
        </is>
      </c>
      <c r="M359" s="31" t="inlineStr">
        <is>
          <t>not mentioned</t>
        </is>
      </c>
      <c r="N359" s="31" t="inlineStr">
        <is>
          <t>not mentioned</t>
        </is>
      </c>
      <c r="O359" s="32" t="inlineStr"/>
      <c r="P359" s="32" t="inlineStr"/>
      <c r="Q359" s="31" t="inlineStr">
        <is>
          <t>en</t>
        </is>
      </c>
      <c r="R359" s="33" t="inlineStr">
        <is>
          <t>Turbomachinery International</t>
        </is>
      </c>
      <c r="S359" s="32" t="inlineStr">
        <is>
          <t>news media</t>
        </is>
      </c>
      <c r="T359" s="32" t="inlineStr">
        <is>
          <t>unverified</t>
        </is>
      </c>
      <c r="U359" s="32" t="inlineStr">
        <is>
          <t>Coded by an AI session (2026-10-09) under the README vocabularies, from web-search results that cite the page; the page itself was not opened. The critical-minerals passage appeared in one search summary of the trade-press report; a second search of the OTC coverage did not reproduce it, so the owner should check the article or the OTC recording before relying on this record.</t>
        </is>
      </c>
    </row>
    <row r="360" ht="45.75" customHeight="1" s="24">
      <c r="A360" s="31" t="inlineStr">
        <is>
          <t>PS-0339</t>
        </is>
      </c>
      <c r="B360" s="31" t="inlineStr">
        <is>
          <t>2026-05-06</t>
        </is>
      </c>
      <c r="C360" s="31" t="inlineStr">
        <is>
          <t>Bolivia</t>
        </is>
      </c>
      <c r="D360" s="31" t="inlineStr">
        <is>
          <t>Yes</t>
        </is>
      </c>
      <c r="E360" s="32" t="inlineStr">
        <is>
          <t>Fernando Aramayo</t>
        </is>
      </c>
      <c r="F360" s="32" t="inlineStr">
        <is>
          <t>Minister of Foreign Affairs</t>
        </is>
      </c>
      <c r="G360" s="32" t="inlineStr">
        <is>
          <t>LatAm executive</t>
        </is>
      </c>
      <c r="H360" s="32" t="inlineStr">
        <is>
          <t>interview</t>
        </is>
      </c>
      <c r="I360" s="32" t="inlineStr">
        <is>
          <t>Bolivia seeks US technology cooperation for lithium</t>
        </is>
      </c>
      <c r="J360" s="32" t="inlineStr">
        <is>
          <t>Aramayo said Bolivia is very interested in US technology cooperation to advance lithium industrialization, noting lack of human resources and need for hydrogeological studies.</t>
        </is>
      </c>
      <c r="K360" s="32" t="inlineStr">
        <is>
          <t>lithium</t>
        </is>
      </c>
      <c r="L360" s="32" t="inlineStr">
        <is>
          <t>technology transfer, value added industrialization, environment water</t>
        </is>
      </c>
      <c r="M360" s="31" t="inlineStr">
        <is>
          <t>not mentioned</t>
        </is>
      </c>
      <c r="N360" s="31" t="inlineStr">
        <is>
          <t>positive</t>
        </is>
      </c>
      <c r="O360" s="32" t="inlineStr">
        <is>
          <t>Con Estados Unidos nos interesa mucho el tema tecnológico (...), generar un acuerdo que nos permita ver cómo logramos dar pasos en la industrialización del litio</t>
        </is>
      </c>
      <c r="P360" s="32" t="inlineStr">
        <is>
          <t>With the United States we are very interested in technology (...), to generate an agreement that lets us see how we can take steps in lithium industrialization</t>
        </is>
      </c>
      <c r="Q360" s="31" t="inlineStr">
        <is>
          <t>es</t>
        </is>
      </c>
      <c r="R360" s="33" t="inlineStr">
        <is>
          <t>TVN Panamá (EFE)</t>
        </is>
      </c>
      <c r="S360" s="32" t="inlineStr">
        <is>
          <t>news media</t>
        </is>
      </c>
      <c r="T360" s="32" t="inlineStr">
        <is>
          <t>secondary reported</t>
        </is>
      </c>
      <c r="U360" s="32" t="inlineStr"/>
    </row>
    <row r="361" ht="45.75" customHeight="1" s="24">
      <c r="A361" s="31" t="inlineStr">
        <is>
          <t>PS-0340</t>
        </is>
      </c>
      <c r="B361" s="31" t="inlineStr">
        <is>
          <t>2026-05-06</t>
        </is>
      </c>
      <c r="C361" s="31" t="inlineStr">
        <is>
          <t>Brazil</t>
        </is>
      </c>
      <c r="D361" s="31" t="inlineStr">
        <is>
          <t>Yes</t>
        </is>
      </c>
      <c r="E361" s="32" t="inlineStr">
        <is>
          <t>Câmara dos Deputados</t>
        </is>
      </c>
      <c r="F361" s="32" t="inlineStr">
        <is>
          <t>Chamber of Deputies of Brazil</t>
        </is>
      </c>
      <c r="G361" s="32" t="inlineStr">
        <is>
          <t>LatAm legislature</t>
        </is>
      </c>
      <c r="H361" s="32" t="inlineStr">
        <is>
          <t>bill or law</t>
        </is>
      </c>
      <c r="I361" s="32" t="inlineStr">
        <is>
          <t>Floor vote on PL 2780/2024 (National Policy for Critical and Strategic Minerals)</t>
        </is>
      </c>
      <c r="J361" s="32" t="inlineStr">
        <is>
          <t>The Chamber approved by symbolic vote the substitute to PL 2780/2024 creating the National Policy for Critical and Strategic Minerals, a council to update mineral lists, a R$5 billion guarantee fund and incentives favouring domestic processing over raw exports; the bill went to the Senate.</t>
        </is>
      </c>
      <c r="K361" s="32" t="inlineStr">
        <is>
          <t>critical minerals general, rare earths</t>
        </is>
      </c>
      <c r="L361" s="32" t="inlineStr">
        <is>
          <t>value added industrialization, financing credit, state control nationalization, royalties taxation</t>
        </is>
      </c>
      <c r="M361" s="31" t="inlineStr">
        <is>
          <t>not mentioned</t>
        </is>
      </c>
      <c r="N361" s="31" t="inlineStr">
        <is>
          <t>not mentioned</t>
        </is>
      </c>
      <c r="O361" s="32" t="inlineStr"/>
      <c r="P361" s="32" t="inlineStr"/>
      <c r="Q361" s="31" t="inlineStr">
        <is>
          <t>pt</t>
        </is>
      </c>
      <c r="R361" s="33" t="inlineStr">
        <is>
          <t>SBT News</t>
        </is>
      </c>
      <c r="S361" s="32" t="inlineStr">
        <is>
          <t>news media</t>
        </is>
      </c>
      <c r="T361" s="32" t="inlineStr">
        <is>
          <t>secondary reported</t>
        </is>
      </c>
      <c r="U361" s="32" t="inlineStr">
        <is>
          <t>Vote held on eve of Lula-Trump meeting (7 May 2026); Novo and PSOL amendments rejected</t>
        </is>
      </c>
    </row>
    <row r="362" ht="45.75" customHeight="1" s="24">
      <c r="A362" s="31" t="inlineStr">
        <is>
          <t>PS-0341</t>
        </is>
      </c>
      <c r="B362" s="31" t="inlineStr">
        <is>
          <t>2026-05-06</t>
        </is>
      </c>
      <c r="C362" s="31" t="inlineStr">
        <is>
          <t>Brazil</t>
        </is>
      </c>
      <c r="D362" s="31" t="inlineStr">
        <is>
          <t>Yes</t>
        </is>
      </c>
      <c r="E362" s="32" t="inlineStr">
        <is>
          <t>Hugo Motta</t>
        </is>
      </c>
      <c r="F362" s="32" t="inlineStr">
        <is>
          <t>President of the Chamber of Deputies</t>
        </is>
      </c>
      <c r="G362" s="32" t="inlineStr">
        <is>
          <t>LatAm legislature</t>
        </is>
      </c>
      <c r="H362" s="32" t="inlineStr">
        <is>
          <t>official statement</t>
        </is>
      </c>
      <c r="I362" s="32" t="inlineStr">
        <is>
          <t>Approval of PL 2780/2024 in the Chamber</t>
        </is>
      </c>
      <c r="J362" s="32" t="inlineStr">
        <is>
          <t>Motta called the Chamber's approval of the critical minerals policy historic, saying it was a giant step for the nation's future and a compass for Brazil in the energy transition and essential technologies.</t>
        </is>
      </c>
      <c r="K362" s="32" t="inlineStr">
        <is>
          <t>critical minerals general</t>
        </is>
      </c>
      <c r="L362" s="32" t="inlineStr">
        <is>
          <t>energy transition, value added industrialization</t>
        </is>
      </c>
      <c r="M362" s="31" t="inlineStr">
        <is>
          <t>not mentioned</t>
        </is>
      </c>
      <c r="N362" s="31" t="inlineStr">
        <is>
          <t>not mentioned</t>
        </is>
      </c>
      <c r="O362" s="32" t="inlineStr"/>
      <c r="P362" s="32" t="inlineStr"/>
      <c r="Q362" s="31" t="inlineStr">
        <is>
          <t>pt</t>
        </is>
      </c>
      <c r="R362" s="33" t="inlineStr">
        <is>
          <t>SBT News</t>
        </is>
      </c>
      <c r="S362" s="32" t="inlineStr">
        <is>
          <t>news media</t>
        </is>
      </c>
      <c r="T362" s="32" t="inlineStr">
        <is>
          <t>secondary reported</t>
        </is>
      </c>
      <c r="U362" s="32" t="inlineStr">
        <is>
          <t>Quote seen only in translation; left empty</t>
        </is>
      </c>
    </row>
    <row r="363" ht="45.75" customHeight="1" s="24">
      <c r="A363" s="31" t="inlineStr">
        <is>
          <t>PS-0342</t>
        </is>
      </c>
      <c r="B363" s="31" t="inlineStr">
        <is>
          <t>2026-05-07</t>
        </is>
      </c>
      <c r="C363" s="31" t="inlineStr">
        <is>
          <t>Brazil</t>
        </is>
      </c>
      <c r="D363" s="31" t="inlineStr">
        <is>
          <t>Yes</t>
        </is>
      </c>
      <c r="E363" s="32" t="inlineStr">
        <is>
          <t>Luiz Inácio Lula da Silva</t>
        </is>
      </c>
      <c r="F363" s="32" t="inlineStr">
        <is>
          <t>President of Brazil</t>
        </is>
      </c>
      <c r="G363" s="32" t="inlineStr">
        <is>
          <t>LatAm executive</t>
        </is>
      </c>
      <c r="H363" s="32" t="inlineStr">
        <is>
          <t>press conference</t>
        </is>
      </c>
      <c r="I363" s="32" t="inlineStr">
        <is>
          <t>Lula-Trump meeting at the White House</t>
        </is>
      </c>
      <c r="J363" s="32" t="inlineStr">
        <is>
          <t>Lula said he presented Trump with Brazil's newly approved national critical minerals policy, stressing the aim to map 100% of mineral resources and inviting foreign investment in extraction and processing in Brazil.</t>
        </is>
      </c>
      <c r="K363" s="32" t="inlineStr">
        <is>
          <t>critical minerals general, rare earths</t>
        </is>
      </c>
      <c r="L363" s="32" t="inlineStr">
        <is>
          <t>foreign investment, diplomatic relations, processing refining</t>
        </is>
      </c>
      <c r="M363" s="31" t="inlineStr">
        <is>
          <t>not mentioned</t>
        </is>
      </c>
      <c r="N363" s="31" t="inlineStr">
        <is>
          <t>positive</t>
        </is>
      </c>
      <c r="O363" s="32" t="inlineStr"/>
      <c r="P363" s="32" t="inlineStr"/>
      <c r="Q363" s="31" t="inlineStr">
        <is>
          <t>pt</t>
        </is>
      </c>
      <c r="R363" s="33" t="inlineStr">
        <is>
          <t>Olhar Digital</t>
        </is>
      </c>
      <c r="S363" s="32" t="inlineStr">
        <is>
          <t>news media</t>
        </is>
      </c>
      <c r="T363" s="32" t="inlineStr">
        <is>
          <t>secondary reported</t>
        </is>
      </c>
      <c r="U363" s="32" t="inlineStr">
        <is>
          <t>'recently approved' refers to Chamber of Deputies approval</t>
        </is>
      </c>
    </row>
    <row r="364" ht="45.75" customHeight="1" s="24">
      <c r="A364" s="31" t="inlineStr">
        <is>
          <t>PS-0343</t>
        </is>
      </c>
      <c r="B364" s="31" t="inlineStr">
        <is>
          <t>2026-05-07</t>
        </is>
      </c>
      <c r="C364" s="31" t="inlineStr">
        <is>
          <t>Brazil</t>
        </is>
      </c>
      <c r="D364" s="31" t="inlineStr">
        <is>
          <t>Yes</t>
        </is>
      </c>
      <c r="E364" s="32" t="inlineStr">
        <is>
          <t>Mauro Vieira</t>
        </is>
      </c>
      <c r="F364" s="32" t="inlineStr">
        <is>
          <t>Minister of Foreign Affairs of Brazil</t>
        </is>
      </c>
      <c r="G364" s="32" t="inlineStr">
        <is>
          <t>LatAm executive</t>
        </is>
      </c>
      <c r="H364" s="32" t="inlineStr">
        <is>
          <t>press conference</t>
        </is>
      </c>
      <c r="I364" s="32" t="inlineStr">
        <is>
          <t>Lula-Trump meeting at the White House</t>
        </is>
      </c>
      <c r="J364" s="32" t="inlineStr">
        <is>
          <t>After the Lula-Trump meeting in Washington, Foreign Minister Vieira said Brazil has no preferred partner and invites anyone who wants to help mine, separate and process its rare earths.</t>
        </is>
      </c>
      <c r="K364" s="32" t="inlineStr">
        <is>
          <t>rare earths, critical minerals general</t>
        </is>
      </c>
      <c r="L364" s="32" t="inlineStr">
        <is>
          <t>foreign investment, processing refining, diplomatic relations</t>
        </is>
      </c>
      <c r="M364" s="31" t="inlineStr">
        <is>
          <t>not mentioned</t>
        </is>
      </c>
      <c r="N364" s="31" t="inlineStr">
        <is>
          <t>neutral</t>
        </is>
      </c>
      <c r="O364" s="32" t="inlineStr">
        <is>
          <t>Quem quiser participar conosco para nos ajudar a fazer a mineração, a separação e a produzir as riquezas que essas terras raras nos oferecem está sendo convidado</t>
        </is>
      </c>
      <c r="P364" s="32" t="inlineStr">
        <is>
          <t>Whoever wants to join us to help with mining, separation and producing the wealth these rare earths offer us is invited</t>
        </is>
      </c>
      <c r="Q364" s="31" t="inlineStr">
        <is>
          <t>pt</t>
        </is>
      </c>
      <c r="R364" s="33" t="inlineStr">
        <is>
          <t>Olhar Digital</t>
        </is>
      </c>
      <c r="S364" s="32" t="inlineStr">
        <is>
          <t>news media</t>
        </is>
      </c>
      <c r="T364" s="32" t="inlineStr">
        <is>
          <t>secondary reported</t>
        </is>
      </c>
      <c r="U364" s="32" t="inlineStr">
        <is>
          <t>quote shortened to &lt;=30 words (omits opening 'Nós não temos preferência.')</t>
        </is>
      </c>
    </row>
    <row r="365" ht="45.75" customHeight="1" s="24">
      <c r="A365" s="31" t="inlineStr">
        <is>
          <t>PS-0344</t>
        </is>
      </c>
      <c r="B365" s="31" t="inlineStr">
        <is>
          <t>2026-05-12</t>
        </is>
      </c>
      <c r="C365" s="31" t="inlineStr">
        <is>
          <t>Bolivia</t>
        </is>
      </c>
      <c r="D365" s="31" t="inlineStr">
        <is>
          <t>Yes</t>
        </is>
      </c>
      <c r="E365" s="32" t="inlineStr">
        <is>
          <t>Marco Antonio Calderón de la Barca</t>
        </is>
      </c>
      <c r="F365" s="32" t="inlineStr">
        <is>
          <t>Minister of Mining and Metallurgy</t>
        </is>
      </c>
      <c r="G365" s="32" t="inlineStr">
        <is>
          <t>LatAm executive</t>
        </is>
      </c>
      <c r="H365" s="32" t="inlineStr">
        <is>
          <t>press conference</t>
        </is>
      </c>
      <c r="I365" s="32" t="inlineStr">
        <is>
          <t>Announcement of new mining law and 20-year tax stability</t>
        </is>
      </c>
      <c r="J365" s="32" t="inlineStr">
        <is>
          <t>Calderón announced a new mining law to replace the 2014 law, offering 20-year tax stability and eliminating the extra 12.5% levy on windfall profits from high mineral prices.</t>
        </is>
      </c>
      <c r="K365" s="32" t="inlineStr">
        <is>
          <t>lithium, tin, silver, zinc, rare earths, mining general</t>
        </is>
      </c>
      <c r="L365" s="32" t="inlineStr">
        <is>
          <t>royalties taxation, foreign investment</t>
        </is>
      </c>
      <c r="M365" s="31" t="inlineStr">
        <is>
          <t>not mentioned</t>
        </is>
      </c>
      <c r="N365" s="31" t="inlineStr">
        <is>
          <t>not mentioned</t>
        </is>
      </c>
      <c r="O365" s="32" t="inlineStr">
        <is>
          <t>Bolivia fue, es y será minera.</t>
        </is>
      </c>
      <c r="P365" s="32" t="inlineStr">
        <is>
          <t>Bolivia was, is and will be a mining country.</t>
        </is>
      </c>
      <c r="Q365" s="31" t="inlineStr">
        <is>
          <t>es</t>
        </is>
      </c>
      <c r="R365" s="33" t="inlineStr">
        <is>
          <t>Correo del Sur</t>
        </is>
      </c>
      <c r="S365" s="32" t="inlineStr">
        <is>
          <t>news media</t>
        </is>
      </c>
      <c r="T365" s="32" t="inlineStr">
        <is>
          <t>secondary reported</t>
        </is>
      </c>
      <c r="U365" s="32" t="inlineStr"/>
    </row>
    <row r="366" ht="45.75" customHeight="1" s="24">
      <c r="A366" s="31" t="inlineStr">
        <is>
          <t>PS-0345</t>
        </is>
      </c>
      <c r="B366" s="31" t="inlineStr">
        <is>
          <t>2026-05-14</t>
        </is>
      </c>
      <c r="C366" s="31" t="inlineStr">
        <is>
          <t>Argentina</t>
        </is>
      </c>
      <c r="D366" s="31" t="inlineStr">
        <is>
          <t>Yes</t>
        </is>
      </c>
      <c r="E366" s="32" t="inlineStr">
        <is>
          <t>Luis Caputo</t>
        </is>
      </c>
      <c r="F366" s="32" t="inlineStr">
        <is>
          <t>Minister of Economy of Argentina</t>
        </is>
      </c>
      <c r="G366" s="32" t="inlineStr">
        <is>
          <t>LatAm executive</t>
        </is>
      </c>
      <c r="H366" s="32" t="inlineStr">
        <is>
          <t>social media post</t>
        </is>
      </c>
      <c r="I366" s="32" t="inlineStr">
        <is>
          <t>RIGI approvals: Jujuy lithium expansion and PSJ Cobre Mendocino</t>
        </is>
      </c>
      <c r="J366" s="32" t="inlineStr">
        <is>
          <t>Caputo posted on X the RIGI approval of a US$1.24bn lithium expansion in Jujuy partly owned by China's Ganfeng and of the US$891m PSJ Cobre Mendocino copper project, saying they would create 8,000 jobs.</t>
        </is>
      </c>
      <c r="K366" s="32" t="inlineStr">
        <is>
          <t>lithium, copper</t>
        </is>
      </c>
      <c r="L366" s="32" t="inlineStr">
        <is>
          <t>foreign investment, labor social conflict</t>
        </is>
      </c>
      <c r="M366" s="31" t="inlineStr">
        <is>
          <t>neutral</t>
        </is>
      </c>
      <c r="N366" s="31" t="inlineStr">
        <is>
          <t>not mentioned</t>
        </is>
      </c>
      <c r="O366" s="32" t="inlineStr"/>
      <c r="P366" s="32" t="inlineStr"/>
      <c r="Q366" s="31" t="inlineStr">
        <is>
          <t>es</t>
        </is>
      </c>
      <c r="R366" s="33" t="inlineStr">
        <is>
          <t>Buenos Aires Times</t>
        </is>
      </c>
      <c r="S366" s="32" t="inlineStr">
        <is>
          <t>news media</t>
        </is>
      </c>
      <c r="T366" s="32" t="inlineStr">
        <is>
          <t>secondary reported</t>
        </is>
      </c>
      <c r="U366" s="32" t="inlineStr">
        <is>
          <t>Date = article date; post may be a day earlier. First RIGI approval with major Chinese stake; quote only in English rendering so left blank.</t>
        </is>
      </c>
    </row>
    <row r="367" ht="45.75" customHeight="1" s="24">
      <c r="A367" s="31" t="inlineStr">
        <is>
          <t>PS-0411</t>
        </is>
      </c>
      <c r="B367" s="31" t="inlineStr">
        <is>
          <t>2026-05-18</t>
        </is>
      </c>
      <c r="C367" s="31" t="inlineStr">
        <is>
          <t>Guyana</t>
        </is>
      </c>
      <c r="D367" s="31" t="inlineStr">
        <is>
          <t>Yes</t>
        </is>
      </c>
      <c r="E367" s="32" t="inlineStr">
        <is>
          <t>Yang Yang</t>
        </is>
      </c>
      <c r="F367" s="32" t="inlineStr">
        <is>
          <t>Ambassador of China to Guyana</t>
        </is>
      </c>
      <c r="G367" s="32" t="inlineStr">
        <is>
          <t>China</t>
        </is>
      </c>
      <c r="H367" s="32" t="inlineStr">
        <is>
          <t>op ed</t>
        </is>
      </c>
      <c r="I367" s="32" t="inlineStr">
        <is>
          <t>Reply to US Congressman Gabe Evans's claims of Chinese interference in Guyana</t>
        </is>
      </c>
      <c r="J367" s="32" t="inlineStr">
        <is>
          <t>Yang called the congressman's claims entirely unfounded and the product of prejudice and misinformation, and listed Chinese projects in Guyana as evidence of cooperation.</t>
        </is>
      </c>
      <c r="K367" s="32" t="inlineStr">
        <is>
          <t>mining general</t>
        </is>
      </c>
      <c r="L367" s="32" t="inlineStr">
        <is>
          <t>geopolitics security, foreign investment, diplomatic relations</t>
        </is>
      </c>
      <c r="M367" s="31" t="inlineStr">
        <is>
          <t>positive</t>
        </is>
      </c>
      <c r="N367" s="31" t="inlineStr">
        <is>
          <t>negative</t>
        </is>
      </c>
      <c r="O367" s="32" t="inlineStr">
        <is>
          <t>entirely unfounded</t>
        </is>
      </c>
      <c r="P367" s="32" t="inlineStr">
        <is>
          <t>entirely unfounded</t>
        </is>
      </c>
      <c r="Q367" s="31" t="inlineStr">
        <is>
          <t>en</t>
        </is>
      </c>
      <c r="R367" s="33" t="inlineStr">
        <is>
          <t>Kaieteur News</t>
        </is>
      </c>
      <c r="S367" s="32" t="inlineStr">
        <is>
          <t>news media</t>
        </is>
      </c>
      <c r="T367" s="32" t="inlineStr">
        <is>
          <t>secondary reported</t>
        </is>
      </c>
      <c r="U367" s="32" t="inlineStr">
        <is>
          <t xml:space="preserve">Coded by an AI session (2026-10-09) under the README vocabularies, from web-search results that cite the page; the page itself was not opened. </t>
        </is>
      </c>
    </row>
    <row r="368" ht="45.75" customHeight="1" s="24">
      <c r="A368" s="31" t="inlineStr">
        <is>
          <t>PS-0346</t>
        </is>
      </c>
      <c r="B368" s="31" t="inlineStr">
        <is>
          <t>2026-05-25</t>
        </is>
      </c>
      <c r="C368" s="31" t="inlineStr">
        <is>
          <t>Chile</t>
        </is>
      </c>
      <c r="D368" s="31" t="inlineStr">
        <is>
          <t>Yes</t>
        </is>
      </c>
      <c r="E368" s="32" t="inlineStr">
        <is>
          <t>Daniel Mas</t>
        </is>
      </c>
      <c r="F368" s="32" t="inlineStr">
        <is>
          <t>Minister of Economy and Mining (biminister)</t>
        </is>
      </c>
      <c r="G368" s="32" t="inlineStr">
        <is>
          <t>LatAm executive</t>
        </is>
      </c>
      <c r="H368" s="32" t="inlineStr">
        <is>
          <t>press conference</t>
        </is>
      </c>
      <c r="I368" s="32" t="inlineStr">
        <is>
          <t>Codelco production-reporting irregularities and board renewal</t>
        </is>
      </c>
      <c r="J368" s="32" t="inlineStr">
        <is>
          <t>Mas called Codelco's production-accounting irregularities unacceptable and said President Kast's mandate to the new directors was to regain control of the company.</t>
        </is>
      </c>
      <c r="K368" s="32" t="inlineStr">
        <is>
          <t>copper</t>
        </is>
      </c>
      <c r="L368" s="32" t="inlineStr">
        <is>
          <t>corruption governance, state control nationalization</t>
        </is>
      </c>
      <c r="M368" s="31" t="inlineStr">
        <is>
          <t>not mentioned</t>
        </is>
      </c>
      <c r="N368" s="31" t="inlineStr">
        <is>
          <t>not mentioned</t>
        </is>
      </c>
      <c r="O368" s="32" t="inlineStr">
        <is>
          <t>retomar el control</t>
        </is>
      </c>
      <c r="P368" s="32" t="inlineStr">
        <is>
          <t>regain control</t>
        </is>
      </c>
      <c r="Q368" s="31" t="inlineStr">
        <is>
          <t>es</t>
        </is>
      </c>
      <c r="R368" s="33" t="inlineStr">
        <is>
          <t>Forbes Chile</t>
        </is>
      </c>
      <c r="S368" s="32" t="inlineStr">
        <is>
          <t>news media</t>
        </is>
      </c>
      <c r="T368" s="32" t="inlineStr">
        <is>
          <t>secondary reported</t>
        </is>
      </c>
      <c r="U368" s="32" t="inlineStr">
        <is>
          <t>Only short fragment quoted in source</t>
        </is>
      </c>
    </row>
    <row r="369" ht="45.75" customHeight="1" s="24">
      <c r="A369" s="31" t="inlineStr">
        <is>
          <t>PS-0347</t>
        </is>
      </c>
      <c r="B369" s="31" t="inlineStr">
        <is>
          <t>2026-05-25</t>
        </is>
      </c>
      <c r="C369" s="31" t="inlineStr">
        <is>
          <t>Chile</t>
        </is>
      </c>
      <c r="D369" s="31" t="inlineStr">
        <is>
          <t>Yes</t>
        </is>
      </c>
      <c r="E369" s="32" t="inlineStr">
        <is>
          <t>Máximo Pacheco</t>
        </is>
      </c>
      <c r="F369" s="32" t="inlineStr">
        <is>
          <t>Chairman of NovaAndino Litio (former Codelco chairman)</t>
        </is>
      </c>
      <c r="G369" s="32" t="inlineStr">
        <is>
          <t>LatAm state company</t>
        </is>
      </c>
      <c r="H369" s="32" t="inlineStr">
        <is>
          <t>official statement</t>
        </is>
      </c>
      <c r="I369" s="32" t="inlineStr">
        <is>
          <t>Resignation letter from NovaAndino Litio board</t>
        </is>
      </c>
      <c r="J369" s="32" t="inlineStr">
        <is>
          <t>Pacheco resigned as chair of the Codelco-SQM lithium JV after pressure from the Kast government and Republican deputies, accusing some sectors of placing narrow partisanship above national interest.</t>
        </is>
      </c>
      <c r="K369" s="32" t="inlineStr">
        <is>
          <t>lithium</t>
        </is>
      </c>
      <c r="L369" s="32" t="inlineStr">
        <is>
          <t>corruption governance, state control nationalization</t>
        </is>
      </c>
      <c r="M369" s="31" t="inlineStr">
        <is>
          <t>not mentioned</t>
        </is>
      </c>
      <c r="N369" s="31" t="inlineStr">
        <is>
          <t>not mentioned</t>
        </is>
      </c>
      <c r="O369" s="32" t="inlineStr">
        <is>
          <t>Para algunos la reducida bandería política vale más que el interés nacional</t>
        </is>
      </c>
      <c r="P369" s="32" t="inlineStr">
        <is>
          <t>For some, narrow political partisanship is worth more than the national interest</t>
        </is>
      </c>
      <c r="Q369" s="31" t="inlineStr">
        <is>
          <t>es</t>
        </is>
      </c>
      <c r="R369" s="33" t="inlineStr">
        <is>
          <t>Forbes Chile</t>
        </is>
      </c>
      <c r="S369" s="32" t="inlineStr">
        <is>
          <t>news media</t>
        </is>
      </c>
      <c r="T369" s="32" t="inlineStr">
        <is>
          <t>secondary reported</t>
        </is>
      </c>
      <c r="U369" s="32" t="inlineStr"/>
    </row>
    <row r="370" ht="45.75" customHeight="1" s="24">
      <c r="A370" s="31" t="inlineStr">
        <is>
          <t>PS-0348</t>
        </is>
      </c>
      <c r="B370" s="31" t="inlineStr">
        <is>
          <t>2026-05-25</t>
        </is>
      </c>
      <c r="C370" s="31" t="inlineStr">
        <is>
          <t>Chile</t>
        </is>
      </c>
      <c r="D370" s="31" t="inlineStr">
        <is>
          <t>Yes</t>
        </is>
      </c>
      <c r="E370" s="32" t="inlineStr">
        <is>
          <t>Stephanie Jeldres; Ignacio Urcullú; Carlo Arqueros</t>
        </is>
      </c>
      <c r="F370" s="32" t="inlineStr">
        <is>
          <t>Deputies, members of Chamber Mining Commission</t>
        </is>
      </c>
      <c r="G370" s="32" t="inlineStr">
        <is>
          <t>LatAm legislature</t>
        </is>
      </c>
      <c r="H370" s="32" t="inlineStr">
        <is>
          <t>official statement</t>
        </is>
      </c>
      <c r="I370" s="32" t="inlineStr">
        <is>
          <t>Call for Máximo Pacheco to resign from NovaAndino Litio board</t>
        </is>
      </c>
      <c r="J370" s="32" t="inlineStr">
        <is>
          <t>Three Republican deputies demanded Pacheco leave the NovaAndino Litio board, arguing the JV must be shielded from reputational costs tied to the previous administration.</t>
        </is>
      </c>
      <c r="K370" s="32" t="inlineStr">
        <is>
          <t>lithium</t>
        </is>
      </c>
      <c r="L370" s="32" t="inlineStr">
        <is>
          <t>corruption governance</t>
        </is>
      </c>
      <c r="M370" s="31" t="inlineStr">
        <is>
          <t>not mentioned</t>
        </is>
      </c>
      <c r="N370" s="31" t="inlineStr">
        <is>
          <t>not mentioned</t>
        </is>
      </c>
      <c r="O370" s="32" t="inlineStr">
        <is>
          <t>NovaAndino debe estar protegida de cualquier duda, costo reputacional o conflicto asociado a la administración anterior</t>
        </is>
      </c>
      <c r="P370" s="32" t="inlineStr">
        <is>
          <t>NovaAndino must be protected from any doubt, reputational cost or conflict associated with the previous administration</t>
        </is>
      </c>
      <c r="Q370" s="31" t="inlineStr">
        <is>
          <t>es</t>
        </is>
      </c>
      <c r="R370" s="33" t="inlineStr">
        <is>
          <t>The Clinic</t>
        </is>
      </c>
      <c r="S370" s="32" t="inlineStr">
        <is>
          <t>news media</t>
        </is>
      </c>
      <c r="T370" s="32" t="inlineStr">
        <is>
          <t>secondary reported</t>
        </is>
      </c>
      <c r="U370" s="32" t="inlineStr">
        <is>
          <t>Joint statement by three deputies</t>
        </is>
      </c>
    </row>
    <row r="371" ht="45.75" customHeight="1" s="24">
      <c r="A371" s="31" t="inlineStr">
        <is>
          <t>PS-0349</t>
        </is>
      </c>
      <c r="B371" s="31" t="inlineStr">
        <is>
          <t>2026-05-29</t>
        </is>
      </c>
      <c r="C371" s="31" t="inlineStr">
        <is>
          <t>Chile</t>
        </is>
      </c>
      <c r="D371" s="31" t="inlineStr">
        <is>
          <t>Yes</t>
        </is>
      </c>
      <c r="E371" s="32" t="inlineStr">
        <is>
          <t>Bernardo Fontaine</t>
        </is>
      </c>
      <c r="F371" s="32" t="inlineStr">
        <is>
          <t>Chairman of Codelco</t>
        </is>
      </c>
      <c r="G371" s="32" t="inlineStr">
        <is>
          <t>LatAm state company</t>
        </is>
      </c>
      <c r="H371" s="32" t="inlineStr">
        <is>
          <t>official statement</t>
        </is>
      </c>
      <c r="I371" s="32" t="inlineStr">
        <is>
          <t>First board decisions: profitability over volume, forensic audit</t>
        </is>
      </c>
      <c r="J371" s="32" t="inlineStr">
        <is>
          <t>Codelco's new chairman said the company's mandate is safe, efficient and profitable production rather than volume, announcing an external forensic audit of 2024-2025 production figures.</t>
        </is>
      </c>
      <c r="K371" s="32" t="inlineStr">
        <is>
          <t>copper</t>
        </is>
      </c>
      <c r="L371" s="32" t="inlineStr">
        <is>
          <t>corruption governance, state control nationalization</t>
        </is>
      </c>
      <c r="M371" s="31" t="inlineStr">
        <is>
          <t>not mentioned</t>
        </is>
      </c>
      <c r="N371" s="31" t="inlineStr">
        <is>
          <t>not mentioned</t>
        </is>
      </c>
      <c r="O371" s="32" t="inlineStr">
        <is>
          <t>Nuestro mandato no es producir por producir, sino hacerlo de manera segura, eficiente y rentable</t>
        </is>
      </c>
      <c r="P371" s="32" t="inlineStr">
        <is>
          <t>Our mandate is not to produce for the sake of producing, but to do so safely, efficiently and profitably</t>
        </is>
      </c>
      <c r="Q371" s="31" t="inlineStr">
        <is>
          <t>es</t>
        </is>
      </c>
      <c r="R371" s="33" t="inlineStr">
        <is>
          <t>Gestión</t>
        </is>
      </c>
      <c r="S371" s="32" t="inlineStr">
        <is>
          <t>news media</t>
        </is>
      </c>
      <c r="T371" s="32" t="inlineStr">
        <is>
          <t>secondary reported</t>
        </is>
      </c>
      <c r="U371" s="32" t="inlineStr"/>
    </row>
    <row r="372" ht="45.75" customHeight="1" s="24">
      <c r="A372" s="31" t="inlineStr">
        <is>
          <t>PS-0350</t>
        </is>
      </c>
      <c r="B372" s="31" t="inlineStr">
        <is>
          <t>2026-05-30</t>
        </is>
      </c>
      <c r="C372" s="31" t="inlineStr">
        <is>
          <t>Argentina</t>
        </is>
      </c>
      <c r="D372" s="31" t="inlineStr">
        <is>
          <t>Yes</t>
        </is>
      </c>
      <c r="E372" s="32" t="inlineStr">
        <is>
          <t>Raúl Jalil</t>
        </is>
      </c>
      <c r="F372" s="32" t="inlineStr">
        <is>
          <t>Governor of Catamarca</t>
        </is>
      </c>
      <c r="G372" s="32" t="inlineStr">
        <is>
          <t>LatAm executive</t>
        </is>
      </c>
      <c r="H372" s="32" t="inlineStr">
        <is>
          <t>interview</t>
        </is>
      </c>
      <c r="I372" s="32" t="inlineStr">
        <is>
          <t>Interview defending RIGI impact in Catamarca</t>
        </is>
      </c>
      <c r="J372" s="32" t="inlineStr">
        <is>
          <t>Jalil said the RIGI accelerated investments his government supports, that Catamarca doubled mining exports in the first quarter and will be the first province to export copper next year after authorizing Bajo La Alumbrera's restart.</t>
        </is>
      </c>
      <c r="K372" s="32" t="inlineStr">
        <is>
          <t>lithium, copper</t>
        </is>
      </c>
      <c r="L372" s="32" t="inlineStr">
        <is>
          <t>foreign investment, labor social conflict</t>
        </is>
      </c>
      <c r="M372" s="31" t="inlineStr">
        <is>
          <t>not mentioned</t>
        </is>
      </c>
      <c r="N372" s="31" t="inlineStr">
        <is>
          <t>not mentioned</t>
        </is>
      </c>
      <c r="O372" s="32" t="inlineStr">
        <is>
          <t>aceleró inversiones que nosotros acompañamos porque creemos que benefician a Catamarca</t>
        </is>
      </c>
      <c r="P372" s="32" t="inlineStr">
        <is>
          <t>accelerated investments that we support because we believe they benefit Catamarca</t>
        </is>
      </c>
      <c r="Q372" s="31" t="inlineStr">
        <is>
          <t>es</t>
        </is>
      </c>
      <c r="R372" s="33" t="inlineStr">
        <is>
          <t>El Ancasti</t>
        </is>
      </c>
      <c r="S372" s="32" t="inlineStr">
        <is>
          <t>news media</t>
        </is>
      </c>
      <c r="T372" s="32" t="inlineStr">
        <is>
          <t>secondary reported</t>
        </is>
      </c>
      <c r="U372" s="32" t="inlineStr">
        <is>
          <t>Peronist governor aligned with Milei on RIGI; date per article.</t>
        </is>
      </c>
    </row>
    <row r="373" ht="45.75" customHeight="1" s="24">
      <c r="A373" s="31" t="inlineStr">
        <is>
          <t>PS-0351</t>
        </is>
      </c>
      <c r="B373" s="31" t="inlineStr">
        <is>
          <t>2026-06-01</t>
        </is>
      </c>
      <c r="C373" s="31" t="inlineStr">
        <is>
          <t>Ecuador</t>
        </is>
      </c>
      <c r="D373" s="31" t="inlineStr">
        <is>
          <t>Yes</t>
        </is>
      </c>
      <c r="E373" s="32" t="inlineStr">
        <is>
          <t>Juan Carlos Blum</t>
        </is>
      </c>
      <c r="F373" s="32" t="inlineStr">
        <is>
          <t>Minister of Environment and Energy of Ecuador</t>
        </is>
      </c>
      <c r="G373" s="32" t="inlineStr">
        <is>
          <t>LatAm executive</t>
        </is>
      </c>
      <c r="H373" s="32" t="inlineStr">
        <is>
          <t>interview</t>
        </is>
      </c>
      <c r="I373" s="32" t="inlineStr">
        <is>
          <t>Cascabel contract after Jiangxi Copper's acquisition of SolGold</t>
        </is>
      </c>
      <c r="J373" s="32" t="inlineStr">
        <is>
          <t>Blum said the 2024 Cascabel exploitation contract was unbalanced and contravened legal norms, that it must be renegotiated, and that another concessionaire would be sought if the company refused.</t>
        </is>
      </c>
      <c r="K373" s="32" t="inlineStr">
        <is>
          <t>copper</t>
        </is>
      </c>
      <c r="L373" s="32" t="inlineStr">
        <is>
          <t>foreign investment, royalties taxation, corruption governance</t>
        </is>
      </c>
      <c r="M373" s="31" t="inlineStr">
        <is>
          <t>mixed</t>
        </is>
      </c>
      <c r="N373" s="31" t="inlineStr">
        <is>
          <t>not mentioned</t>
        </is>
      </c>
      <c r="O373" s="32" t="inlineStr">
        <is>
          <t>Fue un abuso total. Un contrato que no está equilibrado termina quebrándose en alguna parte.</t>
        </is>
      </c>
      <c r="P373" s="32" t="inlineStr">
        <is>
          <t>It was a total abuse. A contract that is not balanced ends up breaking somewhere.</t>
        </is>
      </c>
      <c r="Q373" s="31" t="inlineStr">
        <is>
          <t>es</t>
        </is>
      </c>
      <c r="R373" s="33" t="inlineStr">
        <is>
          <t>Primicias</t>
        </is>
      </c>
      <c r="S373" s="32" t="inlineStr">
        <is>
          <t>news media</t>
        </is>
      </c>
      <c r="T373" s="32" t="inlineStr">
        <is>
          <t>secondary reported</t>
        </is>
      </c>
      <c r="U373" s="32" t="inlineStr">
        <is>
          <t>Stance toward China coded mixed: criticism targets contract now held by Chinese-owned firm.</t>
        </is>
      </c>
    </row>
    <row r="374" ht="45.75" customHeight="1" s="24">
      <c r="A374" s="31" t="inlineStr">
        <is>
          <t>PS-0352</t>
        </is>
      </c>
      <c r="B374" s="31" t="inlineStr">
        <is>
          <t>2026-06-02</t>
        </is>
      </c>
      <c r="C374" s="31" t="inlineStr">
        <is>
          <t>Brazil</t>
        </is>
      </c>
      <c r="D374" s="31" t="inlineStr">
        <is>
          <t>Yes</t>
        </is>
      </c>
      <c r="E374" s="32" t="inlineStr">
        <is>
          <t>Esperidião Amin</t>
        </is>
      </c>
      <c r="F374" s="32" t="inlineStr">
        <is>
          <t>Senator (PP-SC)</t>
        </is>
      </c>
      <c r="G374" s="32" t="inlineStr">
        <is>
          <t>LatAm legislature</t>
        </is>
      </c>
      <c r="H374" s="32" t="inlineStr">
        <is>
          <t>legislative debate</t>
        </is>
      </c>
      <c r="I374" s="32" t="inlineStr">
        <is>
          <t>Senate CRE hearing on rare earths bills</t>
        </is>
      </c>
      <c r="J374" s="32" t="inlineStr">
        <is>
          <t>Amin noted the Chamber bill was much broader than the Senate proposal and that its main novelty was a council linked to the Presidency for critical minerals.</t>
        </is>
      </c>
      <c r="K374" s="32" t="inlineStr">
        <is>
          <t>rare earths, critical minerals general</t>
        </is>
      </c>
      <c r="L374" s="32" t="inlineStr">
        <is>
          <t>corruption governance, value added industrialization</t>
        </is>
      </c>
      <c r="M374" s="31" t="inlineStr">
        <is>
          <t>not mentioned</t>
        </is>
      </c>
      <c r="N374" s="31" t="inlineStr">
        <is>
          <t>not mentioned</t>
        </is>
      </c>
      <c r="O374" s="32" t="inlineStr"/>
      <c r="P374" s="32" t="inlineStr"/>
      <c r="Q374" s="31" t="inlineStr">
        <is>
          <t>pt</t>
        </is>
      </c>
      <c r="R374" s="33" t="inlineStr">
        <is>
          <t>Rádio Senado</t>
        </is>
      </c>
      <c r="S374" s="32" t="inlineStr">
        <is>
          <t>legislative record</t>
        </is>
      </c>
      <c r="T374" s="32" t="inlineStr">
        <is>
          <t>primary verified</t>
        </is>
      </c>
      <c r="U374" s="32" t="inlineStr">
        <is>
          <t>Quote seen only in translation</t>
        </is>
      </c>
    </row>
    <row r="375" ht="45.75" customHeight="1" s="24">
      <c r="A375" s="31" t="inlineStr">
        <is>
          <t>PS-0353</t>
        </is>
      </c>
      <c r="B375" s="31" t="inlineStr">
        <is>
          <t>2026-06-02</t>
        </is>
      </c>
      <c r="C375" s="31" t="inlineStr">
        <is>
          <t>Brazil</t>
        </is>
      </c>
      <c r="D375" s="31" t="inlineStr">
        <is>
          <t>Yes</t>
        </is>
      </c>
      <c r="E375" s="32" t="inlineStr">
        <is>
          <t>Tereza Cristina</t>
        </is>
      </c>
      <c r="F375" s="32" t="inlineStr">
        <is>
          <t>Senator (PP-MS)</t>
        </is>
      </c>
      <c r="G375" s="32" t="inlineStr">
        <is>
          <t>LatAm legislature</t>
        </is>
      </c>
      <c r="H375" s="32" t="inlineStr">
        <is>
          <t>legislative debate</t>
        </is>
      </c>
      <c r="I375" s="32" t="inlineStr">
        <is>
          <t>Senate Foreign Relations and Defence Committee (CRE) hearing on rare earths bills</t>
        </is>
      </c>
      <c r="J375" s="32" t="inlineStr">
        <is>
          <t>At a CRE hearing on the critical minerals bills, Senator Tereza Cristina urged speed, saying developments in the rare earths segment were happening very rapidly.</t>
        </is>
      </c>
      <c r="K375" s="32" t="inlineStr">
        <is>
          <t>rare earths, critical minerals general</t>
        </is>
      </c>
      <c r="L375" s="32" t="inlineStr">
        <is>
          <t>geopolitics security</t>
        </is>
      </c>
      <c r="M375" s="31" t="inlineStr">
        <is>
          <t>not mentioned</t>
        </is>
      </c>
      <c r="N375" s="31" t="inlineStr">
        <is>
          <t>not mentioned</t>
        </is>
      </c>
      <c r="O375" s="32" t="inlineStr"/>
      <c r="P375" s="32" t="inlineStr"/>
      <c r="Q375" s="31" t="inlineStr">
        <is>
          <t>pt</t>
        </is>
      </c>
      <c r="R375" s="33" t="inlineStr">
        <is>
          <t>Rádio Senado</t>
        </is>
      </c>
      <c r="S375" s="32" t="inlineStr">
        <is>
          <t>legislative record</t>
        </is>
      </c>
      <c r="T375" s="32" t="inlineStr">
        <is>
          <t>primary verified</t>
        </is>
      </c>
      <c r="U375" s="32" t="inlineStr">
        <is>
          <t>Quote seen only in translation</t>
        </is>
      </c>
    </row>
    <row r="376" ht="45.75" customHeight="1" s="24">
      <c r="A376" s="31" t="inlineStr">
        <is>
          <t>PS-0354</t>
        </is>
      </c>
      <c r="B376" s="31" t="inlineStr">
        <is>
          <t>2026-06-03</t>
        </is>
      </c>
      <c r="C376" s="31" t="inlineStr">
        <is>
          <t>Regional</t>
        </is>
      </c>
      <c r="D376" s="31" t="inlineStr">
        <is>
          <t>No</t>
        </is>
      </c>
      <c r="E376" s="32" t="inlineStr">
        <is>
          <t>Marco Rubio</t>
        </is>
      </c>
      <c r="F376" s="32" t="inlineStr">
        <is>
          <t>U.S. Secretary of State</t>
        </is>
      </c>
      <c r="G376" s="32" t="inlineStr">
        <is>
          <t>United States</t>
        </is>
      </c>
      <c r="H376" s="32" t="inlineStr">
        <is>
          <t>legislative debate</t>
        </is>
      </c>
      <c r="I376" s="32" t="inlineStr">
        <is>
          <t>Testimony to House Appropriations Subcommittee on National Security, Department of State and Related Programs</t>
        </is>
      </c>
      <c r="J376" s="32" t="inlineStr">
        <is>
          <t>Discussing China in the Americas, Rubio said Beijing seeks access to critical minerals and mining through long-term contracts and infrastructure investments, and that countries turn to Chinese firms because they are the only ones showing up, requiring US alternatives.</t>
        </is>
      </c>
      <c r="K376" s="32" t="inlineStr">
        <is>
          <t>critical minerals general, mining general</t>
        </is>
      </c>
      <c r="L376" s="32" t="inlineStr">
        <is>
          <t>geopolitics security, infrastructure ports, trade deals offtake</t>
        </is>
      </c>
      <c r="M376" s="31" t="inlineStr">
        <is>
          <t>negative</t>
        </is>
      </c>
      <c r="N376" s="31" t="inlineStr">
        <is>
          <t>positive</t>
        </is>
      </c>
      <c r="O376" s="32" t="inlineStr">
        <is>
          <t>They try to establish for themselves access to critical minerals, mining of any sort and gain these long-term contracts</t>
        </is>
      </c>
      <c r="P376" s="32" t="inlineStr">
        <is>
          <t>They try to establish for themselves access to critical minerals, mining of any sort and gain these long-term contracts</t>
        </is>
      </c>
      <c r="Q376" s="31" t="inlineStr">
        <is>
          <t>en</t>
        </is>
      </c>
      <c r="R376" s="33" t="inlineStr">
        <is>
          <t>IANS</t>
        </is>
      </c>
      <c r="S376" s="32" t="inlineStr">
        <is>
          <t>news media</t>
        </is>
      </c>
      <c r="T376" s="32" t="inlineStr">
        <is>
          <t>secondary reported</t>
        </is>
      </c>
      <c r="U376" s="32" t="inlineStr">
        <is>
          <t>'other' = Paraguay cited as example</t>
        </is>
      </c>
    </row>
    <row r="377" ht="45.75" customHeight="1" s="24">
      <c r="A377" s="31" t="inlineStr">
        <is>
          <t>PS-0355</t>
        </is>
      </c>
      <c r="B377" s="31" t="inlineStr">
        <is>
          <t>2026-06-08</t>
        </is>
      </c>
      <c r="C377" s="31" t="inlineStr">
        <is>
          <t>Bolivia</t>
        </is>
      </c>
      <c r="D377" s="31" t="inlineStr">
        <is>
          <t>Yes</t>
        </is>
      </c>
      <c r="E377" s="32" t="inlineStr">
        <is>
          <t>Evo Morales</t>
        </is>
      </c>
      <c r="F377" s="32" t="inlineStr">
        <is>
          <t>Former President of Bolivia</t>
        </is>
      </c>
      <c r="G377" s="32" t="inlineStr">
        <is>
          <t>Other (business, civil society, third countries)</t>
        </is>
      </c>
      <c r="H377" s="32" t="inlineStr">
        <is>
          <t>social media post</t>
        </is>
      </c>
      <c r="I377" s="32" t="inlineStr">
        <is>
          <t>Protests and blockades; US security cooperation with Paz government</t>
        </is>
      </c>
      <c r="J377" s="32" t="inlineStr">
        <is>
          <t>Morales said external interests in Bolivia are not focused on the country's development but on controlling its mineral wealth, amid US engagement with the Paz government.</t>
        </is>
      </c>
      <c r="K377" s="32" t="inlineStr">
        <is>
          <t>lithium, critical minerals general</t>
        </is>
      </c>
      <c r="L377" s="32" t="inlineStr">
        <is>
          <t>sovereignty, geopolitics security</t>
        </is>
      </c>
      <c r="M377" s="31" t="inlineStr">
        <is>
          <t>not mentioned</t>
        </is>
      </c>
      <c r="N377" s="31" t="inlineStr">
        <is>
          <t>negative</t>
        </is>
      </c>
      <c r="O377" s="32" t="inlineStr"/>
      <c r="P377" s="32" t="inlineStr"/>
      <c r="Q377" s="31" t="inlineStr">
        <is>
          <t>es</t>
        </is>
      </c>
      <c r="R377" s="33" t="inlineStr">
        <is>
          <t>Reporte Minero</t>
        </is>
      </c>
      <c r="S377" s="32" t="inlineStr">
        <is>
          <t>news media</t>
        </is>
      </c>
      <c r="T377" s="32" t="inlineStr">
        <is>
          <t>secondary reported</t>
        </is>
      </c>
      <c r="U377" s="32" t="inlineStr">
        <is>
          <t>Quote seen only in translation; channel (likely X post) and party label uncertain.</t>
        </is>
      </c>
    </row>
    <row r="378" ht="45.75" customHeight="1" s="24">
      <c r="A378" s="31" t="inlineStr">
        <is>
          <t>PS-0356</t>
        </is>
      </c>
      <c r="B378" s="31" t="inlineStr">
        <is>
          <t>2026-06-16</t>
        </is>
      </c>
      <c r="C378" s="31" t="inlineStr">
        <is>
          <t>Argentina</t>
        </is>
      </c>
      <c r="D378" s="31" t="inlineStr">
        <is>
          <t>Yes</t>
        </is>
      </c>
      <c r="E378" s="32" t="inlineStr">
        <is>
          <t>Luis Caputo</t>
        </is>
      </c>
      <c r="F378" s="32" t="inlineStr">
        <is>
          <t>Minister of Economy of Argentina</t>
        </is>
      </c>
      <c r="G378" s="32" t="inlineStr">
        <is>
          <t>LatAm executive</t>
        </is>
      </c>
      <c r="H378" s="32" t="inlineStr">
        <is>
          <t>social media post</t>
        </is>
      </c>
      <c r="I378" s="32" t="inlineStr">
        <is>
          <t>RIGI approval of Vicuña copper project</t>
        </is>
      </c>
      <c r="J378" s="32" t="inlineStr">
        <is>
          <t>Caputo announced on X that the RIGI committee approved BHP-Lundin's Vicuña copper project in San Juan, with an initial US$9.7bn commitment, projecting over US$2.6bn in annual exports and over 30,000 jobs.</t>
        </is>
      </c>
      <c r="K378" s="32" t="inlineStr">
        <is>
          <t>copper, silver</t>
        </is>
      </c>
      <c r="L378" s="32" t="inlineStr">
        <is>
          <t>foreign investment, labor social conflict</t>
        </is>
      </c>
      <c r="M378" s="31" t="inlineStr">
        <is>
          <t>not mentioned</t>
        </is>
      </c>
      <c r="N378" s="31" t="inlineStr">
        <is>
          <t>not mentioned</t>
        </is>
      </c>
      <c r="O378" s="32" t="inlineStr"/>
      <c r="P378" s="32" t="inlineStr"/>
      <c r="Q378" s="31" t="inlineStr">
        <is>
          <t>es</t>
        </is>
      </c>
      <c r="R378" s="33" t="inlineStr">
        <is>
          <t>EconoJournal</t>
        </is>
      </c>
      <c r="S378" s="32" t="inlineStr">
        <is>
          <t>news media</t>
        </is>
      </c>
      <c r="T378" s="32" t="inlineStr">
        <is>
          <t>secondary reported</t>
        </is>
      </c>
      <c r="U378" s="32" t="inlineStr">
        <is>
          <t>Largest mining investment in Argentine history per media.</t>
        </is>
      </c>
    </row>
    <row r="379" ht="45.75" customHeight="1" s="24">
      <c r="A379" s="31" t="inlineStr">
        <is>
          <t>PS-0357</t>
        </is>
      </c>
      <c r="B379" s="31" t="inlineStr">
        <is>
          <t>2026-06-16</t>
        </is>
      </c>
      <c r="C379" s="31" t="inlineStr">
        <is>
          <t>Peru</t>
        </is>
      </c>
      <c r="D379" s="31" t="inlineStr">
        <is>
          <t>Yes</t>
        </is>
      </c>
      <c r="E379" s="32" t="inlineStr">
        <is>
          <t>Waldir Ayasta Mechán</t>
        </is>
      </c>
      <c r="F379" s="32" t="inlineStr">
        <is>
          <t>Minister of Energy and Mines of Peru</t>
        </is>
      </c>
      <c r="G379" s="32" t="inlineStr">
        <is>
          <t>LatAm executive</t>
        </is>
      </c>
      <c r="H379" s="32" t="inlineStr">
        <is>
          <t>speech</t>
        </is>
      </c>
      <c r="I379" s="32" t="inlineStr">
        <is>
          <t>Inauguration of XVI CONAMIN, Trujillo</t>
        </is>
      </c>
      <c r="J379" s="32" t="inlineStr">
        <is>
          <t>Ayasta called mining a strategic activity driving investment, reporting copper output above 918,000 t and a 2026 portfolio of 66 projects worth over US$64 billion.</t>
        </is>
      </c>
      <c r="K379" s="32" t="inlineStr">
        <is>
          <t>copper, mining general</t>
        </is>
      </c>
      <c r="L379" s="32" t="inlineStr">
        <is>
          <t>foreign investment</t>
        </is>
      </c>
      <c r="M379" s="31" t="inlineStr">
        <is>
          <t>not mentioned</t>
        </is>
      </c>
      <c r="N379" s="31" t="inlineStr">
        <is>
          <t>not mentioned</t>
        </is>
      </c>
      <c r="O379" s="32" t="inlineStr"/>
      <c r="P379" s="32" t="inlineStr"/>
      <c r="Q379" s="31" t="inlineStr">
        <is>
          <t>es</t>
        </is>
      </c>
      <c r="R379" s="33" t="inlineStr">
        <is>
          <t>Minería &amp; Energía</t>
        </is>
      </c>
      <c r="S379" s="32" t="inlineStr">
        <is>
          <t>news media</t>
        </is>
      </c>
      <c r="T379" s="32" t="inlineStr">
        <is>
          <t>secondary reported</t>
        </is>
      </c>
      <c r="U379" s="32" t="inlineStr">
        <is>
          <t>Minister under President Balcázar</t>
        </is>
      </c>
    </row>
    <row r="380" ht="45.75" customHeight="1" s="24">
      <c r="A380" s="31" t="inlineStr">
        <is>
          <t>PS-0358</t>
        </is>
      </c>
      <c r="B380" s="31" t="inlineStr">
        <is>
          <t>2026-06-25</t>
        </is>
      </c>
      <c r="C380" s="31" t="inlineStr">
        <is>
          <t>Ecuador</t>
        </is>
      </c>
      <c r="D380" s="31" t="inlineStr">
        <is>
          <t>Yes</t>
        </is>
      </c>
      <c r="E380" s="32" t="inlineStr">
        <is>
          <t>Guillermo Flores</t>
        </is>
      </c>
      <c r="F380" s="32" t="inlineStr">
        <is>
          <t>Vice Minister of Mines of Ecuador</t>
        </is>
      </c>
      <c r="G380" s="32" t="inlineStr">
        <is>
          <t>LatAm executive</t>
        </is>
      </c>
      <c r="H380" s="32" t="inlineStr">
        <is>
          <t>interview</t>
        </is>
      </c>
      <c r="I380" s="32" t="inlineStr">
        <is>
          <t>Energy demand of new mines; Mirador phase II addendum</t>
        </is>
      </c>
      <c r="J380" s="32" t="inlineStr">
        <is>
          <t>The vice minister said an addendum enabling Mirador phase II should be signed that year and that new copper and gold mines, needing about 551 MW, would have to secure their own generation.</t>
        </is>
      </c>
      <c r="K380" s="32" t="inlineStr">
        <is>
          <t>copper</t>
        </is>
      </c>
      <c r="L380" s="32" t="inlineStr">
        <is>
          <t>infrastructure ports, foreign investment, energy transition</t>
        </is>
      </c>
      <c r="M380" s="31" t="inlineStr">
        <is>
          <t>neutral</t>
        </is>
      </c>
      <c r="N380" s="31" t="inlineStr">
        <is>
          <t>not mentioned</t>
        </is>
      </c>
      <c r="O380" s="32" t="inlineStr">
        <is>
          <t>Este mismo año ya deberíamos tener la adenda para que Mirador fase II pueda empezar.</t>
        </is>
      </c>
      <c r="P380" s="32" t="inlineStr">
        <is>
          <t>This very year we should have the addendum so that Mirador phase II can begin.</t>
        </is>
      </c>
      <c r="Q380" s="31" t="inlineStr">
        <is>
          <t>es</t>
        </is>
      </c>
      <c r="R380" s="33" t="inlineStr">
        <is>
          <t>Primicias</t>
        </is>
      </c>
      <c r="S380" s="32" t="inlineStr">
        <is>
          <t>news media</t>
        </is>
      </c>
      <c r="T380" s="32" t="inlineStr">
        <is>
          <t>secondary reported</t>
        </is>
      </c>
      <c r="U380" s="32" t="inlineStr">
        <is>
          <t>Interview 2026-06-25, published 2026-07-02; Flores left office 2026-07-01.</t>
        </is>
      </c>
    </row>
    <row r="381" ht="45.75" customHeight="1" s="24">
      <c r="A381" s="31" t="inlineStr">
        <is>
          <t>PS-0359</t>
        </is>
      </c>
      <c r="B381" s="31" t="inlineStr">
        <is>
          <t>2026-07</t>
        </is>
      </c>
      <c r="C381" s="31" t="inlineStr">
        <is>
          <t>Mexico</t>
        </is>
      </c>
      <c r="D381" s="31" t="inlineStr">
        <is>
          <t>No</t>
        </is>
      </c>
      <c r="E381" s="32" t="inlineStr">
        <is>
          <t>LitioMx</t>
        </is>
      </c>
      <c r="F381" s="32" t="inlineStr">
        <is>
          <t>State lithium company (Litio para México)</t>
        </is>
      </c>
      <c r="G381" s="32" t="inlineStr">
        <is>
          <t>LatAm state company</t>
        </is>
      </c>
      <c r="H381" s="32" t="inlineStr">
        <is>
          <t>decree or regulation</t>
        </is>
      </c>
      <c r="I381" s="32" t="inlineStr">
        <is>
          <t>2026-2030 LitioMx institutional program published in Diario Oficial</t>
        </is>
      </c>
      <c r="J381" s="32" t="inlineStr">
        <is>
          <t>The 2026-2030 institutional program of LitioMx, published in the official gazette, reaffirms that no concessions or permits will be granted for lithium, that LitioMx controls the value chain, and plans a small industrial battery-pack plant designed by 2029.</t>
        </is>
      </c>
      <c r="K381" s="32" t="inlineStr">
        <is>
          <t>lithium</t>
        </is>
      </c>
      <c r="L381" s="32" t="inlineStr">
        <is>
          <t>state control nationalization, value added industrialization, sovereignty</t>
        </is>
      </c>
      <c r="M381" s="31" t="inlineStr">
        <is>
          <t>not mentioned</t>
        </is>
      </c>
      <c r="N381" s="31" t="inlineStr">
        <is>
          <t>not mentioned</t>
        </is>
      </c>
      <c r="O381" s="32" t="inlineStr">
        <is>
          <t>El litio es patrimonio de la Nación y su exploración, explotación, beneficio y aprovechamiento se reserva en favor del pueblo de México</t>
        </is>
      </c>
      <c r="P381" s="32" t="inlineStr">
        <is>
          <t>Lithium is the patrimony of the Nation and its exploration, exploitation, processing and use are reserved for the people of Mexico</t>
        </is>
      </c>
      <c r="Q381" s="31" t="inlineStr">
        <is>
          <t>es</t>
        </is>
      </c>
      <c r="R381" s="33" t="inlineStr">
        <is>
          <t>El CEO</t>
        </is>
      </c>
      <c r="S381" s="32" t="inlineStr">
        <is>
          <t>news media</t>
        </is>
      </c>
      <c r="T381" s="32" t="inlineStr">
        <is>
          <t>secondary reported</t>
        </is>
      </c>
      <c r="U381" s="32" t="inlineStr">
        <is>
          <t>Reported 27 July 2026; exact DOF publication date not seen.</t>
        </is>
      </c>
    </row>
    <row r="382" ht="45.75" customHeight="1" s="24">
      <c r="A382" s="31" t="inlineStr">
        <is>
          <t>PS-0360</t>
        </is>
      </c>
      <c r="B382" s="31" t="inlineStr">
        <is>
          <t>2026-07-03</t>
        </is>
      </c>
      <c r="C382" s="31" t="inlineStr">
        <is>
          <t>Brazil</t>
        </is>
      </c>
      <c r="D382" s="31" t="inlineStr">
        <is>
          <t>Yes</t>
        </is>
      </c>
      <c r="E382" s="32" t="inlineStr">
        <is>
          <t>Alexandre Silveira</t>
        </is>
      </c>
      <c r="F382" s="32" t="inlineStr">
        <is>
          <t>Minister of Mines and Energy of Brazil</t>
        </is>
      </c>
      <c r="G382" s="32" t="inlineStr">
        <is>
          <t>LatAm executive</t>
        </is>
      </c>
      <c r="H382" s="32" t="inlineStr">
        <is>
          <t>press conference</t>
        </is>
      </c>
      <c r="I382" s="32" t="inlineStr">
        <is>
          <t>Signing of MME-Federal Police cooperation agreement, Belo Horizonte</t>
        </is>
      </c>
      <c r="J382" s="32" t="inlineStr">
        <is>
          <t>Silveira described critical minerals as the object of a huge China-US trade war in which China dominates the rare-earth chain and the US is catching up, and said Brazil should bring the production chain home so the US can produce more cheaply on Brazilian soil.</t>
        </is>
      </c>
      <c r="K382" s="32" t="inlineStr">
        <is>
          <t>rare earths, critical minerals general</t>
        </is>
      </c>
      <c r="L382" s="32" t="inlineStr">
        <is>
          <t>geopolitics security, value added industrialization, foreign investment</t>
        </is>
      </c>
      <c r="M382" s="31" t="inlineStr">
        <is>
          <t>neutral</t>
        </is>
      </c>
      <c r="N382" s="31" t="inlineStr">
        <is>
          <t>positive</t>
        </is>
      </c>
      <c r="O382" s="32" t="inlineStr">
        <is>
          <t>Os Estados Unidos, se quiserem produzir com custos melhores, vão produzir em solo brasileiro.</t>
        </is>
      </c>
      <c r="P382" s="32" t="inlineStr">
        <is>
          <t>The United States, if it wants to produce at better costs, will produce on Brazilian soil.</t>
        </is>
      </c>
      <c r="Q382" s="31" t="inlineStr">
        <is>
          <t>pt</t>
        </is>
      </c>
      <c r="R382" s="33" t="inlineStr">
        <is>
          <t>SBT News</t>
        </is>
      </c>
      <c r="S382" s="32" t="inlineStr">
        <is>
          <t>news media</t>
        </is>
      </c>
      <c r="T382" s="32" t="inlineStr">
        <is>
          <t>secondary reported</t>
        </is>
      </c>
      <c r="U382" s="32" t="inlineStr">
        <is>
          <t>Also reported by Poder360 (3 Jul 2026) with slightly different wording</t>
        </is>
      </c>
    </row>
    <row r="383" ht="45.75" customHeight="1" s="24">
      <c r="A383" s="31" t="inlineStr">
        <is>
          <t>PS-0361</t>
        </is>
      </c>
      <c r="B383" s="31" t="inlineStr">
        <is>
          <t>2026-07-07</t>
        </is>
      </c>
      <c r="C383" s="31" t="inlineStr">
        <is>
          <t>Peru</t>
        </is>
      </c>
      <c r="D383" s="31" t="inlineStr">
        <is>
          <t>Yes</t>
        </is>
      </c>
      <c r="E383" s="32" t="inlineStr">
        <is>
          <t>José María Balcázar</t>
        </is>
      </c>
      <c r="F383" s="32" t="inlineStr">
        <is>
          <t>President of Peru (interim)</t>
        </is>
      </c>
      <c r="G383" s="32" t="inlineStr">
        <is>
          <t>LatAm executive</t>
        </is>
      </c>
      <c r="H383" s="32" t="inlineStr">
        <is>
          <t>speech</t>
        </is>
      </c>
      <c r="I383" s="32" t="inlineStr">
        <is>
          <t>Opening of 1st International Uranium and Lithium Forum</t>
        </is>
      </c>
      <c r="J383" s="32" t="inlineStr">
        <is>
          <t>Balcázar said lithium could become a key driver of Peru's development including battery manufacturing, and called for companies contributing to an inclusive economy rather than purely extractive models, via public-private partnerships.</t>
        </is>
      </c>
      <c r="K383" s="32" t="inlineStr">
        <is>
          <t>lithium</t>
        </is>
      </c>
      <c r="L383" s="32" t="inlineStr">
        <is>
          <t>value added industrialization, foreign investment</t>
        </is>
      </c>
      <c r="M383" s="31" t="inlineStr">
        <is>
          <t>not mentioned</t>
        </is>
      </c>
      <c r="N383" s="31" t="inlineStr">
        <is>
          <t>not mentioned</t>
        </is>
      </c>
      <c r="O383" s="32" t="inlineStr">
        <is>
          <t>Lithium can become one of the country's key driving forces, given its growing role in national life, industry, and large-scale battery manufacturing.</t>
        </is>
      </c>
      <c r="P383" s="32" t="inlineStr">
        <is>
          <t>Lithium can become one of the country's key driving forces, given its growing role in national life, industry, and large-scale battery manufacturing.</t>
        </is>
      </c>
      <c r="Q383" s="31" t="inlineStr">
        <is>
          <t>en</t>
        </is>
      </c>
      <c r="R383" s="33" t="inlineStr">
        <is>
          <t>Andina</t>
        </is>
      </c>
      <c r="S383" s="32" t="inlineStr">
        <is>
          <t>primary official</t>
        </is>
      </c>
      <c r="T383" s="32" t="inlineStr">
        <is>
          <t>primary verified</t>
        </is>
      </c>
      <c r="U383" s="32" t="inlineStr">
        <is>
          <t>Official English translation by state agency</t>
        </is>
      </c>
    </row>
    <row r="384" ht="45.75" customHeight="1" s="24">
      <c r="A384" s="31" t="inlineStr">
        <is>
          <t>PS-0362</t>
        </is>
      </c>
      <c r="B384" s="31" t="inlineStr">
        <is>
          <t>2026-07-13</t>
        </is>
      </c>
      <c r="C384" s="31" t="inlineStr">
        <is>
          <t>Chile</t>
        </is>
      </c>
      <c r="D384" s="31" t="inlineStr">
        <is>
          <t>Yes</t>
        </is>
      </c>
      <c r="E384" s="32" t="inlineStr">
        <is>
          <t>Bernardo Fontaine</t>
        </is>
      </c>
      <c r="F384" s="32" t="inlineStr">
        <is>
          <t>Chairman of Codelco</t>
        </is>
      </c>
      <c r="G384" s="32" t="inlineStr">
        <is>
          <t>LatAm state company</t>
        </is>
      </c>
      <c r="H384" s="32" t="inlineStr">
        <is>
          <t>official statement</t>
        </is>
      </c>
      <c r="I384" s="32" t="inlineStr">
        <is>
          <t>Appointment of Jorge Gómez as Codelco CEO</t>
        </is>
      </c>
      <c r="J384" s="32" t="inlineStr">
        <is>
          <t>Announcing the new CEO, Fontaine acknowledged weak results and production below estimates for seven years, confirming a strategic shift toward margins over expansion.</t>
        </is>
      </c>
      <c r="K384" s="32" t="inlineStr">
        <is>
          <t>copper</t>
        </is>
      </c>
      <c r="L384" s="32" t="inlineStr">
        <is>
          <t>corruption governance</t>
        </is>
      </c>
      <c r="M384" s="31" t="inlineStr">
        <is>
          <t>not mentioned</t>
        </is>
      </c>
      <c r="N384" s="31" t="inlineStr">
        <is>
          <t>not mentioned</t>
        </is>
      </c>
      <c r="O384" s="32" t="inlineStr">
        <is>
          <t>Nuestros resultados han sido débiles, y la producción ha caído por debajo de las estimaciones durante los últimos siete años</t>
        </is>
      </c>
      <c r="P384" s="32" t="inlineStr">
        <is>
          <t>Our results have been weak, and production has fallen below estimates for the last seven years</t>
        </is>
      </c>
      <c r="Q384" s="31" t="inlineStr">
        <is>
          <t>es</t>
        </is>
      </c>
      <c r="R384" s="33" t="inlineStr">
        <is>
          <t>Reporte Minero</t>
        </is>
      </c>
      <c r="S384" s="32" t="inlineStr">
        <is>
          <t>news media</t>
        </is>
      </c>
      <c r="T384" s="32" t="inlineStr">
        <is>
          <t>secondary reported</t>
        </is>
      </c>
      <c r="U384" s="32" t="inlineStr"/>
    </row>
    <row r="385" ht="45.75" customHeight="1" s="24">
      <c r="A385" s="31" t="inlineStr">
        <is>
          <t>PS-0363</t>
        </is>
      </c>
      <c r="B385" s="31" t="inlineStr">
        <is>
          <t>2026-07-14</t>
        </is>
      </c>
      <c r="C385" s="31" t="inlineStr">
        <is>
          <t>Regional</t>
        </is>
      </c>
      <c r="D385" s="31" t="inlineStr">
        <is>
          <t>No</t>
        </is>
      </c>
      <c r="E385" s="32" t="inlineStr">
        <is>
          <t>Michael Kozak</t>
        </is>
      </c>
      <c r="F385" s="32" t="inlineStr">
        <is>
          <t>Senior Bureau Official, Bureau of Western Hemisphere Affairs, U.S. Department of State</t>
        </is>
      </c>
      <c r="G385" s="32" t="inlineStr">
        <is>
          <t>United States</t>
        </is>
      </c>
      <c r="H385" s="32" t="inlineStr">
        <is>
          <t>legislative debate</t>
        </is>
      </c>
      <c r="I385" s="32" t="inlineStr">
        <is>
          <t>SFRC Western Hemisphere subcommittee hearing 'The National Security Strategy and the Western Hemisphere'</t>
        </is>
      </c>
      <c r="J385" s="32" t="inlineStr">
        <is>
          <t>Kozak told senators the US had signed seven cooperative critical-minerals MOUs in the hemisphere to speed resource development and was pushing US and allied firms into critical infrastructure to push out competitors; he also accused China of economic retaliation against Panama.</t>
        </is>
      </c>
      <c r="K385" s="32" t="inlineStr">
        <is>
          <t>critical minerals general</t>
        </is>
      </c>
      <c r="L385" s="32" t="inlineStr">
        <is>
          <t>foreign investment, infrastructure ports, geopolitics security, diplomatic relations</t>
        </is>
      </c>
      <c r="M385" s="31" t="inlineStr">
        <is>
          <t>negative</t>
        </is>
      </c>
      <c r="N385" s="31" t="inlineStr">
        <is>
          <t>positive</t>
        </is>
      </c>
      <c r="O385" s="32" t="inlineStr">
        <is>
          <t>On critical minerals, we have signed seven cooperative MOUs that will speed up resource development.</t>
        </is>
      </c>
      <c r="P385" s="32" t="inlineStr">
        <is>
          <t>On critical minerals, we have signed seven cooperative MOUs that will speed up resource development.</t>
        </is>
      </c>
      <c r="Q385" s="31" t="inlineStr">
        <is>
          <t>en</t>
        </is>
      </c>
      <c r="R385" s="33" t="inlineStr">
        <is>
          <t>U.S. Senate Foreign Relations Committee (written testimony)</t>
        </is>
      </c>
      <c r="S385" s="32" t="inlineStr">
        <is>
          <t>legislative record</t>
        </is>
      </c>
      <c r="T385" s="32" t="inlineStr">
        <is>
          <t>primary verified</t>
        </is>
      </c>
      <c r="U385" s="32" t="inlineStr">
        <is>
          <t>Countries of the seven MOUs not named in testimony.</t>
        </is>
      </c>
    </row>
    <row r="386" ht="45.75" customHeight="1" s="24">
      <c r="A386" s="31" t="inlineStr">
        <is>
          <t>PS-0364</t>
        </is>
      </c>
      <c r="B386" s="31" t="inlineStr">
        <is>
          <t>2026-07-24</t>
        </is>
      </c>
      <c r="C386" s="31" t="inlineStr">
        <is>
          <t>Ecuador</t>
        </is>
      </c>
      <c r="D386" s="31" t="inlineStr">
        <is>
          <t>Yes</t>
        </is>
      </c>
      <c r="E386" s="32" t="inlineStr">
        <is>
          <t>Office of the US Trade Representative</t>
        </is>
      </c>
      <c r="F386" s="32" t="inlineStr">
        <is>
          <t>US Trade Representative</t>
        </is>
      </c>
      <c r="G386" s="32" t="inlineStr">
        <is>
          <t>United States</t>
        </is>
      </c>
      <c r="H386" s="32" t="inlineStr">
        <is>
          <t>decree or regulation</t>
        </is>
      </c>
      <c r="I386" s="32" t="inlineStr">
        <is>
          <t>New 10% tariff on Ecuador with exemptions</t>
        </is>
      </c>
      <c r="J386" s="32" t="inlineStr">
        <is>
          <t>The USTR imposed a 10% surcharge on Ecuadorian goods but exempted products including copper, nickel, zinc, silver, manganese and other minerals, in line with the March 2026 reciprocal trade agreement.</t>
        </is>
      </c>
      <c r="K386" s="32" t="inlineStr">
        <is>
          <t>copper, nickel, zinc, silver, manganese, iron ore, critical minerals general</t>
        </is>
      </c>
      <c r="L386" s="32" t="inlineStr">
        <is>
          <t>tariffs trade policy, trade deals offtake</t>
        </is>
      </c>
      <c r="M386" s="31" t="inlineStr">
        <is>
          <t>not mentioned</t>
        </is>
      </c>
      <c r="N386" s="31" t="inlineStr">
        <is>
          <t>positive</t>
        </is>
      </c>
      <c r="O386" s="32" t="inlineStr"/>
      <c r="P386" s="32" t="inlineStr"/>
      <c r="Q386" s="31" t="inlineStr">
        <is>
          <t>en</t>
        </is>
      </c>
      <c r="R386" s="33" t="inlineStr">
        <is>
          <t>Primicias</t>
        </is>
      </c>
      <c r="S386" s="32" t="inlineStr">
        <is>
          <t>news media</t>
        </is>
      </c>
      <c r="T386" s="32" t="inlineStr">
        <is>
          <t>secondary reported</t>
        </is>
      </c>
      <c r="U386" s="32" t="inlineStr">
        <is>
          <t>stance_us is the US speaker toward itself; trivially positive.</t>
        </is>
      </c>
    </row>
    <row r="387" ht="45.75" customHeight="1" s="24">
      <c r="A387" s="31" t="inlineStr">
        <is>
          <t>PS-0365</t>
        </is>
      </c>
      <c r="B387" s="31" t="inlineStr">
        <is>
          <t>2026-07-28</t>
        </is>
      </c>
      <c r="C387" s="31" t="inlineStr">
        <is>
          <t>Colombia</t>
        </is>
      </c>
      <c r="D387" s="31" t="inlineStr">
        <is>
          <t>Yes</t>
        </is>
      </c>
      <c r="E387" s="32" t="inlineStr">
        <is>
          <t>Edwin Palma</t>
        </is>
      </c>
      <c r="F387" s="32" t="inlineStr">
        <is>
          <t>Minister of Mines and Energy of Colombia</t>
        </is>
      </c>
      <c r="G387" s="32" t="inlineStr">
        <is>
          <t>LatAm executive</t>
        </is>
      </c>
      <c r="H387" s="32" t="inlineStr">
        <is>
          <t>bill or law</t>
        </is>
      </c>
      <c r="I387" s="32" t="inlineStr">
        <is>
          <t>Filing of new mining law bill in Congress</t>
        </is>
      </c>
      <c r="J387" s="32" t="inlineStr">
        <is>
          <t>The Petro government filed a bill to replace the mining framework, strengthening state control of the subsoil and strategic-minerals planning, adding water protections and a formalization regime for small-scale and ethnic miners; Palma urged Congress to pass it.</t>
        </is>
      </c>
      <c r="K387" s="32" t="inlineStr">
        <is>
          <t>critical minerals general, mining general</t>
        </is>
      </c>
      <c r="L387" s="32" t="inlineStr">
        <is>
          <t>state control nationalization, sovereignty, energy transition, value added industrialization, environment water, indigenous community rights</t>
        </is>
      </c>
      <c r="M387" s="31" t="inlineStr">
        <is>
          <t>not mentioned</t>
        </is>
      </c>
      <c r="N387" s="31" t="inlineStr">
        <is>
          <t>not mentioned</t>
        </is>
      </c>
      <c r="O387" s="32" t="inlineStr">
        <is>
          <t>Hacemos un llamado de urgencia para que este proyecto avance en el Congreso, es fundamental para la planeación minera y ambiental</t>
        </is>
      </c>
      <c r="P387" s="32" t="inlineStr">
        <is>
          <t>We urgently call for this bill to advance in Congress; it is fundamental for mining and environmental planning</t>
        </is>
      </c>
      <c r="Q387" s="31" t="inlineStr">
        <is>
          <t>es</t>
        </is>
      </c>
      <c r="R387" s="33" t="inlineStr">
        <is>
          <t>Ministerio de Minas y Energía de Colombia</t>
        </is>
      </c>
      <c r="S387" s="32" t="inlineStr">
        <is>
          <t>primary official</t>
        </is>
      </c>
      <c r="T387" s="32" t="inlineStr">
        <is>
          <t>primary verified</t>
        </is>
      </c>
      <c r="U387" s="32" t="inlineStr">
        <is>
          <t>Filed ~10 days before end of Petro's term (7 Aug 2026).</t>
        </is>
      </c>
    </row>
    <row r="388" ht="45.75" customHeight="1" s="24">
      <c r="A388" s="31" t="inlineStr">
        <is>
          <t>PS-0366</t>
        </is>
      </c>
      <c r="B388" s="31" t="inlineStr">
        <is>
          <t>2026-07-28</t>
        </is>
      </c>
      <c r="C388" s="31" t="inlineStr">
        <is>
          <t>Peru</t>
        </is>
      </c>
      <c r="D388" s="31" t="inlineStr">
        <is>
          <t>Yes</t>
        </is>
      </c>
      <c r="E388" s="32" t="inlineStr">
        <is>
          <t>Keiko Fujimori</t>
        </is>
      </c>
      <c r="F388" s="32" t="inlineStr">
        <is>
          <t>President of Peru</t>
        </is>
      </c>
      <c r="G388" s="32" t="inlineStr">
        <is>
          <t>LatAm executive</t>
        </is>
      </c>
      <c r="H388" s="32" t="inlineStr">
        <is>
          <t>speech</t>
        </is>
      </c>
      <c r="I388" s="32" t="inlineStr">
        <is>
          <t>Inaugural address to Congress</t>
        </is>
      </c>
      <c r="J388" s="32" t="inlineStr">
        <is>
          <t>In her inaugural speech Fujimori pledged to go after national and international mafias financing extortion, contract killing, drug trafficking and illegal mining, with the armed forces temporarily leading security operations.</t>
        </is>
      </c>
      <c r="K388" s="32" t="inlineStr">
        <is>
          <t>mining general</t>
        </is>
      </c>
      <c r="L388" s="32" t="inlineStr">
        <is>
          <t>geopolitics security, corruption governance</t>
        </is>
      </c>
      <c r="M388" s="31" t="inlineStr">
        <is>
          <t>not mentioned</t>
        </is>
      </c>
      <c r="N388" s="31" t="inlineStr">
        <is>
          <t>not mentioned</t>
        </is>
      </c>
      <c r="O388" s="32" t="inlineStr">
        <is>
          <t>Iremos tras las mafias nacionales e internacionales que financian la extorsión, el sicariato, el narcotráfico y la minería ilegal</t>
        </is>
      </c>
      <c r="P388" s="32" t="inlineStr">
        <is>
          <t>We will go after the national and international mafias that finance extortion, contract killings, drug trafficking and illegal mining</t>
        </is>
      </c>
      <c r="Q388" s="31" t="inlineStr">
        <is>
          <t>es</t>
        </is>
      </c>
      <c r="R388" s="33" t="inlineStr">
        <is>
          <t>Los Andes (Argentina)</t>
        </is>
      </c>
      <c r="S388" s="32" t="inlineStr">
        <is>
          <t>news media</t>
        </is>
      </c>
      <c r="T388" s="32" t="inlineStr">
        <is>
          <t>secondary reported</t>
        </is>
      </c>
      <c r="U388" s="32" t="inlineStr"/>
    </row>
    <row r="389" ht="45.75" customHeight="1" s="24">
      <c r="A389" s="31" t="inlineStr">
        <is>
          <t>PS-0367</t>
        </is>
      </c>
      <c r="B389" s="31" t="inlineStr">
        <is>
          <t>2026-08</t>
        </is>
      </c>
      <c r="C389" s="31" t="inlineStr">
        <is>
          <t>Peru</t>
        </is>
      </c>
      <c r="D389" s="31" t="inlineStr">
        <is>
          <t>Yes</t>
        </is>
      </c>
      <c r="E389" s="32" t="inlineStr">
        <is>
          <t>Luis Galarreta</t>
        </is>
      </c>
      <c r="F389" s="32" t="inlineStr">
        <is>
          <t>President of the Council of Ministers of Peru</t>
        </is>
      </c>
      <c r="G389" s="32" t="inlineStr">
        <is>
          <t>LatAm executive</t>
        </is>
      </c>
      <c r="H389" s="32" t="inlineStr">
        <is>
          <t>legislative debate</t>
        </is>
      </c>
      <c r="I389" s="32" t="inlineStr">
        <is>
          <t>Cabinet investiture presentation to Congress</t>
        </is>
      </c>
      <c r="J389" s="32" t="inlineStr">
        <is>
          <t>Galarreta told Congress the government aims to unlock more than US$33 billion in mining investment over five years and to activate Peru's dormant free-trade pact with Hong Kong before year-end.</t>
        </is>
      </c>
      <c r="K389" s="32" t="inlineStr">
        <is>
          <t>mining general</t>
        </is>
      </c>
      <c r="L389" s="32" t="inlineStr">
        <is>
          <t>foreign investment, trade deals offtake</t>
        </is>
      </c>
      <c r="M389" s="31" t="inlineStr">
        <is>
          <t>not mentioned</t>
        </is>
      </c>
      <c r="N389" s="31" t="inlineStr">
        <is>
          <t>not mentioned</t>
        </is>
      </c>
      <c r="O389" s="32" t="inlineStr"/>
      <c r="P389" s="32" t="inlineStr"/>
      <c r="Q389" s="31" t="inlineStr">
        <is>
          <t>en</t>
        </is>
      </c>
      <c r="R389" s="33" t="inlineStr">
        <is>
          <t>Latin Times</t>
        </is>
      </c>
      <c r="S389" s="32" t="inlineStr">
        <is>
          <t>news media</t>
        </is>
      </c>
      <c r="T389" s="32" t="inlineStr">
        <is>
          <t>secondary reported</t>
        </is>
      </c>
      <c r="U389" s="32" t="inlineStr">
        <is>
          <t>Exact date not given; figure reported in paraphrase</t>
        </is>
      </c>
    </row>
    <row r="390" ht="45.75" customHeight="1" s="24">
      <c r="A390" s="31" t="inlineStr">
        <is>
          <t>PS-0405</t>
        </is>
      </c>
      <c r="B390" s="31" t="inlineStr">
        <is>
          <t>2026-08-01</t>
        </is>
      </c>
      <c r="C390" s="31" t="inlineStr">
        <is>
          <t>Paraguay</t>
        </is>
      </c>
      <c r="D390" s="31" t="inlineStr">
        <is>
          <t>Yes</t>
        </is>
      </c>
      <c r="E390" s="32" t="inlineStr">
        <is>
          <t>Mauricio Bejarano</t>
        </is>
      </c>
      <c r="F390" s="32" t="inlineStr">
        <is>
          <t>Vice Minister of Mines and Energy</t>
        </is>
      </c>
      <c r="G390" s="32" t="inlineStr">
        <is>
          <t>LatAm executive</t>
        </is>
      </c>
      <c r="H390" s="32" t="inlineStr">
        <is>
          <t>interview</t>
        </is>
      </c>
      <c r="I390" s="32" t="inlineStr">
        <is>
          <t>Radio Monumental 1080 AM interview on rare-earth prospects</t>
        </is>
      </c>
      <c r="J390" s="32" t="inlineStr">
        <is>
          <t>Bejarano said there are indications of rare earths in Paraguay, based on a laboratory study from the 1980s, but that the country is still far from an exploration that would show whether the volume is profitable.</t>
        </is>
      </c>
      <c r="K390" s="32" t="inlineStr">
        <is>
          <t>rare earths</t>
        </is>
      </c>
      <c r="L390" s="32" t="inlineStr">
        <is>
          <t>foreign investment</t>
        </is>
      </c>
      <c r="M390" s="31" t="inlineStr">
        <is>
          <t>not mentioned</t>
        </is>
      </c>
      <c r="N390" s="31" t="inlineStr">
        <is>
          <t>not mentioned</t>
        </is>
      </c>
      <c r="O390" s="32" t="inlineStr">
        <is>
          <t>todavía estamos distantes de que se lleve adelante una exploración que determine si tenemos realmente un volumen rentable</t>
        </is>
      </c>
      <c r="P390" s="32" t="inlineStr">
        <is>
          <t>we are still far from carrying out an exploration that determines whether we really have a profitable volume</t>
        </is>
      </c>
      <c r="Q390" s="31" t="inlineStr">
        <is>
          <t>es</t>
        </is>
      </c>
      <c r="R390" s="33" t="inlineStr">
        <is>
          <t>Última Hora</t>
        </is>
      </c>
      <c r="S390" s="32" t="inlineStr">
        <is>
          <t>news media</t>
        </is>
      </c>
      <c r="T390" s="32" t="inlineStr">
        <is>
          <t>secondary reported</t>
        </is>
      </c>
      <c r="U390" s="32" t="inlineStr">
        <is>
          <t>Coded by an AI session (2026-10-09) under the README vocabularies, from web-search results that cite the page; the page itself was not opened. Date of the article; the radio interview may be a day earlier.</t>
        </is>
      </c>
    </row>
    <row r="391" ht="45.75" customHeight="1" s="24">
      <c r="A391" s="31" t="inlineStr">
        <is>
          <t>PS-0368</t>
        </is>
      </c>
      <c r="B391" s="31" t="inlineStr">
        <is>
          <t>2026-08-13</t>
        </is>
      </c>
      <c r="C391" s="31" t="inlineStr">
        <is>
          <t>Ecuador</t>
        </is>
      </c>
      <c r="D391" s="31" t="inlineStr">
        <is>
          <t>Yes</t>
        </is>
      </c>
      <c r="E391" s="32" t="inlineStr">
        <is>
          <t>Galo Andrés García Medina</t>
        </is>
      </c>
      <c r="F391" s="32" t="inlineStr">
        <is>
          <t>Vice Minister of Mines of Ecuador</t>
        </is>
      </c>
      <c r="G391" s="32" t="inlineStr">
        <is>
          <t>LatAm executive</t>
        </is>
      </c>
      <c r="H391" s="32" t="inlineStr">
        <is>
          <t>decree or regulation</t>
        </is>
      </c>
      <c r="I391" s="32" t="inlineStr">
        <is>
          <t>Acuerdo MAE-VM-2026-0001-AM on prior controls of mineral exports to China</t>
        </is>
      </c>
      <c r="J391" s="32" t="inlineStr">
        <is>
          <t>Ecuador imposed prior controls to determine grade and purity on all sales and exports of processed mineral material bound for China, which took 95% of copper concentrate exports in H1 2026, to protect state revenues.</t>
        </is>
      </c>
      <c r="K391" s="32" t="inlineStr">
        <is>
          <t>copper, mining general</t>
        </is>
      </c>
      <c r="L391" s="32" t="inlineStr">
        <is>
          <t>royalties taxation, trade deals offtake, corruption governance</t>
        </is>
      </c>
      <c r="M391" s="31" t="inlineStr">
        <is>
          <t>mixed</t>
        </is>
      </c>
      <c r="N391" s="31" t="inlineStr">
        <is>
          <t>not mentioned</t>
        </is>
      </c>
      <c r="O391" s="32" t="inlineStr">
        <is>
          <t>proteger los ingresos que corresponden al Estado</t>
        </is>
      </c>
      <c r="P391" s="32" t="inlineStr">
        <is>
          <t>protect the revenues that belong to the State</t>
        </is>
      </c>
      <c r="Q391" s="31" t="inlineStr">
        <is>
          <t>es</t>
        </is>
      </c>
      <c r="R391" s="33" t="inlineStr">
        <is>
          <t>Primicias</t>
        </is>
      </c>
      <c r="S391" s="32" t="inlineStr">
        <is>
          <t>news media</t>
        </is>
      </c>
      <c r="T391" s="32" t="inlineStr">
        <is>
          <t>secondary reported</t>
        </is>
      </c>
      <c r="U391" s="32" t="inlineStr">
        <is>
          <t>Ministerial agreement signed 2026-08-13; reported 2026-08-14.</t>
        </is>
      </c>
    </row>
    <row r="392" ht="45.75" customHeight="1" s="24">
      <c r="A392" s="31" t="inlineStr">
        <is>
          <t>PS-0369</t>
        </is>
      </c>
      <c r="B392" s="31" t="inlineStr">
        <is>
          <t>2026-08-18</t>
        </is>
      </c>
      <c r="C392" s="31" t="inlineStr">
        <is>
          <t>Brazil</t>
        </is>
      </c>
      <c r="D392" s="31" t="inlineStr">
        <is>
          <t>Yes</t>
        </is>
      </c>
      <c r="E392" s="32" t="inlineStr">
        <is>
          <t>Aloizio Mercadante</t>
        </is>
      </c>
      <c r="F392" s="32" t="inlineStr">
        <is>
          <t>President of BNDES</t>
        </is>
      </c>
      <c r="G392" s="32" t="inlineStr">
        <is>
          <t>LatAm executive</t>
        </is>
      </c>
      <c r="H392" s="32" t="inlineStr">
        <is>
          <t>speech</t>
        </is>
      </c>
      <c r="I392" s="32" t="inlineStr">
        <is>
          <t>Conference 'Destravando o Potencial da Mineração no Brasil', Brasília</t>
        </is>
      </c>
      <c r="J392" s="32" t="inlineStr">
        <is>
          <t>BNDES president Mercadante said it was time to bring Petrobras into mining, particularly rare earths, called for more creative public-private partnerships, and pressed for a new cave-classification decree to unblock mining projects.</t>
        </is>
      </c>
      <c r="K392" s="32" t="inlineStr">
        <is>
          <t>rare earths, iron ore, mining general</t>
        </is>
      </c>
      <c r="L392" s="32" t="inlineStr">
        <is>
          <t>state control nationalization, financing credit</t>
        </is>
      </c>
      <c r="M392" s="31" t="inlineStr">
        <is>
          <t>not mentioned</t>
        </is>
      </c>
      <c r="N392" s="31" t="inlineStr">
        <is>
          <t>not mentioned</t>
        </is>
      </c>
      <c r="O392" s="32" t="inlineStr">
        <is>
          <t>está na hora de trazer a Petrobras à discussão sobre terras raras</t>
        </is>
      </c>
      <c r="P392" s="32" t="inlineStr">
        <is>
          <t>it is time to bring Petrobras into the discussion on rare earths</t>
        </is>
      </c>
      <c r="Q392" s="31" t="inlineStr">
        <is>
          <t>pt</t>
        </is>
      </c>
      <c r="R392" s="33" t="inlineStr">
        <is>
          <t>eixos (Estadão Conteúdo)</t>
        </is>
      </c>
      <c r="S392" s="32" t="inlineStr">
        <is>
          <t>news media</t>
        </is>
      </c>
      <c r="T392" s="32" t="inlineStr">
        <is>
          <t>secondary reported</t>
        </is>
      </c>
      <c r="U392" s="32" t="inlineStr">
        <is>
          <t>Quote may be headline paraphrase</t>
        </is>
      </c>
    </row>
    <row r="393" ht="45.75" customHeight="1" s="24">
      <c r="A393" s="31" t="inlineStr">
        <is>
          <t>PS-0370</t>
        </is>
      </c>
      <c r="B393" s="31" t="inlineStr">
        <is>
          <t>2026-08-18</t>
        </is>
      </c>
      <c r="C393" s="31" t="inlineStr">
        <is>
          <t>Ecuador</t>
        </is>
      </c>
      <c r="D393" s="31" t="inlineStr">
        <is>
          <t>Yes</t>
        </is>
      </c>
      <c r="E393" s="32" t="inlineStr">
        <is>
          <t>ENAMI EP</t>
        </is>
      </c>
      <c r="F393" s="32" t="inlineStr">
        <is>
          <t>Empresa Nacional Minera of Ecuador</t>
        </is>
      </c>
      <c r="G393" s="32" t="inlineStr">
        <is>
          <t>LatAm state company</t>
        </is>
      </c>
      <c r="H393" s="32" t="inlineStr">
        <is>
          <t>official statement</t>
        </is>
      </c>
      <c r="I393" s="32" t="inlineStr">
        <is>
          <t>Call for studies for mineral processing plant and metals refinery</t>
        </is>
      </c>
      <c r="J393" s="32" t="inlineStr">
        <is>
          <t>State miner ENAMI opened a call for national and international firms to prepare technical studies for a mineral processing plant and a metals refinery.</t>
        </is>
      </c>
      <c r="K393" s="32" t="inlineStr">
        <is>
          <t>copper, mining general</t>
        </is>
      </c>
      <c r="L393" s="32" t="inlineStr">
        <is>
          <t>processing refining, value added industrialization</t>
        </is>
      </c>
      <c r="M393" s="31" t="inlineStr">
        <is>
          <t>not mentioned</t>
        </is>
      </c>
      <c r="N393" s="31" t="inlineStr">
        <is>
          <t>not mentioned</t>
        </is>
      </c>
      <c r="O393" s="32" t="inlineStr">
        <is>
          <t>Se considerará la experiencia tanto en procesamiento de minerales como en refinación de metales</t>
        </is>
      </c>
      <c r="P393" s="32" t="inlineStr">
        <is>
          <t>Experience in both mineral processing and metal refining will be considered</t>
        </is>
      </c>
      <c r="Q393" s="31" t="inlineStr">
        <is>
          <t>es</t>
        </is>
      </c>
      <c r="R393" s="33" t="inlineStr">
        <is>
          <t>Primicias</t>
        </is>
      </c>
      <c r="S393" s="32" t="inlineStr">
        <is>
          <t>news media</t>
        </is>
      </c>
      <c r="T393" s="32" t="inlineStr">
        <is>
          <t>secondary reported</t>
        </is>
      </c>
      <c r="U393" s="32" t="inlineStr"/>
    </row>
    <row r="394" ht="45.75" customHeight="1" s="24">
      <c r="A394" s="31" t="inlineStr">
        <is>
          <t>PS-0371</t>
        </is>
      </c>
      <c r="B394" s="31" t="inlineStr">
        <is>
          <t>2026-08-27</t>
        </is>
      </c>
      <c r="C394" s="31" t="inlineStr">
        <is>
          <t>Chile</t>
        </is>
      </c>
      <c r="D394" s="31" t="inlineStr">
        <is>
          <t>Yes</t>
        </is>
      </c>
      <c r="E394" s="32" t="inlineStr">
        <is>
          <t>José Antonio Kast</t>
        </is>
      </c>
      <c r="F394" s="32" t="inlineStr">
        <is>
          <t>President of Chile</t>
        </is>
      </c>
      <c r="G394" s="32" t="inlineStr">
        <is>
          <t>LatAm executive</t>
        </is>
      </c>
      <c r="H394" s="32" t="inlineStr">
        <is>
          <t>interview</t>
        </is>
      </c>
      <c r="I394" s="32" t="inlineStr">
        <is>
          <t>Remarks on Codelco's situation</t>
        </is>
      </c>
      <c r="J394" s="32" t="inlineStr">
        <is>
          <t>Kast said Codelco is important but needs to put its house in order, adding that its problems were a long-running responsibility not attributable to one or two governments.</t>
        </is>
      </c>
      <c r="K394" s="32" t="inlineStr">
        <is>
          <t>copper</t>
        </is>
      </c>
      <c r="L394" s="32" t="inlineStr">
        <is>
          <t>corruption governance, state control nationalization</t>
        </is>
      </c>
      <c r="M394" s="31" t="inlineStr">
        <is>
          <t>not mentioned</t>
        </is>
      </c>
      <c r="N394" s="31" t="inlineStr">
        <is>
          <t>not mentioned</t>
        </is>
      </c>
      <c r="O394" s="32" t="inlineStr">
        <is>
          <t>Codelco sí es una empresa importante, pero hay que ordenar la casa</t>
        </is>
      </c>
      <c r="P394" s="32" t="inlineStr">
        <is>
          <t>Codelco is indeed an important company, but the house must be put in order</t>
        </is>
      </c>
      <c r="Q394" s="31" t="inlineStr">
        <is>
          <t>es</t>
        </is>
      </c>
      <c r="R394" s="33" t="inlineStr">
        <is>
          <t>Energiminas</t>
        </is>
      </c>
      <c r="S394" s="32" t="inlineStr">
        <is>
          <t>news media</t>
        </is>
      </c>
      <c r="T394" s="32" t="inlineStr">
        <is>
          <t>secondary reported</t>
        </is>
      </c>
      <c r="U394" s="32" t="inlineStr"/>
    </row>
    <row r="395" ht="45.75" customHeight="1" s="24">
      <c r="A395" s="31" t="inlineStr">
        <is>
          <t>PS-0372</t>
        </is>
      </c>
      <c r="B395" s="31" t="inlineStr">
        <is>
          <t>2026-09</t>
        </is>
      </c>
      <c r="C395" s="31" t="inlineStr">
        <is>
          <t>Chile</t>
        </is>
      </c>
      <c r="D395" s="31" t="inlineStr">
        <is>
          <t>Yes</t>
        </is>
      </c>
      <c r="E395" s="32" t="inlineStr">
        <is>
          <t>Álvaro González Gorroño</t>
        </is>
      </c>
      <c r="F395" s="32" t="inlineStr">
        <is>
          <t>Undersecretary of Mining</t>
        </is>
      </c>
      <c r="G395" s="32" t="inlineStr">
        <is>
          <t>LatAm executive</t>
        </is>
      </c>
      <c r="H395" s="32" t="inlineStr">
        <is>
          <t>legislative debate</t>
        </is>
      </c>
      <c r="I395" s="32" t="inlineStr">
        <is>
          <t>Government plans for rare earths in Biobío, Ñuble and Maule</t>
        </is>
      </c>
      <c r="J395" s="32" t="inlineStr">
        <is>
          <t>The undersecretary described rare earths as a regional development opportunity, citing Biobío's ports, industry and universities, as the government seeks to move from extraction to separation and processing.</t>
        </is>
      </c>
      <c r="K395" s="32" t="inlineStr">
        <is>
          <t>rare earths</t>
        </is>
      </c>
      <c r="L395" s="32" t="inlineStr">
        <is>
          <t>value added industrialization, processing refining, foreign investment</t>
        </is>
      </c>
      <c r="M395" s="31" t="inlineStr">
        <is>
          <t>not mentioned</t>
        </is>
      </c>
      <c r="N395" s="31" t="inlineStr">
        <is>
          <t>not mentioned</t>
        </is>
      </c>
      <c r="O395" s="32" t="inlineStr">
        <is>
          <t>una oportunidad de desarrollo regional</t>
        </is>
      </c>
      <c r="P395" s="32" t="inlineStr">
        <is>
          <t>a regional development opportunity</t>
        </is>
      </c>
      <c r="Q395" s="31" t="inlineStr">
        <is>
          <t>es</t>
        </is>
      </c>
      <c r="R395" s="33" t="inlineStr">
        <is>
          <t>El Desconcierto</t>
        </is>
      </c>
      <c r="S395" s="32" t="inlineStr">
        <is>
          <t>news media</t>
        </is>
      </c>
      <c r="T395" s="32" t="inlineStr">
        <is>
          <t>secondary reported</t>
        </is>
      </c>
      <c r="U395" s="32" t="inlineStr">
        <is>
          <t>Article 11 Sep 2026; biminister Mas presented plans to Chamber on 9 Sep; exact date of González remark unclear</t>
        </is>
      </c>
    </row>
    <row r="396" ht="45.75" customHeight="1" s="24">
      <c r="A396" s="31" t="inlineStr">
        <is>
          <t>PS-0373</t>
        </is>
      </c>
      <c r="B396" s="31" t="inlineStr">
        <is>
          <t>2026-09</t>
        </is>
      </c>
      <c r="C396" s="31" t="inlineStr">
        <is>
          <t>Colombia</t>
        </is>
      </c>
      <c r="D396" s="31" t="inlineStr">
        <is>
          <t>Yes</t>
        </is>
      </c>
      <c r="E396" s="32" t="inlineStr">
        <is>
          <t>Zhu Jingyang</t>
        </is>
      </c>
      <c r="F396" s="32" t="inlineStr">
        <is>
          <t>Chinese Ambassador to Colombia</t>
        </is>
      </c>
      <c r="G396" s="32" t="inlineStr">
        <is>
          <t>China</t>
        </is>
      </c>
      <c r="H396" s="32" t="inlineStr">
        <is>
          <t>speech</t>
        </is>
      </c>
      <c r="I396" s="32" t="inlineStr">
        <is>
          <t>Remarks to Colombian exporters around Rubio's minerals visit</t>
        </is>
      </c>
      <c r="J396" s="32" t="inlineStr">
        <is>
          <t>The Chinese ambassador told Colombian exporters that bilateral cooperation depends on Colombia's China policy and on it handling relations with the US and China in a balanced way.</t>
        </is>
      </c>
      <c r="K396" s="32" t="inlineStr">
        <is>
          <t>critical minerals general</t>
        </is>
      </c>
      <c r="L396" s="32" t="inlineStr">
        <is>
          <t>diplomatic relations, geopolitics security</t>
        </is>
      </c>
      <c r="M396" s="31" t="inlineStr">
        <is>
          <t>positive</t>
        </is>
      </c>
      <c r="N396" s="31" t="inlineStr">
        <is>
          <t>neutral</t>
        </is>
      </c>
      <c r="O396" s="32" t="inlineStr">
        <is>
          <t>Everything depends on Colombian policy towards China, on how we manage to maintain this pragmatic spirit of continuing to work together</t>
        </is>
      </c>
      <c r="P396" s="32" t="inlineStr">
        <is>
          <t>Everything depends on Colombian policy towards China, on how we manage to maintain this pragmatic spirit of continuing to work together</t>
        </is>
      </c>
      <c r="Q396" s="31" t="inlineStr">
        <is>
          <t>en</t>
        </is>
      </c>
      <c r="R396" s="33" t="inlineStr">
        <is>
          <t>The Star (Reuters)</t>
        </is>
      </c>
      <c r="S396" s="32" t="inlineStr">
        <is>
          <t>news media</t>
        </is>
      </c>
      <c r="T396" s="32" t="inlineStr">
        <is>
          <t>secondary reported</t>
        </is>
      </c>
      <c r="U396" s="32" t="inlineStr">
        <is>
          <t>Quote is English translation as published; not explicitly about minerals but made in context of US minerals deal. Exact date unknown.</t>
        </is>
      </c>
    </row>
    <row r="397" ht="45.75" customHeight="1" s="24">
      <c r="A397" s="31" t="inlineStr">
        <is>
          <t>PS-0374</t>
        </is>
      </c>
      <c r="B397" s="31" t="inlineStr">
        <is>
          <t>2026-09-02</t>
        </is>
      </c>
      <c r="C397" s="31" t="inlineStr">
        <is>
          <t>Brazil</t>
        </is>
      </c>
      <c r="D397" s="31" t="inlineStr">
        <is>
          <t>Yes</t>
        </is>
      </c>
      <c r="E397" s="32" t="inlineStr">
        <is>
          <t>Eduardo Braga</t>
        </is>
      </c>
      <c r="F397" s="32" t="inlineStr">
        <is>
          <t>Senator (MDB-AM), rapporteur of PL 2780/2024</t>
        </is>
      </c>
      <c r="G397" s="32" t="inlineStr">
        <is>
          <t>LatAm legislature</t>
        </is>
      </c>
      <c r="H397" s="32" t="inlineStr">
        <is>
          <t>legislative debate</t>
        </is>
      </c>
      <c r="I397" s="32" t="inlineStr">
        <is>
          <t>Senate floor vote on critical minerals policy</t>
        </is>
      </c>
      <c r="J397" s="32" t="inlineStr">
        <is>
          <t>As rapporteur, Braga recommended approval of the critical minerals bill, arguing the Senate was dealing with perhaps the most strategic issue for advancing industry 4.0 and 5.0.</t>
        </is>
      </c>
      <c r="K397" s="32" t="inlineStr">
        <is>
          <t>critical minerals general, rare earths</t>
        </is>
      </c>
      <c r="L397" s="32" t="inlineStr">
        <is>
          <t>value added industrialization, technology transfer</t>
        </is>
      </c>
      <c r="M397" s="31" t="inlineStr">
        <is>
          <t>not mentioned</t>
        </is>
      </c>
      <c r="N397" s="31" t="inlineStr">
        <is>
          <t>not mentioned</t>
        </is>
      </c>
      <c r="O397" s="32" t="inlineStr"/>
      <c r="P397" s="32" t="inlineStr"/>
      <c r="Q397" s="31" t="inlineStr">
        <is>
          <t>pt</t>
        </is>
      </c>
      <c r="R397" s="33" t="inlineStr">
        <is>
          <t>Mais Goiás</t>
        </is>
      </c>
      <c r="S397" s="32" t="inlineStr">
        <is>
          <t>news media</t>
        </is>
      </c>
      <c r="T397" s="32" t="inlineStr">
        <is>
          <t>secondary reported</t>
        </is>
      </c>
      <c r="U397" s="32" t="inlineStr">
        <is>
          <t>Quote seen only in translation; left empty</t>
        </is>
      </c>
    </row>
    <row r="398" ht="45.75" customHeight="1" s="24">
      <c r="A398" s="31" t="inlineStr">
        <is>
          <t>PS-0375</t>
        </is>
      </c>
      <c r="B398" s="31" t="inlineStr">
        <is>
          <t>2026-09-02</t>
        </is>
      </c>
      <c r="C398" s="31" t="inlineStr">
        <is>
          <t>Brazil</t>
        </is>
      </c>
      <c r="D398" s="31" t="inlineStr">
        <is>
          <t>Yes</t>
        </is>
      </c>
      <c r="E398" s="32" t="inlineStr">
        <is>
          <t>Hugo Motta</t>
        </is>
      </c>
      <c r="F398" s="32" t="inlineStr">
        <is>
          <t>President of the Chamber of Deputies</t>
        </is>
      </c>
      <c r="G398" s="32" t="inlineStr">
        <is>
          <t>LatAm legislature</t>
        </is>
      </c>
      <c r="H398" s="32" t="inlineStr">
        <is>
          <t>official statement</t>
        </is>
      </c>
      <c r="I398" s="32" t="inlineStr">
        <is>
          <t>Celebration of final congressional approval of critical minerals policy</t>
        </is>
      </c>
      <c r="J398" s="32" t="inlineStr">
        <is>
          <t>Motta called the Senate's approval of the critical minerals policy a victory for Brazil and its sovereignty, noting Brazil holds the world's second-largest rare earth reserves and should encourage national industry.</t>
        </is>
      </c>
      <c r="K398" s="32" t="inlineStr">
        <is>
          <t>rare earths, critical minerals general</t>
        </is>
      </c>
      <c r="L398" s="32" t="inlineStr">
        <is>
          <t>sovereignty, value added industrialization</t>
        </is>
      </c>
      <c r="M398" s="31" t="inlineStr">
        <is>
          <t>not mentioned</t>
        </is>
      </c>
      <c r="N398" s="31" t="inlineStr">
        <is>
          <t>not mentioned</t>
        </is>
      </c>
      <c r="O398" s="32" t="inlineStr"/>
      <c r="P398" s="32" t="inlineStr"/>
      <c r="Q398" s="31" t="inlineStr">
        <is>
          <t>pt</t>
        </is>
      </c>
      <c r="R398" s="33" t="inlineStr">
        <is>
          <t>Congresso em Foco</t>
        </is>
      </c>
      <c r="S398" s="32" t="inlineStr">
        <is>
          <t>news media</t>
        </is>
      </c>
      <c r="T398" s="32" t="inlineStr">
        <is>
          <t>secondary reported</t>
        </is>
      </c>
      <c r="U398" s="32" t="inlineStr">
        <is>
          <t>Quote seen only in translation</t>
        </is>
      </c>
    </row>
    <row r="399" ht="45.75" customHeight="1" s="24">
      <c r="A399" s="31" t="inlineStr">
        <is>
          <t>PS-0376</t>
        </is>
      </c>
      <c r="B399" s="31" t="inlineStr">
        <is>
          <t>2026-09-02</t>
        </is>
      </c>
      <c r="C399" s="31" t="inlineStr">
        <is>
          <t>Brazil</t>
        </is>
      </c>
      <c r="D399" s="31" t="inlineStr">
        <is>
          <t>Yes</t>
        </is>
      </c>
      <c r="E399" s="32" t="inlineStr">
        <is>
          <t>Luiz Inácio Lula da Silva</t>
        </is>
      </c>
      <c r="F399" s="32" t="inlineStr">
        <is>
          <t>President of Brazil</t>
        </is>
      </c>
      <c r="G399" s="32" t="inlineStr">
        <is>
          <t>LatAm executive</t>
        </is>
      </c>
      <c r="H399" s="32" t="inlineStr">
        <is>
          <t>official statement</t>
        </is>
      </c>
      <c r="I399" s="32" t="inlineStr">
        <is>
          <t>Celebration of congressional approval of critical minerals policy</t>
        </is>
      </c>
      <c r="J399" s="32" t="inlineStr">
        <is>
          <t>Lula celebrated Congress's approval of the critical minerals policy, citing rising international demand for raw materials used in phones, EV batteries and turbines, and framing it as governance and incentives for extracting, refining and industrialising minerals.</t>
        </is>
      </c>
      <c r="K399" s="32" t="inlineStr">
        <is>
          <t>critical minerals general</t>
        </is>
      </c>
      <c r="L399" s="32" t="inlineStr">
        <is>
          <t>sovereignty, energy transition, value added industrialization</t>
        </is>
      </c>
      <c r="M399" s="31" t="inlineStr">
        <is>
          <t>not mentioned</t>
        </is>
      </c>
      <c r="N399" s="31" t="inlineStr">
        <is>
          <t>not mentioned</t>
        </is>
      </c>
      <c r="O399" s="32" t="inlineStr"/>
      <c r="P399" s="32" t="inlineStr"/>
      <c r="Q399" s="31" t="inlineStr">
        <is>
          <t>pt</t>
        </is>
      </c>
      <c r="R399" s="33" t="inlineStr">
        <is>
          <t>Congresso em Foco</t>
        </is>
      </c>
      <c r="S399" s="32" t="inlineStr">
        <is>
          <t>news media</t>
        </is>
      </c>
      <c r="T399" s="32" t="inlineStr">
        <is>
          <t>secondary reported</t>
        </is>
      </c>
      <c r="U399" s="32" t="inlineStr">
        <is>
          <t>Distinct from 16 Sep 2026 sanction speech</t>
        </is>
      </c>
    </row>
    <row r="400" ht="45.75" customHeight="1" s="24">
      <c r="A400" s="31" t="inlineStr">
        <is>
          <t>PS-0377</t>
        </is>
      </c>
      <c r="B400" s="31" t="inlineStr">
        <is>
          <t>2026-09-02</t>
        </is>
      </c>
      <c r="C400" s="31" t="inlineStr">
        <is>
          <t>Brazil</t>
        </is>
      </c>
      <c r="D400" s="31" t="inlineStr">
        <is>
          <t>Yes</t>
        </is>
      </c>
      <c r="E400" s="32" t="inlineStr">
        <is>
          <t>Senado Federal</t>
        </is>
      </c>
      <c r="F400" s="32" t="inlineStr">
        <is>
          <t>Federal Senate of Brazil</t>
        </is>
      </c>
      <c r="G400" s="32" t="inlineStr">
        <is>
          <t>LatAm legislature</t>
        </is>
      </c>
      <c r="H400" s="32" t="inlineStr">
        <is>
          <t>bill or law</t>
        </is>
      </c>
      <c r="I400" s="32" t="inlineStr">
        <is>
          <t>Senate floor vote on PL 2780/2024 under urgency</t>
        </is>
      </c>
      <c r="J400" s="32" t="inlineStr">
        <is>
          <t>The Senate approved by symbolic vote, under urgency, the Chamber's text of the National Policy for Critical and Strategic Minerals, including a presidential-level industrialisation council, a guarantee fund with up to R$2 billion federal participation, tax credits for domestic processing (2030-2034) and traceability rules, sending it to presidential sanction.</t>
        </is>
      </c>
      <c r="K400" s="32" t="inlineStr">
        <is>
          <t>critical minerals general, rare earths</t>
        </is>
      </c>
      <c r="L400" s="32" t="inlineStr">
        <is>
          <t>value added industrialization, financing credit, royalties taxation, state control nationalization</t>
        </is>
      </c>
      <c r="M400" s="31" t="inlineStr">
        <is>
          <t>not mentioned</t>
        </is>
      </c>
      <c r="N400" s="31" t="inlineStr">
        <is>
          <t>not mentioned</t>
        </is>
      </c>
      <c r="O400" s="32" t="inlineStr"/>
      <c r="P400" s="32" t="inlineStr"/>
      <c r="Q400" s="31" t="inlineStr">
        <is>
          <t>pt</t>
        </is>
      </c>
      <c r="R400" s="33" t="inlineStr">
        <is>
          <t>Congresso em Foco</t>
        </is>
      </c>
      <c r="S400" s="32" t="inlineStr">
        <is>
          <t>news media</t>
        </is>
      </c>
      <c r="T400" s="32" t="inlineStr">
        <is>
          <t>secondary reported</t>
        </is>
      </c>
      <c r="U400" s="32" t="inlineStr">
        <is>
          <t>Rapporteur Eduardo Braga (MDB-AM)</t>
        </is>
      </c>
    </row>
    <row r="401" ht="45.75" customHeight="1" s="24">
      <c r="A401" s="31" t="inlineStr">
        <is>
          <t>PS-0378</t>
        </is>
      </c>
      <c r="B401" s="31" t="inlineStr">
        <is>
          <t>2026-09-08</t>
        </is>
      </c>
      <c r="C401" s="31" t="inlineStr">
        <is>
          <t>Colombia</t>
        </is>
      </c>
      <c r="D401" s="31" t="inlineStr">
        <is>
          <t>Yes</t>
        </is>
      </c>
      <c r="E401" s="32" t="inlineStr">
        <is>
          <t>Abelardo de la Espriella</t>
        </is>
      </c>
      <c r="F401" s="32" t="inlineStr">
        <is>
          <t>President of Colombia</t>
        </is>
      </c>
      <c r="G401" s="32" t="inlineStr">
        <is>
          <t>LatAm executive</t>
        </is>
      </c>
      <c r="H401" s="32" t="inlineStr">
        <is>
          <t>speech</t>
        </is>
      </c>
      <c r="I401" s="32" t="inlineStr">
        <is>
          <t>Barranquilla accords with US Secretary of State Rubio</t>
        </is>
      </c>
      <c r="J401" s="32" t="inlineStr">
        <is>
          <t>De la Espriella said the agreements signed with Rubio, including the critical minerals MOU, must now become projects, investment, jobs and concrete results, and said Colombia wants to be the US's main hemispheric security partner.</t>
        </is>
      </c>
      <c r="K401" s="32" t="inlineStr">
        <is>
          <t>critical minerals general</t>
        </is>
      </c>
      <c r="L401" s="32" t="inlineStr">
        <is>
          <t>foreign investment, diplomatic relations, geopolitics security</t>
        </is>
      </c>
      <c r="M401" s="31" t="inlineStr">
        <is>
          <t>not mentioned</t>
        </is>
      </c>
      <c r="N401" s="31" t="inlineStr">
        <is>
          <t>positive</t>
        </is>
      </c>
      <c r="O401" s="32" t="inlineStr">
        <is>
          <t>deben convertirse ahora en proyectos, en inversión, en empleos, cooperación, seguridad y resultados concretos</t>
        </is>
      </c>
      <c r="P401" s="32" t="inlineStr">
        <is>
          <t>they must now become projects, investment, jobs, cooperation, security and concrete results</t>
        </is>
      </c>
      <c r="Q401" s="31" t="inlineStr">
        <is>
          <t>es</t>
        </is>
      </c>
      <c r="R401" s="33" t="inlineStr">
        <is>
          <t>Cambio Colombia</t>
        </is>
      </c>
      <c r="S401" s="32" t="inlineStr">
        <is>
          <t>news media</t>
        </is>
      </c>
      <c r="T401" s="32" t="inlineStr">
        <is>
          <t>secondary reported</t>
        </is>
      </c>
      <c r="U401" s="32" t="inlineStr">
        <is>
          <t>Party label is the movement he ran under; verify.</t>
        </is>
      </c>
    </row>
    <row r="402" ht="45.75" customHeight="1" s="24">
      <c r="A402" s="31" t="inlineStr">
        <is>
          <t>PS-0379</t>
        </is>
      </c>
      <c r="B402" s="31" t="inlineStr">
        <is>
          <t>2026-09-08</t>
        </is>
      </c>
      <c r="C402" s="31" t="inlineStr">
        <is>
          <t>Colombia</t>
        </is>
      </c>
      <c r="D402" s="31" t="inlineStr">
        <is>
          <t>Yes</t>
        </is>
      </c>
      <c r="E402" s="32" t="inlineStr">
        <is>
          <t>Governments of Colombia and the United States (Omar Bula; Marco Rubio)</t>
        </is>
      </c>
      <c r="F402" s="32" t="inlineStr">
        <is>
          <t>Colombian Foreign Minister; US Secretary of State</t>
        </is>
      </c>
      <c r="G402" s="32" t="inlineStr">
        <is>
          <t>Other (business, civil society, third countries)</t>
        </is>
      </c>
      <c r="H402" s="32" t="inlineStr">
        <is>
          <t>joint declaration or mou</t>
        </is>
      </c>
      <c r="I402" s="32" t="inlineStr">
        <is>
          <t>Barranquilla accords / bilateral dialogue</t>
        </is>
      </c>
      <c r="J402" s="32" t="inlineStr">
        <is>
          <t>Colombia and the US signed a non-binding cooperation framework on securing supply chains in the mining and processing of critical minerals and rare earths, alongside a civil nuclear MOU, framed in media as reducing dependence on China.</t>
        </is>
      </c>
      <c r="K402" s="32" t="inlineStr">
        <is>
          <t>critical minerals general, rare earths, lithium, cobalt, nickel</t>
        </is>
      </c>
      <c r="L402" s="32" t="inlineStr">
        <is>
          <t>geopolitics security, processing refining, trade deals offtake, diplomatic relations</t>
        </is>
      </c>
      <c r="M402" s="31" t="inlineStr">
        <is>
          <t>not mentioned</t>
        </is>
      </c>
      <c r="N402" s="31" t="inlineStr">
        <is>
          <t>positive</t>
        </is>
      </c>
      <c r="O402" s="32" t="inlineStr"/>
      <c r="P402" s="32" t="inlineStr"/>
      <c r="Q402" s="31" t="inlineStr">
        <is>
          <t>es</t>
        </is>
      </c>
      <c r="R402" s="33" t="inlineStr">
        <is>
          <t>Cambio Colombia</t>
        </is>
      </c>
      <c r="S402" s="32" t="inlineStr">
        <is>
          <t>news media</t>
        </is>
      </c>
      <c r="T402" s="32" t="inlineStr">
        <is>
          <t>secondary reported</t>
        </is>
      </c>
      <c r="U402" s="32" t="inlineStr">
        <is>
          <t>Bilateral instrument; speaker_country set to COL. Title: Marco de Cooperación para el aseguramiento de las cadenas de suministro en la minería y el procesamiento de minerales críticos y tierras raras.</t>
        </is>
      </c>
    </row>
    <row r="403" ht="45.75" customHeight="1" s="24">
      <c r="A403" s="31" t="inlineStr">
        <is>
          <t>PS-0380</t>
        </is>
      </c>
      <c r="B403" s="31" t="inlineStr">
        <is>
          <t>2026-09-08</t>
        </is>
      </c>
      <c r="C403" s="31" t="inlineStr">
        <is>
          <t>Colombia</t>
        </is>
      </c>
      <c r="D403" s="31" t="inlineStr">
        <is>
          <t>Yes</t>
        </is>
      </c>
      <c r="E403" s="32" t="inlineStr">
        <is>
          <t>Marco Rubio</t>
        </is>
      </c>
      <c r="F403" s="32" t="inlineStr">
        <is>
          <t>US Secretary of State</t>
        </is>
      </c>
      <c r="G403" s="32" t="inlineStr">
        <is>
          <t>United States</t>
        </is>
      </c>
      <c r="H403" s="32" t="inlineStr">
        <is>
          <t>press conference</t>
        </is>
      </c>
      <c r="I403" s="32" t="inlineStr">
        <is>
          <t>Visit to Barranquilla, signing of critical minerals MOU</t>
        </is>
      </c>
      <c r="J403" s="32" t="inlineStr">
        <is>
          <t>Rubio described a new, unprecedented stage of collaboration with Colombia, criticised the 'bad decisions' of the Petro government, and framed the minerals accord as part of a regional trend of alignment with US interests amid competition with China.</t>
        </is>
      </c>
      <c r="K403" s="32" t="inlineStr">
        <is>
          <t>critical minerals general, rare earths</t>
        </is>
      </c>
      <c r="L403" s="32" t="inlineStr">
        <is>
          <t>geopolitics security, diplomatic relations, trade deals offtake</t>
        </is>
      </c>
      <c r="M403" s="31" t="inlineStr">
        <is>
          <t>negative</t>
        </is>
      </c>
      <c r="N403" s="31" t="inlineStr">
        <is>
          <t>positive</t>
        </is>
      </c>
      <c r="O403" s="32" t="inlineStr">
        <is>
          <t>It's part of a trend that you're seeing in the Western Hemisphere of alignment with US and US interests.</t>
        </is>
      </c>
      <c r="P403" s="32" t="inlineStr">
        <is>
          <t>It's part of a trend that you're seeing in the Western Hemisphere of alignment with US and US interests.</t>
        </is>
      </c>
      <c r="Q403" s="31" t="inlineStr">
        <is>
          <t>en</t>
        </is>
      </c>
      <c r="R403" s="33" t="inlineStr">
        <is>
          <t>The Star (Reuters)</t>
        </is>
      </c>
      <c r="S403" s="32" t="inlineStr">
        <is>
          <t>news media</t>
        </is>
      </c>
      <c r="T403" s="32" t="inlineStr">
        <is>
          <t>secondary reported</t>
        </is>
      </c>
      <c r="U403" s="32" t="inlineStr">
        <is>
          <t>English quote said around arrival; China stance inferred from framing (Emol/EFE 2026-09-09 reports 'nueva etapa de colaboración'). Exact date of quote may be 2026-09-07/08.</t>
        </is>
      </c>
    </row>
    <row r="404" ht="45.75" customHeight="1" s="24">
      <c r="A404" s="31" t="inlineStr">
        <is>
          <t>PS-0381</t>
        </is>
      </c>
      <c r="B404" s="31" t="inlineStr">
        <is>
          <t>2026-09-08</t>
        </is>
      </c>
      <c r="C404" s="31" t="inlineStr">
        <is>
          <t>Colombia</t>
        </is>
      </c>
      <c r="D404" s="31" t="inlineStr">
        <is>
          <t>Yes</t>
        </is>
      </c>
      <c r="E404" s="32" t="inlineStr">
        <is>
          <t>María Nohemi Arboleda</t>
        </is>
      </c>
      <c r="F404" s="32" t="inlineStr">
        <is>
          <t>Minister of Mines and Energy of Colombia</t>
        </is>
      </c>
      <c r="G404" s="32" t="inlineStr">
        <is>
          <t>LatAm executive</t>
        </is>
      </c>
      <c r="H404" s="32" t="inlineStr">
        <is>
          <t>official statement</t>
        </is>
      </c>
      <c r="I404" s="32" t="inlineStr">
        <is>
          <t>Signing of Colombia-US strategic minerals and nuclear cooperation MOUs</t>
        </is>
      </c>
      <c r="J404" s="32" t="inlineStr">
        <is>
          <t>The minister said cooperation with the US on strategic minerals should help Colombia move beyond raw-material exports toward industry, formal jobs and regional development.</t>
        </is>
      </c>
      <c r="K404" s="32" t="inlineStr">
        <is>
          <t>critical minerals general</t>
        </is>
      </c>
      <c r="L404" s="32" t="inlineStr">
        <is>
          <t>value added industrialization, processing refining, diplomatic relations</t>
        </is>
      </c>
      <c r="M404" s="31" t="inlineStr">
        <is>
          <t>not mentioned</t>
        </is>
      </c>
      <c r="N404" s="31" t="inlineStr">
        <is>
          <t>positive</t>
        </is>
      </c>
      <c r="O404" s="32" t="inlineStr">
        <is>
          <t>Colombia no puede limitarse a exportar materias primas: tenemos que convertir nuestro potencial minero y energético en industria, empleo formal, innovación y desarrollo para las regiones.</t>
        </is>
      </c>
      <c r="P404" s="32" t="inlineStr">
        <is>
          <t>Colombia cannot limit itself to exporting raw materials: we must turn our mining and energy potential into industry, formal employment, innovation and regional development.</t>
        </is>
      </c>
      <c r="Q404" s="31" t="inlineStr">
        <is>
          <t>es</t>
        </is>
      </c>
      <c r="R404" s="33" t="inlineStr">
        <is>
          <t>Ministerio de Minas y Energía de Colombia</t>
        </is>
      </c>
      <c r="S404" s="32" t="inlineStr">
        <is>
          <t>primary official</t>
        </is>
      </c>
      <c r="T404" s="32" t="inlineStr">
        <is>
          <t>primary verified</t>
        </is>
      </c>
      <c r="U404" s="32" t="inlineStr"/>
    </row>
    <row r="405" ht="45.75" customHeight="1" s="24">
      <c r="A405" s="31" t="inlineStr">
        <is>
          <t>PS-0382</t>
        </is>
      </c>
      <c r="B405" s="31" t="inlineStr">
        <is>
          <t>2026-09-08</t>
        </is>
      </c>
      <c r="C405" s="31" t="inlineStr">
        <is>
          <t>Peru</t>
        </is>
      </c>
      <c r="D405" s="31" t="inlineStr">
        <is>
          <t>Yes</t>
        </is>
      </c>
      <c r="E405" s="32" t="inlineStr">
        <is>
          <t>Marco Rubio</t>
        </is>
      </c>
      <c r="F405" s="32" t="inlineStr">
        <is>
          <t>U.S. Secretary of State</t>
        </is>
      </c>
      <c r="G405" s="32" t="inlineStr">
        <is>
          <t>United States</t>
        </is>
      </c>
      <c r="H405" s="32" t="inlineStr">
        <is>
          <t>official statement</t>
        </is>
      </c>
      <c r="I405" s="32" t="inlineStr">
        <is>
          <t>Announcement of Lima visit; Peru joins 'Shield of the Americas'</t>
        </is>
      </c>
      <c r="J405" s="32" t="inlineStr">
        <is>
          <t>Ahead of visiting Lima, Rubio said the US was welcoming Peru into the 'Shield of the Americas', cited DFC financing for Peru's mining sector after the February critical minerals MoU, and contrasted US market investment with CCP-backed projects.</t>
        </is>
      </c>
      <c r="K405" s="32" t="inlineStr">
        <is>
          <t>critical minerals general, mining general</t>
        </is>
      </c>
      <c r="L405" s="32" t="inlineStr">
        <is>
          <t>geopolitics security, financing credit, sovereignty, foreign investment</t>
        </is>
      </c>
      <c r="M405" s="31" t="inlineStr">
        <is>
          <t>negative</t>
        </is>
      </c>
      <c r="N405" s="31" t="inlineStr">
        <is>
          <t>positive</t>
        </is>
      </c>
      <c r="O405" s="32" t="inlineStr">
        <is>
          <t>Estamos sincronizando esfuerzos para proteger a nuestro hemisferio de las amenazas transnacionales</t>
        </is>
      </c>
      <c r="P405" s="32" t="inlineStr">
        <is>
          <t>We are synchronizing efforts to protect our hemisphere from transnational threats</t>
        </is>
      </c>
      <c r="Q405" s="31" t="inlineStr">
        <is>
          <t>es</t>
        </is>
      </c>
      <c r="R405" s="33" t="inlineStr">
        <is>
          <t>Minería &amp; Energía</t>
        </is>
      </c>
      <c r="S405" s="32" t="inlineStr">
        <is>
          <t>news media</t>
        </is>
      </c>
      <c r="T405" s="32" t="inlineStr">
        <is>
          <t>secondary reported</t>
        </is>
      </c>
      <c r="U405" s="32" t="inlineStr">
        <is>
          <t>Channel may be an op-ed; Spanish quote is translation of English original</t>
        </is>
      </c>
    </row>
    <row r="406" ht="45.75" customHeight="1" s="24">
      <c r="A406" s="31" t="inlineStr">
        <is>
          <t>PS-0383</t>
        </is>
      </c>
      <c r="B406" s="31" t="inlineStr">
        <is>
          <t>2026-09-08</t>
        </is>
      </c>
      <c r="C406" s="31" t="inlineStr">
        <is>
          <t>Peru</t>
        </is>
      </c>
      <c r="D406" s="31" t="inlineStr">
        <is>
          <t>Yes</t>
        </is>
      </c>
      <c r="E406" s="32" t="inlineStr">
        <is>
          <t>Marco Rubio</t>
        </is>
      </c>
      <c r="F406" s="32" t="inlineStr">
        <is>
          <t>U.S. Secretary of State</t>
        </is>
      </c>
      <c r="G406" s="32" t="inlineStr">
        <is>
          <t>United States</t>
        </is>
      </c>
      <c r="H406" s="32" t="inlineStr">
        <is>
          <t>op ed</t>
        </is>
      </c>
      <c r="I406" s="32" t="inlineStr">
        <is>
          <t>Op-ed in El Comercio ahead of visit to Lima</t>
        </is>
      </c>
      <c r="J406" s="32" t="inlineStr">
        <is>
          <t>Rubio's op-ed criticized Chinese Communist Party-backed projects in Peru, alluding to Chancay, as sidestepping Peruvian regulations and threatening transparency and data security; China's embassy rebutted.</t>
        </is>
      </c>
      <c r="K406" s="32" t="inlineStr">
        <is>
          <t>mining general</t>
        </is>
      </c>
      <c r="L406" s="32" t="inlineStr">
        <is>
          <t>geopolitics security, infrastructure ports, corruption governance</t>
        </is>
      </c>
      <c r="M406" s="31" t="inlineStr">
        <is>
          <t>negative</t>
        </is>
      </c>
      <c r="N406" s="31" t="inlineStr">
        <is>
          <t>positive</t>
        </is>
      </c>
      <c r="O406" s="32" t="inlineStr">
        <is>
          <t>Los proyectos respaldados por el Partido Comunista Chino pasan por alto los marcos legales de Perú y amenazan la transparencia y la seguridad de los datos</t>
        </is>
      </c>
      <c r="P406" s="32" t="inlineStr">
        <is>
          <t>Projects backed by the Chinese Communist Party bypass Peru's legal frameworks and threaten transparency and data security</t>
        </is>
      </c>
      <c r="Q406" s="31" t="inlineStr">
        <is>
          <t>es</t>
        </is>
      </c>
      <c r="R406" s="33" t="inlineStr">
        <is>
          <t>El Universal (Colombia), citing El Comercio</t>
        </is>
      </c>
      <c r="S406" s="32" t="inlineStr">
        <is>
          <t>news media</t>
        </is>
      </c>
      <c r="T406" s="32" t="inlineStr">
        <is>
          <t>secondary reported</t>
        </is>
      </c>
      <c r="U406" s="32" t="inlineStr">
        <is>
          <t>Minerals not explicit; included for China-infrastructure context of Chancay (mineral export port). Also covered by Latin Times https://www.latintimes.com/china-rubio-hands-off-chancay-peru-joins-trumps-security-shield-anyway-599177 ; publication date reported as 8 or 9 Sep 2026</t>
        </is>
      </c>
    </row>
    <row r="407" ht="45.75" customHeight="1" s="24">
      <c r="A407" s="31" t="inlineStr">
        <is>
          <t>PS-0384</t>
        </is>
      </c>
      <c r="B407" s="31" t="inlineStr">
        <is>
          <t>2026-09-09</t>
        </is>
      </c>
      <c r="C407" s="31" t="inlineStr">
        <is>
          <t>Colombia</t>
        </is>
      </c>
      <c r="D407" s="31" t="inlineStr">
        <is>
          <t>Yes</t>
        </is>
      </c>
      <c r="E407" s="32" t="inlineStr">
        <is>
          <t>Marco Rubio</t>
        </is>
      </c>
      <c r="F407" s="32" t="inlineStr">
        <is>
          <t>U.S. Secretary of State</t>
        </is>
      </c>
      <c r="G407" s="32" t="inlineStr">
        <is>
          <t>United States</t>
        </is>
      </c>
      <c r="H407" s="32" t="inlineStr">
        <is>
          <t>joint declaration or mou</t>
        </is>
      </c>
      <c r="I407" s="32" t="inlineStr">
        <is>
          <t>Rubio visit to Barranquilla; Barranquilla Agreements with President Abelardo de la Espriella</t>
        </is>
      </c>
      <c r="J407" s="32" t="inlineStr">
        <is>
          <t>Rubio and FM Omar Bula signed a critical minerals framework to identify and finance mining and processing projects within six months with US guarantees, loans, equity and insurance, plus price floors and security reviews of mineral asset sales; the trip also sought to clarify Colombia's China ties.</t>
        </is>
      </c>
      <c r="K407" s="32" t="inlineStr">
        <is>
          <t>critical minerals general, rare earths, nickel, copper</t>
        </is>
      </c>
      <c r="L407" s="32" t="inlineStr">
        <is>
          <t>trade deals offtake, financing credit, processing refining, geopolitics security</t>
        </is>
      </c>
      <c r="M407" s="31" t="inlineStr">
        <is>
          <t>negative</t>
        </is>
      </c>
      <c r="N407" s="31" t="inlineStr">
        <is>
          <t>positive</t>
        </is>
      </c>
      <c r="O407" s="32" t="inlineStr">
        <is>
          <t>It's part of a trend that you're seeing in the Western Hemisphere of alignment with US and US interests.</t>
        </is>
      </c>
      <c r="P407" s="32" t="inlineStr">
        <is>
          <t>It's part of a trend that you're seeing in the Western Hemisphere of alignment with US and US interests.</t>
        </is>
      </c>
      <c r="Q407" s="31" t="inlineStr">
        <is>
          <t>en</t>
        </is>
      </c>
      <c r="R407" s="33" t="inlineStr">
        <is>
          <t>AS/COA; The Star (Reuters); NewKerala</t>
        </is>
      </c>
      <c r="S407" s="32" t="inlineStr">
        <is>
          <t>news media</t>
        </is>
      </c>
      <c r="T407" s="32" t="inlineStr">
        <is>
          <t>secondary reported</t>
        </is>
      </c>
      <c r="U407" s="32" t="inlineStr">
        <is>
          <t>Quote from The Star/Reuters https://www.thestar.com.my/aseanplus/aseanplus-news/2026/09/12/us-secretary-of-state-rubio-arrives-in-colombia-to-clarify-china-ties-sign-minerals-deal ; signing reported 8-9 Sep 2026</t>
        </is>
      </c>
    </row>
    <row r="408" ht="45.75" customHeight="1" s="24">
      <c r="A408" s="31" t="inlineStr">
        <is>
          <t>PS-0385</t>
        </is>
      </c>
      <c r="B408" s="31" t="inlineStr">
        <is>
          <t>2026-09-09</t>
        </is>
      </c>
      <c r="C408" s="31" t="inlineStr">
        <is>
          <t>Ecuador</t>
        </is>
      </c>
      <c r="D408" s="31" t="inlineStr">
        <is>
          <t>Yes</t>
        </is>
      </c>
      <c r="E408" s="32" t="inlineStr">
        <is>
          <t>Marco Rubio</t>
        </is>
      </c>
      <c r="F408" s="32" t="inlineStr">
        <is>
          <t>U.S. Secretary of State</t>
        </is>
      </c>
      <c r="G408" s="32" t="inlineStr">
        <is>
          <t>United States</t>
        </is>
      </c>
      <c r="H408" s="32" t="inlineStr">
        <is>
          <t>press conference</t>
        </is>
      </c>
      <c r="I408" s="32" t="inlineStr">
        <is>
          <t>Rubio visit to Quito, meeting with President Daniel Noboa</t>
        </is>
      </c>
      <c r="J408" s="32" t="inlineStr">
        <is>
          <t>During his Quito visit, Rubio announced security assistance including US$10 million to combat illegal mining in Ecuador.</t>
        </is>
      </c>
      <c r="K408" s="32" t="inlineStr">
        <is>
          <t>mining general</t>
        </is>
      </c>
      <c r="L408" s="32" t="inlineStr">
        <is>
          <t>geopolitics security, corruption governance</t>
        </is>
      </c>
      <c r="M408" s="31" t="inlineStr">
        <is>
          <t>not mentioned</t>
        </is>
      </c>
      <c r="N408" s="31" t="inlineStr">
        <is>
          <t>positive</t>
        </is>
      </c>
      <c r="O408" s="32" t="inlineStr">
        <is>
          <t>USD 10 millones a combatir la minería ilícita</t>
        </is>
      </c>
      <c r="P408" s="32" t="inlineStr">
        <is>
          <t>USD 10 million to combat illegal mining</t>
        </is>
      </c>
      <c r="Q408" s="31" t="inlineStr">
        <is>
          <t>es</t>
        </is>
      </c>
      <c r="R408" s="33" t="inlineStr">
        <is>
          <t>Primicias</t>
        </is>
      </c>
      <c r="S408" s="32" t="inlineStr">
        <is>
          <t>news media</t>
        </is>
      </c>
      <c r="T408" s="32" t="inlineStr">
        <is>
          <t>secondary reported</t>
        </is>
      </c>
      <c r="U408" s="32" t="inlineStr">
        <is>
          <t>Quote is outlet's phrasing, not necessarily Rubio's words</t>
        </is>
      </c>
    </row>
    <row r="409" ht="45.75" customHeight="1" s="24">
      <c r="A409" s="31" t="inlineStr">
        <is>
          <t>PS-0386</t>
        </is>
      </c>
      <c r="B409" s="31" t="inlineStr">
        <is>
          <t>2026-09-09</t>
        </is>
      </c>
      <c r="C409" s="31" t="inlineStr">
        <is>
          <t>Peru</t>
        </is>
      </c>
      <c r="D409" s="31" t="inlineStr">
        <is>
          <t>Yes</t>
        </is>
      </c>
      <c r="E409" s="32" t="inlineStr">
        <is>
          <t>Carlos Espá</t>
        </is>
      </c>
      <c r="F409" s="32" t="inlineStr">
        <is>
          <t>Minister of Foreign Affairs of Peru</t>
        </is>
      </c>
      <c r="G409" s="32" t="inlineStr">
        <is>
          <t>LatAm executive</t>
        </is>
      </c>
      <c r="H409" s="32" t="inlineStr">
        <is>
          <t>speech</t>
        </is>
      </c>
      <c r="I409" s="32" t="inlineStr">
        <is>
          <t>Ahead of Rubio visit; promotion of Peru as critical minerals partner</t>
        </is>
      </c>
      <c r="J409" s="32" t="inlineStr">
        <is>
          <t>Espá said Peru wants to be a strategic and reliable partner in value chains rather than only a mineral supplier, citing eight strategic minerals and the 2026 critical minerals MoUs with the US and Canada.</t>
        </is>
      </c>
      <c r="K409" s="32" t="inlineStr">
        <is>
          <t>critical minerals general, copper, molybdenum, silver, zinc, iron ore, graphite</t>
        </is>
      </c>
      <c r="L409" s="32" t="inlineStr">
        <is>
          <t>value added industrialization, foreign investment, energy transition, trade deals offtake</t>
        </is>
      </c>
      <c r="M409" s="31" t="inlineStr">
        <is>
          <t>not mentioned</t>
        </is>
      </c>
      <c r="N409" s="31" t="inlineStr">
        <is>
          <t>positive</t>
        </is>
      </c>
      <c r="O409" s="32" t="inlineStr">
        <is>
          <t>El Perú no quiere ser únicamente un proveedor de minerales, quiere consolidarse como un socio estratégico y confiable para el desarrollo de cadenas de valor</t>
        </is>
      </c>
      <c r="P409" s="32" t="inlineStr">
        <is>
          <t>Peru does not want to be only a supplier of minerals; it wants to consolidate itself as a strategic and reliable partner for developing value chains</t>
        </is>
      </c>
      <c r="Q409" s="31" t="inlineStr">
        <is>
          <t>es</t>
        </is>
      </c>
      <c r="R409" s="33" t="inlineStr">
        <is>
          <t>Gestión</t>
        </is>
      </c>
      <c r="S409" s="32" t="inlineStr">
        <is>
          <t>news media</t>
        </is>
      </c>
      <c r="T409" s="32" t="inlineStr">
        <is>
          <t>secondary reported</t>
        </is>
      </c>
      <c r="U409" s="32" t="inlineStr">
        <is>
          <t>Also reported by Andina English</t>
        </is>
      </c>
    </row>
    <row r="410" ht="45.75" customHeight="1" s="24">
      <c r="A410" s="31" t="inlineStr">
        <is>
          <t>PS-0387</t>
        </is>
      </c>
      <c r="B410" s="31" t="inlineStr">
        <is>
          <t>2026-09-09</t>
        </is>
      </c>
      <c r="C410" s="31" t="inlineStr">
        <is>
          <t>Peru</t>
        </is>
      </c>
      <c r="D410" s="31" t="inlineStr">
        <is>
          <t>Yes</t>
        </is>
      </c>
      <c r="E410" s="32" t="inlineStr">
        <is>
          <t>Embassy of the People's Republic of China in Peru</t>
        </is>
      </c>
      <c r="F410" s="32" t="inlineStr">
        <is>
          <t>Chinese Embassy in Peru</t>
        </is>
      </c>
      <c r="G410" s="32" t="inlineStr">
        <is>
          <t>China</t>
        </is>
      </c>
      <c r="H410" s="32" t="inlineStr">
        <is>
          <t>social media post</t>
        </is>
      </c>
      <c r="I410" s="32" t="inlineStr">
        <is>
          <t>Ahead of Rubio visit to Lima</t>
        </is>
      </c>
      <c r="J410" s="32" t="inlineStr">
        <is>
          <t>In an X post before Rubio's visit, the embassy said the Western Hemisphere is no one's backyard, defended Latin America's right to choose partners, and cited over US$30 billion in Chinese investment stock in Peru.</t>
        </is>
      </c>
      <c r="K410" s="32" t="inlineStr">
        <is>
          <t>copper, mining general</t>
        </is>
      </c>
      <c r="L410" s="32" t="inlineStr">
        <is>
          <t>sovereignty, foreign investment, geopolitics security, diplomatic relations</t>
        </is>
      </c>
      <c r="M410" s="31" t="inlineStr">
        <is>
          <t>positive</t>
        </is>
      </c>
      <c r="N410" s="31" t="inlineStr">
        <is>
          <t>negative</t>
        </is>
      </c>
      <c r="O410" s="32" t="inlineStr"/>
      <c r="P410" s="32" t="inlineStr"/>
      <c r="Q410" s="31" t="inlineStr">
        <is>
          <t>es</t>
        </is>
      </c>
      <c r="R410" s="33" t="inlineStr">
        <is>
          <t>La República (Colombia), citing Reuters</t>
        </is>
      </c>
      <c r="S410" s="32" t="inlineStr">
        <is>
          <t>news media</t>
        </is>
      </c>
      <c r="T410" s="32" t="inlineStr">
        <is>
          <t>secondary reported</t>
        </is>
      </c>
      <c r="U410" s="32" t="inlineStr">
        <is>
          <t>Reported phrase: the Western Hemisphere is not anyone's backyard; original Spanish wording of X post not seen, quote left empty</t>
        </is>
      </c>
    </row>
    <row r="411" ht="45.75" customHeight="1" s="24">
      <c r="A411" s="31" t="inlineStr">
        <is>
          <t>PS-0388</t>
        </is>
      </c>
      <c r="B411" s="31" t="inlineStr">
        <is>
          <t>2026-09-16</t>
        </is>
      </c>
      <c r="C411" s="31" t="inlineStr">
        <is>
          <t>Brazil</t>
        </is>
      </c>
      <c r="D411" s="31" t="inlineStr">
        <is>
          <t>Yes</t>
        </is>
      </c>
      <c r="E411" s="32" t="inlineStr">
        <is>
          <t>Luiz Inácio Lula da Silva</t>
        </is>
      </c>
      <c r="F411" s="32" t="inlineStr">
        <is>
          <t>President of Brazil</t>
        </is>
      </c>
      <c r="G411" s="32" t="inlineStr">
        <is>
          <t>LatAm executive</t>
        </is>
      </c>
      <c r="H411" s="32" t="inlineStr">
        <is>
          <t>speech</t>
        </is>
      </c>
      <c r="I411" s="32" t="inlineStr">
        <is>
          <t>Signing of the law creating the National Policy for Critical and Strategic Minerals, Palácio do Planalto</t>
        </is>
      </c>
      <c r="J411" s="32" t="inlineStr">
        <is>
          <t>At the signing ceremony of the critical minerals law, Lula said Brazil will never again be anyone's colony and accused domestic adversaries ('traitors to the homeland') of having promised to hand over raw critical minerals and rare earths to the US at 'banana prices'.</t>
        </is>
      </c>
      <c r="K411" s="32" t="inlineStr">
        <is>
          <t>critical minerals general, rare earths, iron ore</t>
        </is>
      </c>
      <c r="L411" s="32" t="inlineStr">
        <is>
          <t>sovereignty, value added industrialization, geopolitics security</t>
        </is>
      </c>
      <c r="M411" s="31" t="inlineStr">
        <is>
          <t>not mentioned</t>
        </is>
      </c>
      <c r="N411" s="31" t="inlineStr">
        <is>
          <t>negative</t>
        </is>
      </c>
      <c r="O411" s="32" t="inlineStr">
        <is>
          <t>Prometeram entregar os minerais críticos e as terras raras, em estado bruto, a preço de banana, como aconteceu no passado com o nosso minério de ferro</t>
        </is>
      </c>
      <c r="P411" s="32" t="inlineStr">
        <is>
          <t>They promised to hand over critical minerals and rare earths, in raw form, at banana prices, as happened in the past with our iron ore</t>
        </is>
      </c>
      <c r="Q411" s="31" t="inlineStr">
        <is>
          <t>pt</t>
        </is>
      </c>
      <c r="R411" s="33" t="inlineStr">
        <is>
          <t>Itatiaia</t>
        </is>
      </c>
      <c r="S411" s="32" t="inlineStr">
        <is>
          <t>news media</t>
        </is>
      </c>
      <c r="T411" s="32" t="inlineStr">
        <is>
          <t>secondary reported</t>
        </is>
      </c>
      <c r="U411" s="32" t="inlineStr">
        <is>
          <t>Election campaign period (Oct 2026 election); criticism aimed at opposition figures</t>
        </is>
      </c>
    </row>
    <row r="412" ht="45.75" customHeight="1" s="24">
      <c r="A412" s="31" t="inlineStr">
        <is>
          <t>PS-0389</t>
        </is>
      </c>
      <c r="B412" s="31" t="inlineStr">
        <is>
          <t>2026-09-25</t>
        </is>
      </c>
      <c r="C412" s="31" t="inlineStr">
        <is>
          <t>Peru</t>
        </is>
      </c>
      <c r="D412" s="31" t="inlineStr">
        <is>
          <t>Yes</t>
        </is>
      </c>
      <c r="E412" s="32" t="inlineStr">
        <is>
          <t>Guillermo Shinno</t>
        </is>
      </c>
      <c r="F412" s="32" t="inlineStr">
        <is>
          <t>Minister of Energy and Mines of Peru</t>
        </is>
      </c>
      <c r="G412" s="32" t="inlineStr">
        <is>
          <t>LatAm executive</t>
        </is>
      </c>
      <c r="H412" s="32" t="inlineStr">
        <is>
          <t>interview</t>
        </is>
      </c>
      <c r="I412" s="32" t="inlineStr">
        <is>
          <t>After Rubio visit; Chinese and US firms seeking copper projects</t>
        </is>
      </c>
      <c r="J412" s="32" t="inlineStr">
        <is>
          <t>Shinno said interest from investors is enormous, that new projects could add a million tonnes of annual copper output in five to six years, that 27 permits could be eliminated without lowering environmental standards, and that he hoped more US companies would come.</t>
        </is>
      </c>
      <c r="K412" s="32" t="inlineStr">
        <is>
          <t>copper</t>
        </is>
      </c>
      <c r="L412" s="32" t="inlineStr">
        <is>
          <t>foreign investment, environment water, corruption governance</t>
        </is>
      </c>
      <c r="M412" s="31" t="inlineStr">
        <is>
          <t>not mentioned</t>
        </is>
      </c>
      <c r="N412" s="31" t="inlineStr">
        <is>
          <t>positive</t>
        </is>
      </c>
      <c r="O412" s="32" t="inlineStr">
        <is>
          <t>We hope that more American companies will be encouraged to come.</t>
        </is>
      </c>
      <c r="P412" s="32" t="inlineStr">
        <is>
          <t>We hope that more American companies will be encouraged to come.</t>
        </is>
      </c>
      <c r="Q412" s="31" t="inlineStr">
        <is>
          <t>en</t>
        </is>
      </c>
      <c r="R412" s="33" t="inlineStr">
        <is>
          <t>Reuters via KFGO</t>
        </is>
      </c>
      <c r="S412" s="32" t="inlineStr">
        <is>
          <t>news media</t>
        </is>
      </c>
      <c r="T412" s="32" t="inlineStr">
        <is>
          <t>secondary reported</t>
        </is>
      </c>
      <c r="U412" s="32" t="inlineStr">
        <is>
          <t>English translation of Spanish interview</t>
        </is>
      </c>
    </row>
    <row r="413" ht="45.75" customHeight="1" s="24">
      <c r="A413" s="31" t="inlineStr">
        <is>
          <t>PS-0390</t>
        </is>
      </c>
      <c r="B413" s="31" t="inlineStr">
        <is>
          <t>2026-09-30</t>
        </is>
      </c>
      <c r="C413" s="31" t="inlineStr">
        <is>
          <t>Panama</t>
        </is>
      </c>
      <c r="D413" s="31" t="inlineStr">
        <is>
          <t>No</t>
        </is>
      </c>
      <c r="E413" s="32" t="inlineStr">
        <is>
          <t>Felipe Chapman</t>
        </is>
      </c>
      <c r="F413" s="32" t="inlineStr">
        <is>
          <t>Minister of Economy and Finance of Panama</t>
        </is>
      </c>
      <c r="G413" s="32" t="inlineStr">
        <is>
          <t>LatAm executive</t>
        </is>
      </c>
      <c r="H413" s="32" t="inlineStr">
        <is>
          <t>official statement</t>
        </is>
      </c>
      <c r="I413" s="32" t="inlineStr">
        <is>
          <t>Delivery of Interministerial Commission final report on Cobre Panamá site</t>
        </is>
      </c>
      <c r="J413" s="32" t="inlineStr">
        <is>
          <t>Chapman said any solution for the Cobre Panamá site must cost the state budget nothing.</t>
        </is>
      </c>
      <c r="K413" s="32" t="inlineStr">
        <is>
          <t>copper</t>
        </is>
      </c>
      <c r="L413" s="32" t="inlineStr">
        <is>
          <t>royalties taxation, financing credit</t>
        </is>
      </c>
      <c r="M413" s="31" t="inlineStr">
        <is>
          <t>not mentioned</t>
        </is>
      </c>
      <c r="N413" s="31" t="inlineStr">
        <is>
          <t>not mentioned</t>
        </is>
      </c>
      <c r="O413" s="32" t="inlineStr">
        <is>
          <t>Cero es lo que debe costar al Presupuesto General del Estado.</t>
        </is>
      </c>
      <c r="P413" s="32" t="inlineStr">
        <is>
          <t>Zero is what it must cost the General State Budget.</t>
        </is>
      </c>
      <c r="Q413" s="31" t="inlineStr">
        <is>
          <t>es</t>
        </is>
      </c>
      <c r="R413" s="33" t="inlineStr">
        <is>
          <t>Presidencia de la República de Panamá</t>
        </is>
      </c>
      <c r="S413" s="32" t="inlineStr">
        <is>
          <t>primary official</t>
        </is>
      </c>
      <c r="T413" s="32" t="inlineStr">
        <is>
          <t>primary verified</t>
        </is>
      </c>
      <c r="U413" s="32" t="inlineStr"/>
    </row>
    <row r="414" ht="45.75" customHeight="1" s="24">
      <c r="A414" s="31" t="inlineStr">
        <is>
          <t>PS-0391</t>
        </is>
      </c>
      <c r="B414" s="31" t="inlineStr">
        <is>
          <t>2026-09-30</t>
        </is>
      </c>
      <c r="C414" s="31" t="inlineStr">
        <is>
          <t>Panama</t>
        </is>
      </c>
      <c r="D414" s="31" t="inlineStr">
        <is>
          <t>No</t>
        </is>
      </c>
      <c r="E414" s="32" t="inlineStr">
        <is>
          <t>José Raúl Mulino</t>
        </is>
      </c>
      <c r="F414" s="32" t="inlineStr">
        <is>
          <t>President of Panama</t>
        </is>
      </c>
      <c r="G414" s="32" t="inlineStr">
        <is>
          <t>LatAm executive</t>
        </is>
      </c>
      <c r="H414" s="32" t="inlineStr">
        <is>
          <t>official statement</t>
        </is>
      </c>
      <c r="I414" s="32" t="inlineStr">
        <is>
          <t>Delivery of Interministerial Commission final report on Cobre Panamá site</t>
        </is>
      </c>
      <c r="J414" s="32" t="inlineStr">
        <is>
          <t>Mulino received the commission's final report, set six non-negotiable criteria (respect for the Court ruling, state sovereignty over minerals, zero fiscal cost, transparency, community priority, international supervision) and said he would not rush a decision.</t>
        </is>
      </c>
      <c r="K414" s="32" t="inlineStr">
        <is>
          <t>copper</t>
        </is>
      </c>
      <c r="L414" s="32" t="inlineStr">
        <is>
          <t>sovereignty, environment water, royalties taxation, corruption governance</t>
        </is>
      </c>
      <c r="M414" s="31" t="inlineStr">
        <is>
          <t>not mentioned</t>
        </is>
      </c>
      <c r="N414" s="31" t="inlineStr">
        <is>
          <t>not mentioned</t>
        </is>
      </c>
      <c r="O414" s="32" t="inlineStr">
        <is>
          <t>Esos seis no se negocian. Todo lo demás se estudia.</t>
        </is>
      </c>
      <c r="P414" s="32" t="inlineStr">
        <is>
          <t>Those six are not negotiable. Everything else will be studied.</t>
        </is>
      </c>
      <c r="Q414" s="31" t="inlineStr">
        <is>
          <t>es</t>
        </is>
      </c>
      <c r="R414" s="33" t="inlineStr">
        <is>
          <t>Presidencia de la República de Panamá</t>
        </is>
      </c>
      <c r="S414" s="32" t="inlineStr">
        <is>
          <t>primary official</t>
        </is>
      </c>
      <c r="T414" s="32" t="inlineStr">
        <is>
          <t>primary verified</t>
        </is>
      </c>
      <c r="U414" s="32" t="inlineStr"/>
    </row>
    <row r="415" ht="45.75" customHeight="1" s="24">
      <c r="A415" s="31" t="inlineStr">
        <is>
          <t>PS-0392</t>
        </is>
      </c>
      <c r="B415" s="31" t="inlineStr">
        <is>
          <t>2026-09-30</t>
        </is>
      </c>
      <c r="C415" s="31" t="inlineStr">
        <is>
          <t>Panama</t>
        </is>
      </c>
      <c r="D415" s="31" t="inlineStr">
        <is>
          <t>No</t>
        </is>
      </c>
      <c r="E415" s="32" t="inlineStr">
        <is>
          <t>Juan Carlos Navarro</t>
        </is>
      </c>
      <c r="F415" s="32" t="inlineStr">
        <is>
          <t>Minister of Environment of Panama</t>
        </is>
      </c>
      <c r="G415" s="32" t="inlineStr">
        <is>
          <t>LatAm executive</t>
        </is>
      </c>
      <c r="H415" s="32" t="inlineStr">
        <is>
          <t>official statement</t>
        </is>
      </c>
      <c r="I415" s="32" t="inlineStr">
        <is>
          <t>Delivery of Interministerial Commission final report on Cobre Panamá site</t>
        </is>
      </c>
      <c r="J415" s="32" t="inlineStr">
        <is>
          <t>Navarro said inaction at the mine site is not an option and that closure must be independently verified rather than declared by the company doing the closing.</t>
        </is>
      </c>
      <c r="K415" s="32" t="inlineStr">
        <is>
          <t>copper</t>
        </is>
      </c>
      <c r="L415" s="32" t="inlineStr">
        <is>
          <t>environment water, corruption governance</t>
        </is>
      </c>
      <c r="M415" s="31" t="inlineStr">
        <is>
          <t>not mentioned</t>
        </is>
      </c>
      <c r="N415" s="31" t="inlineStr">
        <is>
          <t>not mentioned</t>
        </is>
      </c>
      <c r="O415" s="32" t="inlineStr">
        <is>
          <t>Lo que está prohibido es NO HACER NADA.</t>
        </is>
      </c>
      <c r="P415" s="32" t="inlineStr">
        <is>
          <t>What is forbidden is to DO NOTHING.</t>
        </is>
      </c>
      <c r="Q415" s="31" t="inlineStr">
        <is>
          <t>es</t>
        </is>
      </c>
      <c r="R415" s="33" t="inlineStr">
        <is>
          <t>Presidencia de la República de Panamá</t>
        </is>
      </c>
      <c r="S415" s="32" t="inlineStr">
        <is>
          <t>primary official</t>
        </is>
      </c>
      <c r="T415" s="32" t="inlineStr">
        <is>
          <t>primary verified</t>
        </is>
      </c>
      <c r="U415" s="32" t="inlineStr"/>
    </row>
    <row r="416" ht="45.75" customHeight="1" s="24">
      <c r="A416" s="31" t="inlineStr">
        <is>
          <t>PS-0393</t>
        </is>
      </c>
      <c r="B416" s="31" t="inlineStr">
        <is>
          <t>2026-09-30</t>
        </is>
      </c>
      <c r="C416" s="31" t="inlineStr">
        <is>
          <t>Panama</t>
        </is>
      </c>
      <c r="D416" s="31" t="inlineStr">
        <is>
          <t>No</t>
        </is>
      </c>
      <c r="E416" s="32" t="inlineStr">
        <is>
          <t>Julio Moltó</t>
        </is>
      </c>
      <c r="F416" s="32" t="inlineStr">
        <is>
          <t>Minister of Commerce and Industries of Panama</t>
        </is>
      </c>
      <c r="G416" s="32" t="inlineStr">
        <is>
          <t>LatAm executive</t>
        </is>
      </c>
      <c r="H416" s="32" t="inlineStr">
        <is>
          <t>official statement</t>
        </is>
      </c>
      <c r="I416" s="32" t="inlineStr">
        <is>
          <t>Delivery of Interministerial Commission final report on Cobre Panamá site</t>
        </is>
      </c>
      <c r="J416" s="32" t="inlineStr">
        <is>
          <t>Moltó argued that indefinite indecision on the mine is the costliest option and is paid by the most vulnerable citizens, citing lost foreign exchange and jobs.</t>
        </is>
      </c>
      <c r="K416" s="32" t="inlineStr">
        <is>
          <t>copper</t>
        </is>
      </c>
      <c r="L416" s="32" t="inlineStr">
        <is>
          <t>labor social conflict, foreign investment</t>
        </is>
      </c>
      <c r="M416" s="31" t="inlineStr">
        <is>
          <t>not mentioned</t>
        </is>
      </c>
      <c r="N416" s="31" t="inlineStr">
        <is>
          <t>not mentioned</t>
        </is>
      </c>
      <c r="O416" s="32" t="inlineStr">
        <is>
          <t>la más costosa de todas, y la pagan los ciudadanos más vulnerables</t>
        </is>
      </c>
      <c r="P416" s="32" t="inlineStr">
        <is>
          <t>the costliest of all, and it is paid by the most vulnerable citizens</t>
        </is>
      </c>
      <c r="Q416" s="31" t="inlineStr">
        <is>
          <t>es</t>
        </is>
      </c>
      <c r="R416" s="33" t="inlineStr">
        <is>
          <t>Presidencia de la República de Panamá</t>
        </is>
      </c>
      <c r="S416" s="32" t="inlineStr">
        <is>
          <t>primary official</t>
        </is>
      </c>
      <c r="T416" s="32" t="inlineStr">
        <is>
          <t>primary verified</t>
        </is>
      </c>
      <c r="U416" s="32" t="inlineStr"/>
    </row>
    <row r="417" ht="45.75" customHeight="1" s="24">
      <c r="A417" s="31" t="inlineStr">
        <is>
          <t>PS-0394</t>
        </is>
      </c>
      <c r="B417" s="31" t="inlineStr">
        <is>
          <t>2026-10-02</t>
        </is>
      </c>
      <c r="C417" s="31" t="inlineStr">
        <is>
          <t>Bolivia</t>
        </is>
      </c>
      <c r="D417" s="31" t="inlineStr">
        <is>
          <t>Yes</t>
        </is>
      </c>
      <c r="E417" s="32" t="inlineStr">
        <is>
          <t>Rodrigo Paz</t>
        </is>
      </c>
      <c r="F417" s="32" t="inlineStr">
        <is>
          <t>President of Bolivia</t>
        </is>
      </c>
      <c r="G417" s="32" t="inlineStr">
        <is>
          <t>LatAm executive</t>
        </is>
      </c>
      <c r="H417" s="32" t="inlineStr">
        <is>
          <t>speech</t>
        </is>
      </c>
      <c r="I417" s="32" t="inlineStr">
        <is>
          <t>Push to open mining to foreign investment vs. cooperatives</t>
        </is>
      </c>
      <c r="J417" s="32" t="inlineStr">
        <is>
          <t>Paz asked why Bolivia should choose to be poor when it has everything needed to become highly developed, as his government courts foreign mining investment amid tensions with ~500,000 cooperative miners.</t>
        </is>
      </c>
      <c r="K417" s="32" t="inlineStr">
        <is>
          <t>critical minerals general, silver, tin, zinc, antimony</t>
        </is>
      </c>
      <c r="L417" s="32" t="inlineStr">
        <is>
          <t>foreign investment, labor social conflict</t>
        </is>
      </c>
      <c r="M417" s="31" t="inlineStr">
        <is>
          <t>not mentioned</t>
        </is>
      </c>
      <c r="N417" s="31" t="inlineStr">
        <is>
          <t>not mentioned</t>
        </is>
      </c>
      <c r="O417" s="32" t="inlineStr">
        <is>
          <t>¿Por qué queremos ser pobres si tenemos todo lo necesario para convertirnos en un país altamente desarrollado?</t>
        </is>
      </c>
      <c r="P417" s="32" t="inlineStr">
        <is>
          <t>Why do we want to be poor if we have everything necessary to become a highly developed country?</t>
        </is>
      </c>
      <c r="Q417" s="31" t="inlineStr">
        <is>
          <t>es</t>
        </is>
      </c>
      <c r="R417" s="33" t="inlineStr">
        <is>
          <t>Gestión (Bloomberg)</t>
        </is>
      </c>
      <c r="S417" s="32" t="inlineStr">
        <is>
          <t>news media</t>
        </is>
      </c>
      <c r="T417" s="32" t="inlineStr">
        <is>
          <t>secondary reported</t>
        </is>
      </c>
      <c r="U417" s="32" t="inlineStr">
        <is>
          <t>Date is article date; original date of Paz's remark unknown.</t>
        </is>
      </c>
    </row>
    <row r="418" ht="45.75" customHeight="1" s="24">
      <c r="A418" s="31" t="inlineStr">
        <is>
          <t>PS-0395</t>
        </is>
      </c>
      <c r="B418" s="31" t="inlineStr">
        <is>
          <t>2026-10-02</t>
        </is>
      </c>
      <c r="C418" s="31" t="inlineStr">
        <is>
          <t>Bolivia</t>
        </is>
      </c>
      <c r="D418" s="31" t="inlineStr">
        <is>
          <t>Yes</t>
        </is>
      </c>
      <c r="E418" s="32" t="inlineStr">
        <is>
          <t>Óscar Chavarría</t>
        </is>
      </c>
      <c r="F418" s="32" t="inlineStr">
        <is>
          <t>Leader, mining cooperative federation (Potosí)</t>
        </is>
      </c>
      <c r="G418" s="32" t="inlineStr">
        <is>
          <t>Other (business, civil society, third countries)</t>
        </is>
      </c>
      <c r="H418" s="32" t="inlineStr">
        <is>
          <t>interview</t>
        </is>
      </c>
      <c r="I418" s="32" t="inlineStr">
        <is>
          <t>Cooperatives vs. foreign mining investment</t>
        </is>
      </c>
      <c r="J418" s="32" t="inlineStr">
        <is>
          <t>A Potosí cooperative leader said Potosí should be like Dubai but the wealth extracted there is taken away.</t>
        </is>
      </c>
      <c r="K418" s="32" t="inlineStr">
        <is>
          <t>silver, tin, zinc, mining general</t>
        </is>
      </c>
      <c r="L418" s="32" t="inlineStr">
        <is>
          <t>labor social conflict, royalties taxation</t>
        </is>
      </c>
      <c r="M418" s="31" t="inlineStr">
        <is>
          <t>not mentioned</t>
        </is>
      </c>
      <c r="N418" s="31" t="inlineStr">
        <is>
          <t>not mentioned</t>
        </is>
      </c>
      <c r="O418" s="32" t="inlineStr">
        <is>
          <t>Potosí debería ser como Dubái</t>
        </is>
      </c>
      <c r="P418" s="32" t="inlineStr">
        <is>
          <t>Potosí should be like Dubai</t>
        </is>
      </c>
      <c r="Q418" s="31" t="inlineStr">
        <is>
          <t>es</t>
        </is>
      </c>
      <c r="R418" s="33" t="inlineStr">
        <is>
          <t>Gestión (Bloomberg)</t>
        </is>
      </c>
      <c r="S418" s="32" t="inlineStr">
        <is>
          <t>news media</t>
        </is>
      </c>
      <c r="T418" s="32" t="inlineStr">
        <is>
          <t>secondary reported</t>
        </is>
      </c>
      <c r="U418" s="32" t="inlineStr">
        <is>
          <t>Article date.</t>
        </is>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418"/>
  </tableParts>
</worksheet>
</file>

<file path=xl/worksheets/sheet3.xml><?xml version="1.0" encoding="utf-8"?>
<worksheet xmlns="http://schemas.openxmlformats.org/spreadsheetml/2006/main">
  <sheetPr filterMode="0">
    <outlinePr summaryBelow="1" summaryRight="1"/>
    <pageSetUpPr fitToPage="0"/>
  </sheetPr>
  <dimension ref="A1:K81"/>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zeroHeight="0" outlineLevelRow="0"/>
  <cols>
    <col width="24" customWidth="1" style="23" min="1" max="1"/>
    <col width="16" customWidth="1" style="23" min="2" max="2"/>
    <col width="13" customWidth="1" style="23" min="3" max="10"/>
  </cols>
  <sheetData>
    <row r="1" ht="17.25" customHeight="1" s="24">
      <c r="A1" s="34" t="inlineStr">
        <is>
          <t>Coverage of the statements dataset</t>
        </is>
      </c>
    </row>
    <row r="2" ht="15" customHeight="1" s="24">
      <c r="A2" s="35" t="inlineStr">
        <is>
          <t>All counts are COUNTIFS/SUMPRODUCT formulas on the Data sheet; they update if rows are added inside the Data range.</t>
        </is>
      </c>
    </row>
    <row r="3"/>
    <row r="4" ht="15" customHeight="1" s="24"/>
    <row r="5" ht="42" customHeight="1" s="24"/>
    <row r="6" ht="15" customHeight="1" s="24">
      <c r="A6" s="36" t="inlineStr">
        <is>
          <t>Statements by country (the "country" field) and speaker bloc</t>
        </is>
      </c>
    </row>
    <row r="7" ht="15" customHeight="1" s="24">
      <c r="A7" s="37" t="inlineStr">
        <is>
          <t>Code</t>
        </is>
      </c>
      <c r="B7" s="37" t="inlineStr">
        <is>
          <t>Country</t>
        </is>
      </c>
      <c r="C7" s="37" t="inlineStr">
        <is>
          <t>LatAm executive</t>
        </is>
      </c>
      <c r="D7" s="37" t="inlineStr">
        <is>
          <t>United States</t>
        </is>
      </c>
      <c r="E7" s="37" t="inlineStr">
        <is>
          <t>LatAm legislature</t>
        </is>
      </c>
      <c r="F7" s="37" t="inlineStr">
        <is>
          <t>China</t>
        </is>
      </c>
      <c r="G7" s="37" t="inlineStr">
        <is>
          <t>Other (business, civil society, third countries)</t>
        </is>
      </c>
      <c r="H7" s="37" t="inlineStr">
        <is>
          <t>LatAm party/candidate</t>
        </is>
      </c>
      <c r="I7" s="37" t="inlineStr">
        <is>
          <t>LatAm state company</t>
        </is>
      </c>
      <c r="J7" s="37" t="inlineStr">
        <is>
          <t>LatAm judiciary</t>
        </is>
      </c>
      <c r="K7" s="37" t="inlineStr">
        <is>
          <t>Total</t>
        </is>
      </c>
    </row>
    <row r="8" ht="15" customHeight="1" s="24">
      <c r="A8" s="38" t="inlineStr">
        <is>
          <t>CHL</t>
        </is>
      </c>
      <c r="B8" s="38" t="inlineStr">
        <is>
          <t>Chile</t>
        </is>
      </c>
      <c r="C8" s="39">
        <f>COUNTIFS(Data!$D$2:$D$418,$A8,Data!$H$2:$H$418,"LatAm executive")</f>
        <v/>
      </c>
      <c r="D8" s="39">
        <f>COUNTIFS(Data!$D$2:$D$418,$A8,Data!$H$2:$H$418,"United States")</f>
        <v/>
      </c>
      <c r="E8" s="39">
        <f>COUNTIFS(Data!$D$2:$D$418,$A8,Data!$H$2:$H$418,"LatAm legislature")</f>
        <v/>
      </c>
      <c r="F8" s="39">
        <f>COUNTIFS(Data!$D$2:$D$418,$A8,Data!$H$2:$H$418,"China")</f>
        <v/>
      </c>
      <c r="G8" s="39">
        <f>COUNTIFS(Data!$D$2:$D$418,$A8,Data!$H$2:$H$418,"Other (business, civil society, third countries)")</f>
        <v/>
      </c>
      <c r="H8" s="39">
        <f>COUNTIFS(Data!$D$2:$D$418,$A8,Data!$H$2:$H$418,"LatAm party/candidate")</f>
        <v/>
      </c>
      <c r="I8" s="39">
        <f>COUNTIFS(Data!$D$2:$D$418,$A8,Data!$H$2:$H$418,"LatAm state company")</f>
        <v/>
      </c>
      <c r="J8" s="39">
        <f>COUNTIFS(Data!$D$2:$D$418,$A8,Data!$H$2:$H$418,"LatAm judiciary")</f>
        <v/>
      </c>
      <c r="K8" s="40">
        <f>SUM(C6:J6)</f>
        <v/>
      </c>
    </row>
    <row r="9" ht="15" customHeight="1" s="24">
      <c r="A9" s="38" t="inlineStr">
        <is>
          <t>PER</t>
        </is>
      </c>
      <c r="B9" s="38" t="inlineStr">
        <is>
          <t>Peru</t>
        </is>
      </c>
      <c r="C9" s="39">
        <f>COUNTIFS(Data!$D$2:$D$418,$A9,Data!$H$2:$H$418,"LatAm executive")</f>
        <v/>
      </c>
      <c r="D9" s="39">
        <f>COUNTIFS(Data!$D$2:$D$418,$A9,Data!$H$2:$H$418,"United States")</f>
        <v/>
      </c>
      <c r="E9" s="39">
        <f>COUNTIFS(Data!$D$2:$D$418,$A9,Data!$H$2:$H$418,"LatAm legislature")</f>
        <v/>
      </c>
      <c r="F9" s="39">
        <f>COUNTIFS(Data!$D$2:$D$418,$A9,Data!$H$2:$H$418,"China")</f>
        <v/>
      </c>
      <c r="G9" s="39">
        <f>COUNTIFS(Data!$D$2:$D$418,$A9,Data!$H$2:$H$418,"Other (business, civil society, third countries)")</f>
        <v/>
      </c>
      <c r="H9" s="39">
        <f>COUNTIFS(Data!$D$2:$D$418,$A9,Data!$H$2:$H$418,"LatAm party/candidate")</f>
        <v/>
      </c>
      <c r="I9" s="39">
        <f>COUNTIFS(Data!$D$2:$D$418,$A9,Data!$H$2:$H$418,"LatAm state company")</f>
        <v/>
      </c>
      <c r="J9" s="39">
        <f>COUNTIFS(Data!$D$2:$D$418,$A9,Data!$H$2:$H$418,"LatAm judiciary")</f>
        <v/>
      </c>
      <c r="K9" s="40">
        <f>SUM(C6:J6)</f>
        <v/>
      </c>
    </row>
    <row r="10" ht="15" customHeight="1" s="24">
      <c r="A10" s="38" t="inlineStr">
        <is>
          <t>BRA</t>
        </is>
      </c>
      <c r="B10" s="38" t="inlineStr">
        <is>
          <t>Brazil</t>
        </is>
      </c>
      <c r="C10" s="39">
        <f>COUNTIFS(Data!$D$2:$D$418,$A10,Data!$H$2:$H$418,"LatAm executive")</f>
        <v/>
      </c>
      <c r="D10" s="39">
        <f>COUNTIFS(Data!$D$2:$D$418,$A10,Data!$H$2:$H$418,"United States")</f>
        <v/>
      </c>
      <c r="E10" s="39">
        <f>COUNTIFS(Data!$D$2:$D$418,$A10,Data!$H$2:$H$418,"LatAm legislature")</f>
        <v/>
      </c>
      <c r="F10" s="39">
        <f>COUNTIFS(Data!$D$2:$D$418,$A10,Data!$H$2:$H$418,"China")</f>
        <v/>
      </c>
      <c r="G10" s="39">
        <f>COUNTIFS(Data!$D$2:$D$418,$A10,Data!$H$2:$H$418,"Other (business, civil society, third countries)")</f>
        <v/>
      </c>
      <c r="H10" s="39">
        <f>COUNTIFS(Data!$D$2:$D$418,$A10,Data!$H$2:$H$418,"LatAm party/candidate")</f>
        <v/>
      </c>
      <c r="I10" s="39">
        <f>COUNTIFS(Data!$D$2:$D$418,$A10,Data!$H$2:$H$418,"LatAm state company")</f>
        <v/>
      </c>
      <c r="J10" s="39">
        <f>COUNTIFS(Data!$D$2:$D$418,$A10,Data!$H$2:$H$418,"LatAm judiciary")</f>
        <v/>
      </c>
      <c r="K10" s="40">
        <f>SUM(C6:J6)</f>
        <v/>
      </c>
    </row>
    <row r="11" ht="15" customHeight="1" s="24">
      <c r="A11" s="38" t="inlineStr">
        <is>
          <t>ARG</t>
        </is>
      </c>
      <c r="B11" s="38" t="inlineStr">
        <is>
          <t>Argentina</t>
        </is>
      </c>
      <c r="C11" s="39">
        <f>COUNTIFS(Data!$D$2:$D$418,$A11,Data!$H$2:$H$418,"LatAm executive")</f>
        <v/>
      </c>
      <c r="D11" s="39">
        <f>COUNTIFS(Data!$D$2:$D$418,$A11,Data!$H$2:$H$418,"United States")</f>
        <v/>
      </c>
      <c r="E11" s="39">
        <f>COUNTIFS(Data!$D$2:$D$418,$A11,Data!$H$2:$H$418,"LatAm legislature")</f>
        <v/>
      </c>
      <c r="F11" s="39">
        <f>COUNTIFS(Data!$D$2:$D$418,$A11,Data!$H$2:$H$418,"China")</f>
        <v/>
      </c>
      <c r="G11" s="39">
        <f>COUNTIFS(Data!$D$2:$D$418,$A11,Data!$H$2:$H$418,"Other (business, civil society, third countries)")</f>
        <v/>
      </c>
      <c r="H11" s="39">
        <f>COUNTIFS(Data!$D$2:$D$418,$A11,Data!$H$2:$H$418,"LatAm party/candidate")</f>
        <v/>
      </c>
      <c r="I11" s="39">
        <f>COUNTIFS(Data!$D$2:$D$418,$A11,Data!$H$2:$H$418,"LatAm state company")</f>
        <v/>
      </c>
      <c r="J11" s="39">
        <f>COUNTIFS(Data!$D$2:$D$418,$A11,Data!$H$2:$H$418,"LatAm judiciary")</f>
        <v/>
      </c>
      <c r="K11" s="40">
        <f>SUM(C6:J6)</f>
        <v/>
      </c>
    </row>
    <row r="12" ht="15" customHeight="1" s="24">
      <c r="A12" s="38" t="inlineStr">
        <is>
          <t>BOL</t>
        </is>
      </c>
      <c r="B12" s="38" t="inlineStr">
        <is>
          <t>Bolivia</t>
        </is>
      </c>
      <c r="C12" s="39">
        <f>COUNTIFS(Data!$D$2:$D$418,$A12,Data!$H$2:$H$418,"LatAm executive")</f>
        <v/>
      </c>
      <c r="D12" s="39">
        <f>COUNTIFS(Data!$D$2:$D$418,$A12,Data!$H$2:$H$418,"United States")</f>
        <v/>
      </c>
      <c r="E12" s="39">
        <f>COUNTIFS(Data!$D$2:$D$418,$A12,Data!$H$2:$H$418,"LatAm legislature")</f>
        <v/>
      </c>
      <c r="F12" s="39">
        <f>COUNTIFS(Data!$D$2:$D$418,$A12,Data!$H$2:$H$418,"China")</f>
        <v/>
      </c>
      <c r="G12" s="39">
        <f>COUNTIFS(Data!$D$2:$D$418,$A12,Data!$H$2:$H$418,"Other (business, civil society, third countries)")</f>
        <v/>
      </c>
      <c r="H12" s="39">
        <f>COUNTIFS(Data!$D$2:$D$418,$A12,Data!$H$2:$H$418,"LatAm party/candidate")</f>
        <v/>
      </c>
      <c r="I12" s="39">
        <f>COUNTIFS(Data!$D$2:$D$418,$A12,Data!$H$2:$H$418,"LatAm state company")</f>
        <v/>
      </c>
      <c r="J12" s="39">
        <f>COUNTIFS(Data!$D$2:$D$418,$A12,Data!$H$2:$H$418,"LatAm judiciary")</f>
        <v/>
      </c>
      <c r="K12" s="40">
        <f>SUM(C6:J6)</f>
        <v/>
      </c>
    </row>
    <row r="13" ht="15" customHeight="1" s="24">
      <c r="A13" s="38" t="inlineStr">
        <is>
          <t>MEX</t>
        </is>
      </c>
      <c r="B13" s="38" t="inlineStr">
        <is>
          <t>Mexico</t>
        </is>
      </c>
      <c r="C13" s="39">
        <f>COUNTIFS(Data!$D$2:$D$418,$A13,Data!$H$2:$H$418,"LatAm executive")</f>
        <v/>
      </c>
      <c r="D13" s="39">
        <f>COUNTIFS(Data!$D$2:$D$418,$A13,Data!$H$2:$H$418,"United States")</f>
        <v/>
      </c>
      <c r="E13" s="39">
        <f>COUNTIFS(Data!$D$2:$D$418,$A13,Data!$H$2:$H$418,"LatAm legislature")</f>
        <v/>
      </c>
      <c r="F13" s="39">
        <f>COUNTIFS(Data!$D$2:$D$418,$A13,Data!$H$2:$H$418,"China")</f>
        <v/>
      </c>
      <c r="G13" s="39">
        <f>COUNTIFS(Data!$D$2:$D$418,$A13,Data!$H$2:$H$418,"Other (business, civil society, third countries)")</f>
        <v/>
      </c>
      <c r="H13" s="39">
        <f>COUNTIFS(Data!$D$2:$D$418,$A13,Data!$H$2:$H$418,"LatAm party/candidate")</f>
        <v/>
      </c>
      <c r="I13" s="39">
        <f>COUNTIFS(Data!$D$2:$D$418,$A13,Data!$H$2:$H$418,"LatAm state company")</f>
        <v/>
      </c>
      <c r="J13" s="39">
        <f>COUNTIFS(Data!$D$2:$D$418,$A13,Data!$H$2:$H$418,"LatAm judiciary")</f>
        <v/>
      </c>
      <c r="K13" s="40">
        <f>SUM(C6:J6)</f>
        <v/>
      </c>
    </row>
    <row r="14" ht="15" customHeight="1" s="24">
      <c r="A14" s="38" t="inlineStr">
        <is>
          <t>REG</t>
        </is>
      </c>
      <c r="B14" s="38" t="inlineStr">
        <is>
          <t>Regional</t>
        </is>
      </c>
      <c r="C14" s="39">
        <f>COUNTIFS(Data!$D$2:$D$418,$A14,Data!$H$2:$H$418,"LatAm executive")</f>
        <v/>
      </c>
      <c r="D14" s="39">
        <f>COUNTIFS(Data!$D$2:$D$418,$A14,Data!$H$2:$H$418,"United States")</f>
        <v/>
      </c>
      <c r="E14" s="39">
        <f>COUNTIFS(Data!$D$2:$D$418,$A14,Data!$H$2:$H$418,"LatAm legislature")</f>
        <v/>
      </c>
      <c r="F14" s="39">
        <f>COUNTIFS(Data!$D$2:$D$418,$A14,Data!$H$2:$H$418,"China")</f>
        <v/>
      </c>
      <c r="G14" s="39">
        <f>COUNTIFS(Data!$D$2:$D$418,$A14,Data!$H$2:$H$418,"Other (business, civil society, third countries)")</f>
        <v/>
      </c>
      <c r="H14" s="39">
        <f>COUNTIFS(Data!$D$2:$D$418,$A14,Data!$H$2:$H$418,"LatAm party/candidate")</f>
        <v/>
      </c>
      <c r="I14" s="39">
        <f>COUNTIFS(Data!$D$2:$D$418,$A14,Data!$H$2:$H$418,"LatAm state company")</f>
        <v/>
      </c>
      <c r="J14" s="39">
        <f>COUNTIFS(Data!$D$2:$D$418,$A14,Data!$H$2:$H$418,"LatAm judiciary")</f>
        <v/>
      </c>
      <c r="K14" s="40">
        <f>SUM(C6:J6)</f>
        <v/>
      </c>
    </row>
    <row r="15" ht="15" customHeight="1" s="24">
      <c r="A15" s="38" t="inlineStr">
        <is>
          <t>ECU</t>
        </is>
      </c>
      <c r="B15" s="38" t="inlineStr">
        <is>
          <t>Ecuador</t>
        </is>
      </c>
      <c r="C15" s="39">
        <f>COUNTIFS(Data!$D$2:$D$418,$A15,Data!$H$2:$H$418,"LatAm executive")</f>
        <v/>
      </c>
      <c r="D15" s="39">
        <f>COUNTIFS(Data!$D$2:$D$418,$A15,Data!$H$2:$H$418,"United States")</f>
        <v/>
      </c>
      <c r="E15" s="39">
        <f>COUNTIFS(Data!$D$2:$D$418,$A15,Data!$H$2:$H$418,"LatAm legislature")</f>
        <v/>
      </c>
      <c r="F15" s="39">
        <f>COUNTIFS(Data!$D$2:$D$418,$A15,Data!$H$2:$H$418,"China")</f>
        <v/>
      </c>
      <c r="G15" s="39">
        <f>COUNTIFS(Data!$D$2:$D$418,$A15,Data!$H$2:$H$418,"Other (business, civil society, third countries)")</f>
        <v/>
      </c>
      <c r="H15" s="39">
        <f>COUNTIFS(Data!$D$2:$D$418,$A15,Data!$H$2:$H$418,"LatAm party/candidate")</f>
        <v/>
      </c>
      <c r="I15" s="39">
        <f>COUNTIFS(Data!$D$2:$D$418,$A15,Data!$H$2:$H$418,"LatAm state company")</f>
        <v/>
      </c>
      <c r="J15" s="39">
        <f>COUNTIFS(Data!$D$2:$D$418,$A15,Data!$H$2:$H$418,"LatAm judiciary")</f>
        <v/>
      </c>
      <c r="K15" s="40">
        <f>SUM(C6:J6)</f>
        <v/>
      </c>
    </row>
    <row r="16" ht="15" customHeight="1" s="24">
      <c r="A16" s="38" t="inlineStr">
        <is>
          <t>PAN</t>
        </is>
      </c>
      <c r="B16" s="38" t="inlineStr">
        <is>
          <t>Panama</t>
        </is>
      </c>
      <c r="C16" s="39">
        <f>COUNTIFS(Data!$D$2:$D$418,$A16,Data!$H$2:$H$418,"LatAm executive")</f>
        <v/>
      </c>
      <c r="D16" s="39">
        <f>COUNTIFS(Data!$D$2:$D$418,$A16,Data!$H$2:$H$418,"United States")</f>
        <v/>
      </c>
      <c r="E16" s="39">
        <f>COUNTIFS(Data!$D$2:$D$418,$A16,Data!$H$2:$H$418,"LatAm legislature")</f>
        <v/>
      </c>
      <c r="F16" s="39">
        <f>COUNTIFS(Data!$D$2:$D$418,$A16,Data!$H$2:$H$418,"China")</f>
        <v/>
      </c>
      <c r="G16" s="39">
        <f>COUNTIFS(Data!$D$2:$D$418,$A16,Data!$H$2:$H$418,"Other (business, civil society, third countries)")</f>
        <v/>
      </c>
      <c r="H16" s="39">
        <f>COUNTIFS(Data!$D$2:$D$418,$A16,Data!$H$2:$H$418,"LatAm party/candidate")</f>
        <v/>
      </c>
      <c r="I16" s="39">
        <f>COUNTIFS(Data!$D$2:$D$418,$A16,Data!$H$2:$H$418,"LatAm state company")</f>
        <v/>
      </c>
      <c r="J16" s="39">
        <f>COUNTIFS(Data!$D$2:$D$418,$A16,Data!$H$2:$H$418,"LatAm judiciary")</f>
        <v/>
      </c>
      <c r="K16" s="40">
        <f>SUM(C6:J6)</f>
        <v/>
      </c>
    </row>
    <row r="17" ht="15" customHeight="1" s="24">
      <c r="A17" s="38" t="inlineStr">
        <is>
          <t>COL</t>
        </is>
      </c>
      <c r="B17" s="38" t="inlineStr">
        <is>
          <t>Colombia</t>
        </is>
      </c>
      <c r="C17" s="39">
        <f>COUNTIFS(Data!$D$2:$D$418,$A17,Data!$H$2:$H$418,"LatAm executive")</f>
        <v/>
      </c>
      <c r="D17" s="39">
        <f>COUNTIFS(Data!$D$2:$D$418,$A17,Data!$H$2:$H$418,"United States")</f>
        <v/>
      </c>
      <c r="E17" s="39">
        <f>COUNTIFS(Data!$D$2:$D$418,$A17,Data!$H$2:$H$418,"LatAm legislature")</f>
        <v/>
      </c>
      <c r="F17" s="39">
        <f>COUNTIFS(Data!$D$2:$D$418,$A17,Data!$H$2:$H$418,"China")</f>
        <v/>
      </c>
      <c r="G17" s="39">
        <f>COUNTIFS(Data!$D$2:$D$418,$A17,Data!$H$2:$H$418,"Other (business, civil society, third countries)")</f>
        <v/>
      </c>
      <c r="H17" s="39">
        <f>COUNTIFS(Data!$D$2:$D$418,$A17,Data!$H$2:$H$418,"LatAm party/candidate")</f>
        <v/>
      </c>
      <c r="I17" s="39">
        <f>COUNTIFS(Data!$D$2:$D$418,$A17,Data!$H$2:$H$418,"LatAm state company")</f>
        <v/>
      </c>
      <c r="J17" s="39">
        <f>COUNTIFS(Data!$D$2:$D$418,$A17,Data!$H$2:$H$418,"LatAm judiciary")</f>
        <v/>
      </c>
      <c r="K17" s="40">
        <f>SUM(C6:J6)</f>
        <v/>
      </c>
    </row>
    <row r="18">
      <c r="A18" s="38" t="inlineStr">
        <is>
          <t>GUY</t>
        </is>
      </c>
      <c r="B18" s="38" t="inlineStr">
        <is>
          <t>Guyana</t>
        </is>
      </c>
      <c r="C18" s="39">
        <f>COUNTIFS(Data!$D$2:$D$418,$A18,Data!$H$2:$H$418,"LatAm executive")</f>
        <v/>
      </c>
      <c r="D18" s="39">
        <f>COUNTIFS(Data!$D$2:$D$418,$A18,Data!$H$2:$H$418,"United States")</f>
        <v/>
      </c>
      <c r="E18" s="39">
        <f>COUNTIFS(Data!$D$2:$D$418,$A18,Data!$H$2:$H$418,"LatAm legislature")</f>
        <v/>
      </c>
      <c r="F18" s="39">
        <f>COUNTIFS(Data!$D$2:$D$418,$A18,Data!$H$2:$H$418,"China")</f>
        <v/>
      </c>
      <c r="G18" s="39">
        <f>COUNTIFS(Data!$D$2:$D$418,$A18,Data!$H$2:$H$418,"Other (business, civil society, third countries)")</f>
        <v/>
      </c>
      <c r="H18" s="39">
        <f>COUNTIFS(Data!$D$2:$D$418,$A18,Data!$H$2:$H$418,"LatAm party/candidate")</f>
        <v/>
      </c>
      <c r="I18" s="39">
        <f>COUNTIFS(Data!$D$2:$D$418,$A18,Data!$H$2:$H$418,"LatAm state company")</f>
        <v/>
      </c>
      <c r="J18" s="39">
        <f>COUNTIFS(Data!$D$2:$D$418,$A18,Data!$H$2:$H$418,"LatAm judiciary")</f>
        <v/>
      </c>
      <c r="K18" s="40">
        <f>SUM(C6:J6)</f>
        <v/>
      </c>
    </row>
    <row r="19" ht="15" customHeight="1" s="24">
      <c r="A19" s="38" t="inlineStr">
        <is>
          <t>VEN</t>
        </is>
      </c>
      <c r="B19" s="38" t="inlineStr">
        <is>
          <t>Venezuela</t>
        </is>
      </c>
      <c r="C19" s="39">
        <f>COUNTIFS(Data!$D$2:$D$418,$A19,Data!$H$2:$H$418,"LatAm executive")</f>
        <v/>
      </c>
      <c r="D19" s="39">
        <f>COUNTIFS(Data!$D$2:$D$418,$A19,Data!$H$2:$H$418,"United States")</f>
        <v/>
      </c>
      <c r="E19" s="39">
        <f>COUNTIFS(Data!$D$2:$D$418,$A19,Data!$H$2:$H$418,"LatAm legislature")</f>
        <v/>
      </c>
      <c r="F19" s="39">
        <f>COUNTIFS(Data!$D$2:$D$418,$A19,Data!$H$2:$H$418,"China")</f>
        <v/>
      </c>
      <c r="G19" s="39">
        <f>COUNTIFS(Data!$D$2:$D$418,$A19,Data!$H$2:$H$418,"Other (business, civil society, third countries)")</f>
        <v/>
      </c>
      <c r="H19" s="39">
        <f>COUNTIFS(Data!$D$2:$D$418,$A19,Data!$H$2:$H$418,"LatAm party/candidate")</f>
        <v/>
      </c>
      <c r="I19" s="39">
        <f>COUNTIFS(Data!$D$2:$D$418,$A19,Data!$H$2:$H$418,"LatAm state company")</f>
        <v/>
      </c>
      <c r="J19" s="39">
        <f>COUNTIFS(Data!$D$2:$D$418,$A19,Data!$H$2:$H$418,"LatAm judiciary")</f>
        <v/>
      </c>
      <c r="K19" s="40">
        <f>SUM(C6:J6)</f>
        <v/>
      </c>
    </row>
    <row r="20" ht="42" customHeight="1" s="24">
      <c r="A20" s="38" t="inlineStr">
        <is>
          <t>PRY</t>
        </is>
      </c>
      <c r="B20" s="38" t="inlineStr">
        <is>
          <t>Paraguay</t>
        </is>
      </c>
      <c r="C20" s="39">
        <f>COUNTIFS(Data!$D$2:$D$418,$A20,Data!$H$2:$H$418,"LatAm executive")</f>
        <v/>
      </c>
      <c r="D20" s="39">
        <f>COUNTIFS(Data!$D$2:$D$418,$A20,Data!$H$2:$H$418,"United States")</f>
        <v/>
      </c>
      <c r="E20" s="39">
        <f>COUNTIFS(Data!$D$2:$D$418,$A20,Data!$H$2:$H$418,"LatAm legislature")</f>
        <v/>
      </c>
      <c r="F20" s="39">
        <f>COUNTIFS(Data!$D$2:$D$418,$A20,Data!$H$2:$H$418,"China")</f>
        <v/>
      </c>
      <c r="G20" s="39">
        <f>COUNTIFS(Data!$D$2:$D$418,$A20,Data!$H$2:$H$418,"Other (business, civil society, third countries)")</f>
        <v/>
      </c>
      <c r="H20" s="39">
        <f>COUNTIFS(Data!$D$2:$D$418,$A20,Data!$H$2:$H$418,"LatAm party/candidate")</f>
        <v/>
      </c>
      <c r="I20" s="39">
        <f>COUNTIFS(Data!$D$2:$D$418,$A20,Data!$H$2:$H$418,"LatAm state company")</f>
        <v/>
      </c>
      <c r="J20" s="39">
        <f>COUNTIFS(Data!$D$2:$D$418,$A20,Data!$H$2:$H$418,"LatAm judiciary")</f>
        <v/>
      </c>
      <c r="K20" s="40">
        <f>SUM(C6:J6)</f>
        <v/>
      </c>
    </row>
    <row r="21" ht="15" customHeight="1" s="24">
      <c r="A21" s="38" t="inlineStr">
        <is>
          <t>SUR</t>
        </is>
      </c>
      <c r="B21" s="38" t="inlineStr">
        <is>
          <t>Suriname</t>
        </is>
      </c>
      <c r="C21" s="39">
        <f>COUNTIFS(Data!$D$2:$D$418,$A21,Data!$H$2:$H$418,"LatAm executive")</f>
        <v/>
      </c>
      <c r="D21" s="39">
        <f>COUNTIFS(Data!$D$2:$D$418,$A21,Data!$H$2:$H$418,"United States")</f>
        <v/>
      </c>
      <c r="E21" s="39">
        <f>COUNTIFS(Data!$D$2:$D$418,$A21,Data!$H$2:$H$418,"LatAm legislature")</f>
        <v/>
      </c>
      <c r="F21" s="39">
        <f>COUNTIFS(Data!$D$2:$D$418,$A21,Data!$H$2:$H$418,"China")</f>
        <v/>
      </c>
      <c r="G21" s="39">
        <f>COUNTIFS(Data!$D$2:$D$418,$A21,Data!$H$2:$H$418,"Other (business, civil society, third countries)")</f>
        <v/>
      </c>
      <c r="H21" s="39">
        <f>COUNTIFS(Data!$D$2:$D$418,$A21,Data!$H$2:$H$418,"LatAm party/candidate")</f>
        <v/>
      </c>
      <c r="I21" s="39">
        <f>COUNTIFS(Data!$D$2:$D$418,$A21,Data!$H$2:$H$418,"LatAm state company")</f>
        <v/>
      </c>
      <c r="J21" s="39">
        <f>COUNTIFS(Data!$D$2:$D$418,$A21,Data!$H$2:$H$418,"LatAm judiciary")</f>
        <v/>
      </c>
      <c r="K21" s="40">
        <f>SUM(C6:J6)</f>
        <v/>
      </c>
    </row>
    <row r="22" ht="15" customHeight="1" s="24">
      <c r="A22" s="41" t="n"/>
      <c r="B22" s="42" t="inlineStr">
        <is>
          <t>Total</t>
        </is>
      </c>
      <c r="C22" s="40">
        <f>SUM(C8:C21)</f>
        <v/>
      </c>
      <c r="D22" s="40">
        <f>SUM(D8:D21)</f>
        <v/>
      </c>
      <c r="E22" s="40">
        <f>SUM(E8:E21)</f>
        <v/>
      </c>
      <c r="F22" s="40">
        <f>SUM(F8:F21)</f>
        <v/>
      </c>
      <c r="G22" s="40">
        <f>SUM(G8:G21)</f>
        <v/>
      </c>
      <c r="H22" s="40">
        <f>SUM(H8:H21)</f>
        <v/>
      </c>
      <c r="I22" s="40">
        <f>SUM(I8:I21)</f>
        <v/>
      </c>
      <c r="J22" s="40">
        <f>SUM(J8:J21)</f>
        <v/>
      </c>
      <c r="K22" s="40">
        <f>SUM(K8:K21)</f>
        <v/>
      </c>
    </row>
    <row r="23" ht="15" customHeight="1" s="24">
      <c r="B23" s="35" t="inlineStr">
        <is>
          <t>Check: rows in Data</t>
        </is>
      </c>
      <c r="K23" s="35">
        <f>COUNTA(Data!$A$2:$A$418)</f>
        <v/>
      </c>
    </row>
    <row r="24" ht="15" customHeight="1" s="24"/>
    <row r="25" ht="15" customHeight="1" s="24">
      <c r="A25" s="36" t="inlineStr">
        <is>
          <t>Stance toward China by country</t>
        </is>
      </c>
    </row>
    <row r="26" ht="15" customHeight="1" s="24">
      <c r="A26" s="37" t="inlineStr">
        <is>
          <t>Code</t>
        </is>
      </c>
      <c r="B26" s="37" t="inlineStr">
        <is>
          <t>Country</t>
        </is>
      </c>
      <c r="C26" s="37" t="inlineStr">
        <is>
          <t>positive</t>
        </is>
      </c>
      <c r="D26" s="37" t="inlineStr">
        <is>
          <t>neutral</t>
        </is>
      </c>
      <c r="E26" s="37" t="inlineStr">
        <is>
          <t>mixed</t>
        </is>
      </c>
      <c r="F26" s="37" t="inlineStr">
        <is>
          <t>negative</t>
        </is>
      </c>
      <c r="G26" s="37" t="inlineStr">
        <is>
          <t>not mentioned</t>
        </is>
      </c>
      <c r="H26" s="37" t="inlineStr">
        <is>
          <t>Total</t>
        </is>
      </c>
    </row>
    <row r="27" ht="15" customHeight="1" s="24">
      <c r="A27" s="38" t="inlineStr">
        <is>
          <t>CHL</t>
        </is>
      </c>
      <c r="B27" s="38" t="inlineStr">
        <is>
          <t>Chile</t>
        </is>
      </c>
      <c r="C27" s="39">
        <f>COUNTIFS(Data!$D$2:$D$418,$A27,Data!$Q$2:$Q$418,"positive")</f>
        <v/>
      </c>
      <c r="D27" s="39">
        <f>COUNTIFS(Data!$D$2:$D$418,$A27,Data!$Q$2:$Q$418,"neutral")</f>
        <v/>
      </c>
      <c r="E27" s="39">
        <f>COUNTIFS(Data!$D$2:$D$418,$A27,Data!$Q$2:$Q$418,"mixed")</f>
        <v/>
      </c>
      <c r="F27" s="39">
        <f>COUNTIFS(Data!$D$2:$D$418,$A27,Data!$Q$2:$Q$418,"negative")</f>
        <v/>
      </c>
      <c r="G27" s="39">
        <f>COUNTIFS(Data!$D$2:$D$418,$A27,Data!$Q$2:$Q$418,"not_mentioned")</f>
        <v/>
      </c>
      <c r="H27" s="40">
        <f>SUM(C21:G21)</f>
        <v/>
      </c>
    </row>
    <row r="28" ht="15" customHeight="1" s="24">
      <c r="A28" s="38" t="inlineStr">
        <is>
          <t>PER</t>
        </is>
      </c>
      <c r="B28" s="38" t="inlineStr">
        <is>
          <t>Peru</t>
        </is>
      </c>
      <c r="C28" s="39">
        <f>COUNTIFS(Data!$D$2:$D$418,$A28,Data!$Q$2:$Q$418,"positive")</f>
        <v/>
      </c>
      <c r="D28" s="39">
        <f>COUNTIFS(Data!$D$2:$D$418,$A28,Data!$Q$2:$Q$418,"neutral")</f>
        <v/>
      </c>
      <c r="E28" s="39">
        <f>COUNTIFS(Data!$D$2:$D$418,$A28,Data!$Q$2:$Q$418,"mixed")</f>
        <v/>
      </c>
      <c r="F28" s="39">
        <f>COUNTIFS(Data!$D$2:$D$418,$A28,Data!$Q$2:$Q$418,"negative")</f>
        <v/>
      </c>
      <c r="G28" s="39">
        <f>COUNTIFS(Data!$D$2:$D$418,$A28,Data!$Q$2:$Q$418,"not_mentioned")</f>
        <v/>
      </c>
      <c r="H28" s="40">
        <f>SUM(C21:G21)</f>
        <v/>
      </c>
    </row>
    <row r="29" ht="15" customHeight="1" s="24">
      <c r="A29" s="38" t="inlineStr">
        <is>
          <t>BRA</t>
        </is>
      </c>
      <c r="B29" s="38" t="inlineStr">
        <is>
          <t>Brazil</t>
        </is>
      </c>
      <c r="C29" s="39">
        <f>COUNTIFS(Data!$D$2:$D$418,$A29,Data!$Q$2:$Q$418,"positive")</f>
        <v/>
      </c>
      <c r="D29" s="39">
        <f>COUNTIFS(Data!$D$2:$D$418,$A29,Data!$Q$2:$Q$418,"neutral")</f>
        <v/>
      </c>
      <c r="E29" s="39">
        <f>COUNTIFS(Data!$D$2:$D$418,$A29,Data!$Q$2:$Q$418,"mixed")</f>
        <v/>
      </c>
      <c r="F29" s="39">
        <f>COUNTIFS(Data!$D$2:$D$418,$A29,Data!$Q$2:$Q$418,"negative")</f>
        <v/>
      </c>
      <c r="G29" s="39">
        <f>COUNTIFS(Data!$D$2:$D$418,$A29,Data!$Q$2:$Q$418,"not_mentioned")</f>
        <v/>
      </c>
      <c r="H29" s="40">
        <f>SUM(C21:G21)</f>
        <v/>
      </c>
    </row>
    <row r="30" ht="15" customHeight="1" s="24">
      <c r="A30" s="38" t="inlineStr">
        <is>
          <t>ARG</t>
        </is>
      </c>
      <c r="B30" s="38" t="inlineStr">
        <is>
          <t>Argentina</t>
        </is>
      </c>
      <c r="C30" s="39">
        <f>COUNTIFS(Data!$D$2:$D$418,$A30,Data!$Q$2:$Q$418,"positive")</f>
        <v/>
      </c>
      <c r="D30" s="39">
        <f>COUNTIFS(Data!$D$2:$D$418,$A30,Data!$Q$2:$Q$418,"neutral")</f>
        <v/>
      </c>
      <c r="E30" s="39">
        <f>COUNTIFS(Data!$D$2:$D$418,$A30,Data!$Q$2:$Q$418,"mixed")</f>
        <v/>
      </c>
      <c r="F30" s="39">
        <f>COUNTIFS(Data!$D$2:$D$418,$A30,Data!$Q$2:$Q$418,"negative")</f>
        <v/>
      </c>
      <c r="G30" s="39">
        <f>COUNTIFS(Data!$D$2:$D$418,$A30,Data!$Q$2:$Q$418,"not_mentioned")</f>
        <v/>
      </c>
      <c r="H30" s="40">
        <f>SUM(C21:G21)</f>
        <v/>
      </c>
    </row>
    <row r="31" ht="15" customHeight="1" s="24">
      <c r="A31" s="38" t="inlineStr">
        <is>
          <t>BOL</t>
        </is>
      </c>
      <c r="B31" s="38" t="inlineStr">
        <is>
          <t>Bolivia</t>
        </is>
      </c>
      <c r="C31" s="39">
        <f>COUNTIFS(Data!$D$2:$D$418,$A31,Data!$Q$2:$Q$418,"positive")</f>
        <v/>
      </c>
      <c r="D31" s="39">
        <f>COUNTIFS(Data!$D$2:$D$418,$A31,Data!$Q$2:$Q$418,"neutral")</f>
        <v/>
      </c>
      <c r="E31" s="39">
        <f>COUNTIFS(Data!$D$2:$D$418,$A31,Data!$Q$2:$Q$418,"mixed")</f>
        <v/>
      </c>
      <c r="F31" s="39">
        <f>COUNTIFS(Data!$D$2:$D$418,$A31,Data!$Q$2:$Q$418,"negative")</f>
        <v/>
      </c>
      <c r="G31" s="39">
        <f>COUNTIFS(Data!$D$2:$D$418,$A31,Data!$Q$2:$Q$418,"not_mentioned")</f>
        <v/>
      </c>
      <c r="H31" s="40">
        <f>SUM(C21:G21)</f>
        <v/>
      </c>
    </row>
    <row r="32">
      <c r="A32" s="38" t="inlineStr">
        <is>
          <t>MEX</t>
        </is>
      </c>
      <c r="B32" s="38" t="inlineStr">
        <is>
          <t>Mexico</t>
        </is>
      </c>
      <c r="C32" s="39">
        <f>COUNTIFS(Data!$D$2:$D$418,$A32,Data!$Q$2:$Q$418,"positive")</f>
        <v/>
      </c>
      <c r="D32" s="39">
        <f>COUNTIFS(Data!$D$2:$D$418,$A32,Data!$Q$2:$Q$418,"neutral")</f>
        <v/>
      </c>
      <c r="E32" s="39">
        <f>COUNTIFS(Data!$D$2:$D$418,$A32,Data!$Q$2:$Q$418,"mixed")</f>
        <v/>
      </c>
      <c r="F32" s="39">
        <f>COUNTIFS(Data!$D$2:$D$418,$A32,Data!$Q$2:$Q$418,"negative")</f>
        <v/>
      </c>
      <c r="G32" s="39">
        <f>COUNTIFS(Data!$D$2:$D$418,$A32,Data!$Q$2:$Q$418,"not_mentioned")</f>
        <v/>
      </c>
      <c r="H32" s="40">
        <f>SUM(C21:G21)</f>
        <v/>
      </c>
    </row>
    <row r="33" ht="15" customHeight="1" s="24">
      <c r="A33" s="38" t="inlineStr">
        <is>
          <t>REG</t>
        </is>
      </c>
      <c r="B33" s="38" t="inlineStr">
        <is>
          <t>Regional</t>
        </is>
      </c>
      <c r="C33" s="39">
        <f>COUNTIFS(Data!$D$2:$D$418,$A33,Data!$Q$2:$Q$418,"positive")</f>
        <v/>
      </c>
      <c r="D33" s="39">
        <f>COUNTIFS(Data!$D$2:$D$418,$A33,Data!$Q$2:$Q$418,"neutral")</f>
        <v/>
      </c>
      <c r="E33" s="39">
        <f>COUNTIFS(Data!$D$2:$D$418,$A33,Data!$Q$2:$Q$418,"mixed")</f>
        <v/>
      </c>
      <c r="F33" s="39">
        <f>COUNTIFS(Data!$D$2:$D$418,$A33,Data!$Q$2:$Q$418,"negative")</f>
        <v/>
      </c>
      <c r="G33" s="39">
        <f>COUNTIFS(Data!$D$2:$D$418,$A33,Data!$Q$2:$Q$418,"not_mentioned")</f>
        <v/>
      </c>
      <c r="H33" s="40">
        <f>SUM(C21:G21)</f>
        <v/>
      </c>
    </row>
    <row r="34" ht="42" customHeight="1" s="24">
      <c r="A34" s="38" t="inlineStr">
        <is>
          <t>ECU</t>
        </is>
      </c>
      <c r="B34" s="38" t="inlineStr">
        <is>
          <t>Ecuador</t>
        </is>
      </c>
      <c r="C34" s="39">
        <f>COUNTIFS(Data!$D$2:$D$418,$A34,Data!$Q$2:$Q$418,"positive")</f>
        <v/>
      </c>
      <c r="D34" s="39">
        <f>COUNTIFS(Data!$D$2:$D$418,$A34,Data!$Q$2:$Q$418,"neutral")</f>
        <v/>
      </c>
      <c r="E34" s="39">
        <f>COUNTIFS(Data!$D$2:$D$418,$A34,Data!$Q$2:$Q$418,"mixed")</f>
        <v/>
      </c>
      <c r="F34" s="39">
        <f>COUNTIFS(Data!$D$2:$D$418,$A34,Data!$Q$2:$Q$418,"negative")</f>
        <v/>
      </c>
      <c r="G34" s="39">
        <f>COUNTIFS(Data!$D$2:$D$418,$A34,Data!$Q$2:$Q$418,"not_mentioned")</f>
        <v/>
      </c>
      <c r="H34" s="40">
        <f>SUM(C21:G21)</f>
        <v/>
      </c>
    </row>
    <row r="35" ht="15" customHeight="1" s="24">
      <c r="A35" s="38" t="inlineStr">
        <is>
          <t>PAN</t>
        </is>
      </c>
      <c r="B35" s="38" t="inlineStr">
        <is>
          <t>Panama</t>
        </is>
      </c>
      <c r="C35" s="39">
        <f>COUNTIFS(Data!$D$2:$D$418,$A35,Data!$Q$2:$Q$418,"positive")</f>
        <v/>
      </c>
      <c r="D35" s="39">
        <f>COUNTIFS(Data!$D$2:$D$418,$A35,Data!$Q$2:$Q$418,"neutral")</f>
        <v/>
      </c>
      <c r="E35" s="39">
        <f>COUNTIFS(Data!$D$2:$D$418,$A35,Data!$Q$2:$Q$418,"mixed")</f>
        <v/>
      </c>
      <c r="F35" s="39">
        <f>COUNTIFS(Data!$D$2:$D$418,$A35,Data!$Q$2:$Q$418,"negative")</f>
        <v/>
      </c>
      <c r="G35" s="39">
        <f>COUNTIFS(Data!$D$2:$D$418,$A35,Data!$Q$2:$Q$418,"not_mentioned")</f>
        <v/>
      </c>
      <c r="H35" s="40">
        <f>SUM(C21:G21)</f>
        <v/>
      </c>
    </row>
    <row r="36" ht="15" customHeight="1" s="24">
      <c r="A36" s="38" t="inlineStr">
        <is>
          <t>COL</t>
        </is>
      </c>
      <c r="B36" s="38" t="inlineStr">
        <is>
          <t>Colombia</t>
        </is>
      </c>
      <c r="C36" s="39">
        <f>COUNTIFS(Data!$D$2:$D$418,$A36,Data!$Q$2:$Q$418,"positive")</f>
        <v/>
      </c>
      <c r="D36" s="39">
        <f>COUNTIFS(Data!$D$2:$D$418,$A36,Data!$Q$2:$Q$418,"neutral")</f>
        <v/>
      </c>
      <c r="E36" s="39">
        <f>COUNTIFS(Data!$D$2:$D$418,$A36,Data!$Q$2:$Q$418,"mixed")</f>
        <v/>
      </c>
      <c r="F36" s="39">
        <f>COUNTIFS(Data!$D$2:$D$418,$A36,Data!$Q$2:$Q$418,"negative")</f>
        <v/>
      </c>
      <c r="G36" s="39">
        <f>COUNTIFS(Data!$D$2:$D$418,$A36,Data!$Q$2:$Q$418,"not_mentioned")</f>
        <v/>
      </c>
      <c r="H36" s="40">
        <f>SUM(C21:G21)</f>
        <v/>
      </c>
    </row>
    <row r="37" ht="15" customHeight="1" s="24">
      <c r="A37" s="38" t="inlineStr">
        <is>
          <t>GUY</t>
        </is>
      </c>
      <c r="B37" s="38" t="inlineStr">
        <is>
          <t>Guyana</t>
        </is>
      </c>
      <c r="C37" s="39">
        <f>COUNTIFS(Data!$D$2:$D$418,$A37,Data!$Q$2:$Q$418,"positive")</f>
        <v/>
      </c>
      <c r="D37" s="39">
        <f>COUNTIFS(Data!$D$2:$D$418,$A37,Data!$Q$2:$Q$418,"neutral")</f>
        <v/>
      </c>
      <c r="E37" s="39">
        <f>COUNTIFS(Data!$D$2:$D$418,$A37,Data!$Q$2:$Q$418,"mixed")</f>
        <v/>
      </c>
      <c r="F37" s="39">
        <f>COUNTIFS(Data!$D$2:$D$418,$A37,Data!$Q$2:$Q$418,"negative")</f>
        <v/>
      </c>
      <c r="G37" s="39">
        <f>COUNTIFS(Data!$D$2:$D$418,$A37,Data!$Q$2:$Q$418,"not_mentioned")</f>
        <v/>
      </c>
      <c r="H37" s="40">
        <f>SUM(C21:G21)</f>
        <v/>
      </c>
    </row>
    <row r="38" ht="15" customHeight="1" s="24">
      <c r="A38" s="38" t="inlineStr">
        <is>
          <t>VEN</t>
        </is>
      </c>
      <c r="B38" s="38" t="inlineStr">
        <is>
          <t>Venezuela</t>
        </is>
      </c>
      <c r="C38" s="39">
        <f>COUNTIFS(Data!$D$2:$D$418,$A38,Data!$Q$2:$Q$418,"positive")</f>
        <v/>
      </c>
      <c r="D38" s="39">
        <f>COUNTIFS(Data!$D$2:$D$418,$A38,Data!$Q$2:$Q$418,"neutral")</f>
        <v/>
      </c>
      <c r="E38" s="39">
        <f>COUNTIFS(Data!$D$2:$D$418,$A38,Data!$Q$2:$Q$418,"mixed")</f>
        <v/>
      </c>
      <c r="F38" s="39">
        <f>COUNTIFS(Data!$D$2:$D$418,$A38,Data!$Q$2:$Q$418,"negative")</f>
        <v/>
      </c>
      <c r="G38" s="39">
        <f>COUNTIFS(Data!$D$2:$D$418,$A38,Data!$Q$2:$Q$418,"not_mentioned")</f>
        <v/>
      </c>
      <c r="H38" s="40">
        <f>SUM(C21:G21)</f>
        <v/>
      </c>
    </row>
    <row r="39" ht="15" customHeight="1" s="24">
      <c r="A39" s="38" t="inlineStr">
        <is>
          <t>PRY</t>
        </is>
      </c>
      <c r="B39" s="38" t="inlineStr">
        <is>
          <t>Paraguay</t>
        </is>
      </c>
      <c r="C39" s="39">
        <f>COUNTIFS(Data!$D$2:$D$418,$A39,Data!$Q$2:$Q$418,"positive")</f>
        <v/>
      </c>
      <c r="D39" s="39">
        <f>COUNTIFS(Data!$D$2:$D$418,$A39,Data!$Q$2:$Q$418,"neutral")</f>
        <v/>
      </c>
      <c r="E39" s="39">
        <f>COUNTIFS(Data!$D$2:$D$418,$A39,Data!$Q$2:$Q$418,"mixed")</f>
        <v/>
      </c>
      <c r="F39" s="39">
        <f>COUNTIFS(Data!$D$2:$D$418,$A39,Data!$Q$2:$Q$418,"negative")</f>
        <v/>
      </c>
      <c r="G39" s="39">
        <f>COUNTIFS(Data!$D$2:$D$418,$A39,Data!$Q$2:$Q$418,"not_mentioned")</f>
        <v/>
      </c>
      <c r="H39" s="40">
        <f>SUM(C21:G21)</f>
        <v/>
      </c>
    </row>
    <row r="40" ht="15" customHeight="1" s="24">
      <c r="A40" s="38" t="inlineStr">
        <is>
          <t>SUR</t>
        </is>
      </c>
      <c r="B40" s="38" t="inlineStr">
        <is>
          <t>Suriname</t>
        </is>
      </c>
      <c r="C40" s="39">
        <f>COUNTIFS(Data!$D$2:$D$418,$A40,Data!$Q$2:$Q$418,"positive")</f>
        <v/>
      </c>
      <c r="D40" s="39">
        <f>COUNTIFS(Data!$D$2:$D$418,$A40,Data!$Q$2:$Q$418,"neutral")</f>
        <v/>
      </c>
      <c r="E40" s="39">
        <f>COUNTIFS(Data!$D$2:$D$418,$A40,Data!$Q$2:$Q$418,"mixed")</f>
        <v/>
      </c>
      <c r="F40" s="39">
        <f>COUNTIFS(Data!$D$2:$D$418,$A40,Data!$Q$2:$Q$418,"negative")</f>
        <v/>
      </c>
      <c r="G40" s="39">
        <f>COUNTIFS(Data!$D$2:$D$418,$A40,Data!$Q$2:$Q$418,"not_mentioned")</f>
        <v/>
      </c>
      <c r="H40" s="40">
        <f>SUM(C21:G21)</f>
        <v/>
      </c>
    </row>
    <row r="41" ht="15" customHeight="1" s="24">
      <c r="A41" s="41" t="n"/>
      <c r="B41" s="42" t="inlineStr">
        <is>
          <t>Total</t>
        </is>
      </c>
      <c r="C41" s="40">
        <f>SUM(C27:C40)</f>
        <v/>
      </c>
      <c r="D41" s="40">
        <f>SUM(D27:D40)</f>
        <v/>
      </c>
      <c r="E41" s="40">
        <f>SUM(E27:E40)</f>
        <v/>
      </c>
      <c r="F41" s="40">
        <f>SUM(F27:F40)</f>
        <v/>
      </c>
      <c r="G41" s="40">
        <f>SUM(G27:G40)</f>
        <v/>
      </c>
      <c r="H41" s="40">
        <f>SUM(H27:H40)</f>
        <v/>
      </c>
    </row>
    <row r="42" ht="15" customHeight="1" s="24"/>
    <row r="43" ht="15" customHeight="1" s="24">
      <c r="A43" s="36" t="inlineStr">
        <is>
          <t>Stance toward the US by country</t>
        </is>
      </c>
    </row>
    <row r="44" ht="15" customHeight="1" s="24">
      <c r="A44" s="37" t="inlineStr">
        <is>
          <t>Code</t>
        </is>
      </c>
      <c r="B44" s="37" t="inlineStr">
        <is>
          <t>Country</t>
        </is>
      </c>
      <c r="C44" s="37" t="inlineStr">
        <is>
          <t>positive</t>
        </is>
      </c>
      <c r="D44" s="37" t="inlineStr">
        <is>
          <t>neutral</t>
        </is>
      </c>
      <c r="E44" s="37" t="inlineStr">
        <is>
          <t>mixed</t>
        </is>
      </c>
      <c r="F44" s="37" t="inlineStr">
        <is>
          <t>negative</t>
        </is>
      </c>
      <c r="G44" s="37" t="inlineStr">
        <is>
          <t>not mentioned</t>
        </is>
      </c>
      <c r="H44" s="37" t="inlineStr">
        <is>
          <t>Total</t>
        </is>
      </c>
    </row>
    <row r="45" ht="15" customHeight="1" s="24">
      <c r="A45" s="38" t="inlineStr">
        <is>
          <t>CHL</t>
        </is>
      </c>
      <c r="B45" s="38" t="inlineStr">
        <is>
          <t>Chile</t>
        </is>
      </c>
      <c r="C45" s="39">
        <f>COUNTIFS(Data!$D$2:$D$418,$A45,Data!$R$2:$R$418,"positive")</f>
        <v/>
      </c>
      <c r="D45" s="39">
        <f>COUNTIFS(Data!$D$2:$D$418,$A45,Data!$R$2:$R$418,"neutral")</f>
        <v/>
      </c>
      <c r="E45" s="39">
        <f>COUNTIFS(Data!$D$2:$D$418,$A45,Data!$R$2:$R$418,"mixed")</f>
        <v/>
      </c>
      <c r="F45" s="39">
        <f>COUNTIFS(Data!$D$2:$D$418,$A45,Data!$R$2:$R$418,"negative")</f>
        <v/>
      </c>
      <c r="G45" s="39">
        <f>COUNTIFS(Data!$D$2:$D$418,$A45,Data!$R$2:$R$418,"not_mentioned")</f>
        <v/>
      </c>
      <c r="H45" s="40">
        <f>SUM(C35:G35)</f>
        <v/>
      </c>
    </row>
    <row r="46">
      <c r="A46" s="38" t="inlineStr">
        <is>
          <t>PER</t>
        </is>
      </c>
      <c r="B46" s="38" t="inlineStr">
        <is>
          <t>Peru</t>
        </is>
      </c>
      <c r="C46" s="39">
        <f>COUNTIFS(Data!$D$2:$D$418,$A46,Data!$R$2:$R$418,"positive")</f>
        <v/>
      </c>
      <c r="D46" s="39">
        <f>COUNTIFS(Data!$D$2:$D$418,$A46,Data!$R$2:$R$418,"neutral")</f>
        <v/>
      </c>
      <c r="E46" s="39">
        <f>COUNTIFS(Data!$D$2:$D$418,$A46,Data!$R$2:$R$418,"mixed")</f>
        <v/>
      </c>
      <c r="F46" s="39">
        <f>COUNTIFS(Data!$D$2:$D$418,$A46,Data!$R$2:$R$418,"negative")</f>
        <v/>
      </c>
      <c r="G46" s="39">
        <f>COUNTIFS(Data!$D$2:$D$418,$A46,Data!$R$2:$R$418,"not_mentioned")</f>
        <v/>
      </c>
      <c r="H46" s="40">
        <f>SUM(C35:G35)</f>
        <v/>
      </c>
    </row>
    <row r="47" ht="15" customHeight="1" s="24">
      <c r="A47" s="38" t="inlineStr">
        <is>
          <t>BRA</t>
        </is>
      </c>
      <c r="B47" s="38" t="inlineStr">
        <is>
          <t>Brazil</t>
        </is>
      </c>
      <c r="C47" s="39">
        <f>COUNTIFS(Data!$D$2:$D$418,$A47,Data!$R$2:$R$418,"positive")</f>
        <v/>
      </c>
      <c r="D47" s="39">
        <f>COUNTIFS(Data!$D$2:$D$418,$A47,Data!$R$2:$R$418,"neutral")</f>
        <v/>
      </c>
      <c r="E47" s="39">
        <f>COUNTIFS(Data!$D$2:$D$418,$A47,Data!$R$2:$R$418,"mixed")</f>
        <v/>
      </c>
      <c r="F47" s="39">
        <f>COUNTIFS(Data!$D$2:$D$418,$A47,Data!$R$2:$R$418,"negative")</f>
        <v/>
      </c>
      <c r="G47" s="39">
        <f>COUNTIFS(Data!$D$2:$D$418,$A47,Data!$R$2:$R$418,"not_mentioned")</f>
        <v/>
      </c>
      <c r="H47" s="40">
        <f>SUM(C35:G35)</f>
        <v/>
      </c>
    </row>
    <row r="48" ht="15" customHeight="1" s="24">
      <c r="A48" s="38" t="inlineStr">
        <is>
          <t>ARG</t>
        </is>
      </c>
      <c r="B48" s="38" t="inlineStr">
        <is>
          <t>Argentina</t>
        </is>
      </c>
      <c r="C48" s="39">
        <f>COUNTIFS(Data!$D$2:$D$418,$A48,Data!$R$2:$R$418,"positive")</f>
        <v/>
      </c>
      <c r="D48" s="39">
        <f>COUNTIFS(Data!$D$2:$D$418,$A48,Data!$R$2:$R$418,"neutral")</f>
        <v/>
      </c>
      <c r="E48" s="39">
        <f>COUNTIFS(Data!$D$2:$D$418,$A48,Data!$R$2:$R$418,"mixed")</f>
        <v/>
      </c>
      <c r="F48" s="39">
        <f>COUNTIFS(Data!$D$2:$D$418,$A48,Data!$R$2:$R$418,"negative")</f>
        <v/>
      </c>
      <c r="G48" s="39">
        <f>COUNTIFS(Data!$D$2:$D$418,$A48,Data!$R$2:$R$418,"not_mentioned")</f>
        <v/>
      </c>
      <c r="H48" s="40">
        <f>SUM(C35:G35)</f>
        <v/>
      </c>
    </row>
    <row r="49" ht="15" customHeight="1" s="24">
      <c r="A49" s="38" t="inlineStr">
        <is>
          <t>BOL</t>
        </is>
      </c>
      <c r="B49" s="38" t="inlineStr">
        <is>
          <t>Bolivia</t>
        </is>
      </c>
      <c r="C49" s="39">
        <f>COUNTIFS(Data!$D$2:$D$418,$A49,Data!$R$2:$R$418,"positive")</f>
        <v/>
      </c>
      <c r="D49" s="39">
        <f>COUNTIFS(Data!$D$2:$D$418,$A49,Data!$R$2:$R$418,"neutral")</f>
        <v/>
      </c>
      <c r="E49" s="39">
        <f>COUNTIFS(Data!$D$2:$D$418,$A49,Data!$R$2:$R$418,"mixed")</f>
        <v/>
      </c>
      <c r="F49" s="39">
        <f>COUNTIFS(Data!$D$2:$D$418,$A49,Data!$R$2:$R$418,"negative")</f>
        <v/>
      </c>
      <c r="G49" s="39">
        <f>COUNTIFS(Data!$D$2:$D$418,$A49,Data!$R$2:$R$418,"not_mentioned")</f>
        <v/>
      </c>
      <c r="H49" s="40">
        <f>SUM(C35:G35)</f>
        <v/>
      </c>
    </row>
    <row r="50" ht="15" customHeight="1" s="24">
      <c r="A50" s="38" t="inlineStr">
        <is>
          <t>MEX</t>
        </is>
      </c>
      <c r="B50" s="38" t="inlineStr">
        <is>
          <t>Mexico</t>
        </is>
      </c>
      <c r="C50" s="39">
        <f>COUNTIFS(Data!$D$2:$D$418,$A50,Data!$R$2:$R$418,"positive")</f>
        <v/>
      </c>
      <c r="D50" s="39">
        <f>COUNTIFS(Data!$D$2:$D$418,$A50,Data!$R$2:$R$418,"neutral")</f>
        <v/>
      </c>
      <c r="E50" s="39">
        <f>COUNTIFS(Data!$D$2:$D$418,$A50,Data!$R$2:$R$418,"mixed")</f>
        <v/>
      </c>
      <c r="F50" s="39">
        <f>COUNTIFS(Data!$D$2:$D$418,$A50,Data!$R$2:$R$418,"negative")</f>
        <v/>
      </c>
      <c r="G50" s="39">
        <f>COUNTIFS(Data!$D$2:$D$418,$A50,Data!$R$2:$R$418,"not_mentioned")</f>
        <v/>
      </c>
      <c r="H50" s="40">
        <f>SUM(C35:G35)</f>
        <v/>
      </c>
    </row>
    <row r="51" ht="15" customHeight="1" s="24">
      <c r="A51" s="38" t="inlineStr">
        <is>
          <t>REG</t>
        </is>
      </c>
      <c r="B51" s="38" t="inlineStr">
        <is>
          <t>Regional</t>
        </is>
      </c>
      <c r="C51" s="39">
        <f>COUNTIFS(Data!$D$2:$D$418,$A51,Data!$R$2:$R$418,"positive")</f>
        <v/>
      </c>
      <c r="D51" s="39">
        <f>COUNTIFS(Data!$D$2:$D$418,$A51,Data!$R$2:$R$418,"neutral")</f>
        <v/>
      </c>
      <c r="E51" s="39">
        <f>COUNTIFS(Data!$D$2:$D$418,$A51,Data!$R$2:$R$418,"mixed")</f>
        <v/>
      </c>
      <c r="F51" s="39">
        <f>COUNTIFS(Data!$D$2:$D$418,$A51,Data!$R$2:$R$418,"negative")</f>
        <v/>
      </c>
      <c r="G51" s="39">
        <f>COUNTIFS(Data!$D$2:$D$418,$A51,Data!$R$2:$R$418,"not_mentioned")</f>
        <v/>
      </c>
      <c r="H51" s="40">
        <f>SUM(C35:G35)</f>
        <v/>
      </c>
    </row>
    <row r="52" ht="15" customHeight="1" s="24">
      <c r="A52" s="38" t="inlineStr">
        <is>
          <t>ECU</t>
        </is>
      </c>
      <c r="B52" s="38" t="inlineStr">
        <is>
          <t>Ecuador</t>
        </is>
      </c>
      <c r="C52" s="39">
        <f>COUNTIFS(Data!$D$2:$D$418,$A52,Data!$R$2:$R$418,"positive")</f>
        <v/>
      </c>
      <c r="D52" s="39">
        <f>COUNTIFS(Data!$D$2:$D$418,$A52,Data!$R$2:$R$418,"neutral")</f>
        <v/>
      </c>
      <c r="E52" s="39">
        <f>COUNTIFS(Data!$D$2:$D$418,$A52,Data!$R$2:$R$418,"mixed")</f>
        <v/>
      </c>
      <c r="F52" s="39">
        <f>COUNTIFS(Data!$D$2:$D$418,$A52,Data!$R$2:$R$418,"negative")</f>
        <v/>
      </c>
      <c r="G52" s="39">
        <f>COUNTIFS(Data!$D$2:$D$418,$A52,Data!$R$2:$R$418,"not_mentioned")</f>
        <v/>
      </c>
      <c r="H52" s="40">
        <f>SUM(C35:G35)</f>
        <v/>
      </c>
    </row>
    <row r="53" ht="15" customHeight="1" s="24">
      <c r="A53" s="38" t="inlineStr">
        <is>
          <t>PAN</t>
        </is>
      </c>
      <c r="B53" s="38" t="inlineStr">
        <is>
          <t>Panama</t>
        </is>
      </c>
      <c r="C53" s="39">
        <f>COUNTIFS(Data!$D$2:$D$418,$A53,Data!$R$2:$R$418,"positive")</f>
        <v/>
      </c>
      <c r="D53" s="39">
        <f>COUNTIFS(Data!$D$2:$D$418,$A53,Data!$R$2:$R$418,"neutral")</f>
        <v/>
      </c>
      <c r="E53" s="39">
        <f>COUNTIFS(Data!$D$2:$D$418,$A53,Data!$R$2:$R$418,"mixed")</f>
        <v/>
      </c>
      <c r="F53" s="39">
        <f>COUNTIFS(Data!$D$2:$D$418,$A53,Data!$R$2:$R$418,"negative")</f>
        <v/>
      </c>
      <c r="G53" s="39">
        <f>COUNTIFS(Data!$D$2:$D$418,$A53,Data!$R$2:$R$418,"not_mentioned")</f>
        <v/>
      </c>
      <c r="H53" s="40">
        <f>SUM(C35:G35)</f>
        <v/>
      </c>
    </row>
    <row r="54" ht="15" customHeight="1" s="24">
      <c r="A54" s="38" t="inlineStr">
        <is>
          <t>COL</t>
        </is>
      </c>
      <c r="B54" s="38" t="inlineStr">
        <is>
          <t>Colombia</t>
        </is>
      </c>
      <c r="C54" s="39">
        <f>COUNTIFS(Data!$D$2:$D$418,$A54,Data!$R$2:$R$418,"positive")</f>
        <v/>
      </c>
      <c r="D54" s="39">
        <f>COUNTIFS(Data!$D$2:$D$418,$A54,Data!$R$2:$R$418,"neutral")</f>
        <v/>
      </c>
      <c r="E54" s="39">
        <f>COUNTIFS(Data!$D$2:$D$418,$A54,Data!$R$2:$R$418,"mixed")</f>
        <v/>
      </c>
      <c r="F54" s="39">
        <f>COUNTIFS(Data!$D$2:$D$418,$A54,Data!$R$2:$R$418,"negative")</f>
        <v/>
      </c>
      <c r="G54" s="39">
        <f>COUNTIFS(Data!$D$2:$D$418,$A54,Data!$R$2:$R$418,"not_mentioned")</f>
        <v/>
      </c>
      <c r="H54" s="40">
        <f>SUM(C35:G35)</f>
        <v/>
      </c>
    </row>
    <row r="55" ht="15" customHeight="1" s="24">
      <c r="A55" s="38" t="inlineStr">
        <is>
          <t>GUY</t>
        </is>
      </c>
      <c r="B55" s="38" t="inlineStr">
        <is>
          <t>Guyana</t>
        </is>
      </c>
      <c r="C55" s="39">
        <f>COUNTIFS(Data!$D$2:$D$418,$A55,Data!$R$2:$R$418,"positive")</f>
        <v/>
      </c>
      <c r="D55" s="39">
        <f>COUNTIFS(Data!$D$2:$D$418,$A55,Data!$R$2:$R$418,"neutral")</f>
        <v/>
      </c>
      <c r="E55" s="39">
        <f>COUNTIFS(Data!$D$2:$D$418,$A55,Data!$R$2:$R$418,"mixed")</f>
        <v/>
      </c>
      <c r="F55" s="39">
        <f>COUNTIFS(Data!$D$2:$D$418,$A55,Data!$R$2:$R$418,"negative")</f>
        <v/>
      </c>
      <c r="G55" s="39">
        <f>COUNTIFS(Data!$D$2:$D$418,$A55,Data!$R$2:$R$418,"not_mentioned")</f>
        <v/>
      </c>
      <c r="H55" s="40">
        <f>SUM(C35:G35)</f>
        <v/>
      </c>
    </row>
    <row r="56" ht="15" customHeight="1" s="24">
      <c r="A56" s="38" t="inlineStr">
        <is>
          <t>VEN</t>
        </is>
      </c>
      <c r="B56" s="38" t="inlineStr">
        <is>
          <t>Venezuela</t>
        </is>
      </c>
      <c r="C56" s="39">
        <f>COUNTIFS(Data!$D$2:$D$418,$A56,Data!$R$2:$R$418,"positive")</f>
        <v/>
      </c>
      <c r="D56" s="39">
        <f>COUNTIFS(Data!$D$2:$D$418,$A56,Data!$R$2:$R$418,"neutral")</f>
        <v/>
      </c>
      <c r="E56" s="39">
        <f>COUNTIFS(Data!$D$2:$D$418,$A56,Data!$R$2:$R$418,"mixed")</f>
        <v/>
      </c>
      <c r="F56" s="39">
        <f>COUNTIFS(Data!$D$2:$D$418,$A56,Data!$R$2:$R$418,"negative")</f>
        <v/>
      </c>
      <c r="G56" s="39">
        <f>COUNTIFS(Data!$D$2:$D$418,$A56,Data!$R$2:$R$418,"not_mentioned")</f>
        <v/>
      </c>
      <c r="H56" s="40">
        <f>SUM(C35:G35)</f>
        <v/>
      </c>
    </row>
    <row r="57" ht="15" customHeight="1" s="24">
      <c r="A57" s="38" t="inlineStr">
        <is>
          <t>PRY</t>
        </is>
      </c>
      <c r="B57" s="38" t="inlineStr">
        <is>
          <t>Paraguay</t>
        </is>
      </c>
      <c r="C57" s="39">
        <f>COUNTIFS(Data!$D$2:$D$418,$A57,Data!$R$2:$R$418,"positive")</f>
        <v/>
      </c>
      <c r="D57" s="39">
        <f>COUNTIFS(Data!$D$2:$D$418,$A57,Data!$R$2:$R$418,"neutral")</f>
        <v/>
      </c>
      <c r="E57" s="39">
        <f>COUNTIFS(Data!$D$2:$D$418,$A57,Data!$R$2:$R$418,"mixed")</f>
        <v/>
      </c>
      <c r="F57" s="39">
        <f>COUNTIFS(Data!$D$2:$D$418,$A57,Data!$R$2:$R$418,"negative")</f>
        <v/>
      </c>
      <c r="G57" s="39">
        <f>COUNTIFS(Data!$D$2:$D$418,$A57,Data!$R$2:$R$418,"not_mentioned")</f>
        <v/>
      </c>
      <c r="H57" s="40">
        <f>SUM(C35:G35)</f>
        <v/>
      </c>
    </row>
    <row r="58" ht="15" customHeight="1" s="24">
      <c r="A58" s="38" t="inlineStr">
        <is>
          <t>SUR</t>
        </is>
      </c>
      <c r="B58" s="38" t="inlineStr">
        <is>
          <t>Suriname</t>
        </is>
      </c>
      <c r="C58" s="39">
        <f>COUNTIFS(Data!$D$2:$D$418,$A58,Data!$R$2:$R$418,"positive")</f>
        <v/>
      </c>
      <c r="D58" s="39">
        <f>COUNTIFS(Data!$D$2:$D$418,$A58,Data!$R$2:$R$418,"neutral")</f>
        <v/>
      </c>
      <c r="E58" s="39">
        <f>COUNTIFS(Data!$D$2:$D$418,$A58,Data!$R$2:$R$418,"mixed")</f>
        <v/>
      </c>
      <c r="F58" s="39">
        <f>COUNTIFS(Data!$D$2:$D$418,$A58,Data!$R$2:$R$418,"negative")</f>
        <v/>
      </c>
      <c r="G58" s="39">
        <f>COUNTIFS(Data!$D$2:$D$418,$A58,Data!$R$2:$R$418,"not_mentioned")</f>
        <v/>
      </c>
      <c r="H58" s="40">
        <f>SUM(C35:G35)</f>
        <v/>
      </c>
    </row>
    <row r="59" ht="15" customHeight="1" s="24">
      <c r="A59" s="41" t="n"/>
      <c r="B59" s="42" t="inlineStr">
        <is>
          <t>Total</t>
        </is>
      </c>
      <c r="C59" s="40">
        <f>SUM(C45:C58)</f>
        <v/>
      </c>
      <c r="D59" s="40">
        <f>SUM(D45:D58)</f>
        <v/>
      </c>
      <c r="E59" s="40">
        <f>SUM(E45:E58)</f>
        <v/>
      </c>
      <c r="F59" s="40">
        <f>SUM(F45:F58)</f>
        <v/>
      </c>
      <c r="G59" s="40">
        <f>SUM(G45:G58)</f>
        <v/>
      </c>
      <c r="H59" s="40">
        <f>SUM(H45:H58)</f>
        <v/>
      </c>
    </row>
    <row r="60" ht="15" customHeight="1" s="24"/>
    <row r="61" ht="15" customHeight="1" s="24">
      <c r="A61" s="36" t="inlineStr">
        <is>
          <t>Statements naming each mineral (a statement can name several)</t>
        </is>
      </c>
    </row>
    <row r="62" ht="15" customHeight="1" s="24">
      <c r="A62" s="37" t="inlineStr">
        <is>
          <t>Tag</t>
        </is>
      </c>
      <c r="B62" s="37" t="inlineStr">
        <is>
          <t>Mineral</t>
        </is>
      </c>
      <c r="C62" s="37" t="inlineStr">
        <is>
          <t>Statements</t>
        </is>
      </c>
    </row>
    <row r="63" ht="15" customHeight="1" s="24">
      <c r="A63" s="43" t="inlineStr">
        <is>
          <t>lithium</t>
        </is>
      </c>
      <c r="B63" s="43" t="inlineStr">
        <is>
          <t>lithium</t>
        </is>
      </c>
      <c r="C63" s="39">
        <f>SUMPRODUCT(--ISNUMBER(SEARCH(";"&amp;$A63&amp;";",";"&amp;Data!$M$2:$M$418&amp;";")))</f>
        <v/>
      </c>
    </row>
    <row r="64" ht="15" customHeight="1" s="24">
      <c r="A64" s="43" t="inlineStr">
        <is>
          <t>copper</t>
        </is>
      </c>
      <c r="B64" s="43" t="inlineStr">
        <is>
          <t>copper</t>
        </is>
      </c>
      <c r="C64" s="39">
        <f>SUMPRODUCT(--ISNUMBER(SEARCH(";"&amp;$A64&amp;";",";"&amp;Data!$M$2:$M$418&amp;";")))</f>
        <v/>
      </c>
    </row>
    <row r="65" ht="15" customHeight="1" s="24">
      <c r="A65" s="43" t="inlineStr">
        <is>
          <t>critical_minerals_general</t>
        </is>
      </c>
      <c r="B65" s="43" t="inlineStr">
        <is>
          <t>critical minerals general</t>
        </is>
      </c>
      <c r="C65" s="39">
        <f>SUMPRODUCT(--ISNUMBER(SEARCH(";"&amp;$A65&amp;";",";"&amp;Data!$M$2:$M$418&amp;";")))</f>
        <v/>
      </c>
    </row>
    <row r="66">
      <c r="A66" s="43" t="inlineStr">
        <is>
          <t>mining_general</t>
        </is>
      </c>
      <c r="B66" s="43" t="inlineStr">
        <is>
          <t>mining general</t>
        </is>
      </c>
      <c r="C66" s="39">
        <f>SUMPRODUCT(--ISNUMBER(SEARCH(";"&amp;$A66&amp;";",";"&amp;Data!$M$2:$M$418&amp;";")))</f>
        <v/>
      </c>
    </row>
    <row r="67">
      <c r="A67" s="43" t="inlineStr">
        <is>
          <t>rare_earths</t>
        </is>
      </c>
      <c r="B67" s="43" t="inlineStr">
        <is>
          <t>rare earths</t>
        </is>
      </c>
      <c r="C67" s="39">
        <f>SUMPRODUCT(--ISNUMBER(SEARCH(";"&amp;$A67&amp;";",";"&amp;Data!$M$2:$M$418&amp;";")))</f>
        <v/>
      </c>
    </row>
    <row r="68">
      <c r="A68" s="43" t="inlineStr">
        <is>
          <t>nickel</t>
        </is>
      </c>
      <c r="B68" s="43" t="inlineStr">
        <is>
          <t>nickel</t>
        </is>
      </c>
      <c r="C68" s="39">
        <f>SUMPRODUCT(--ISNUMBER(SEARCH(";"&amp;$A68&amp;";",";"&amp;Data!$M$2:$M$418&amp;";")))</f>
        <v/>
      </c>
    </row>
    <row r="69">
      <c r="A69" s="43" t="inlineStr">
        <is>
          <t>silver</t>
        </is>
      </c>
      <c r="B69" s="43" t="inlineStr">
        <is>
          <t>silver</t>
        </is>
      </c>
      <c r="C69" s="39">
        <f>SUMPRODUCT(--ISNUMBER(SEARCH(";"&amp;$A69&amp;";",";"&amp;Data!$M$2:$M$418&amp;";")))</f>
        <v/>
      </c>
    </row>
    <row r="70">
      <c r="A70" s="43" t="inlineStr">
        <is>
          <t>cobalt</t>
        </is>
      </c>
      <c r="B70" s="43" t="inlineStr">
        <is>
          <t>cobalt</t>
        </is>
      </c>
      <c r="C70" s="39">
        <f>SUMPRODUCT(--ISNUMBER(SEARCH(";"&amp;$A70&amp;";",";"&amp;Data!$M$2:$M$418&amp;";")))</f>
        <v/>
      </c>
    </row>
    <row r="71">
      <c r="A71" s="43" t="inlineStr">
        <is>
          <t>niobium</t>
        </is>
      </c>
      <c r="B71" s="43" t="inlineStr">
        <is>
          <t>niobium</t>
        </is>
      </c>
      <c r="C71" s="39">
        <f>SUMPRODUCT(--ISNUMBER(SEARCH(";"&amp;$A71&amp;";",";"&amp;Data!$M$2:$M$418&amp;";")))</f>
        <v/>
      </c>
    </row>
    <row r="72">
      <c r="A72" s="43" t="inlineStr">
        <is>
          <t>zinc</t>
        </is>
      </c>
      <c r="B72" s="43" t="inlineStr">
        <is>
          <t>zinc</t>
        </is>
      </c>
      <c r="C72" s="39">
        <f>SUMPRODUCT(--ISNUMBER(SEARCH(";"&amp;$A72&amp;";",";"&amp;Data!$M$2:$M$418&amp;";")))</f>
        <v/>
      </c>
    </row>
    <row r="73">
      <c r="A73" s="43" t="inlineStr">
        <is>
          <t>iron_ore</t>
        </is>
      </c>
      <c r="B73" s="43" t="inlineStr">
        <is>
          <t>iron ore</t>
        </is>
      </c>
      <c r="C73" s="39">
        <f>SUMPRODUCT(--ISNUMBER(SEARCH(";"&amp;$A73&amp;";",";"&amp;Data!$M$2:$M$418&amp;";")))</f>
        <v/>
      </c>
    </row>
    <row r="74">
      <c r="A74" s="43" t="inlineStr">
        <is>
          <t>tin</t>
        </is>
      </c>
      <c r="B74" s="43" t="inlineStr">
        <is>
          <t>tin</t>
        </is>
      </c>
      <c r="C74" s="39">
        <f>SUMPRODUCT(--ISNUMBER(SEARCH(";"&amp;$A74&amp;";",";"&amp;Data!$M$2:$M$418&amp;";")))</f>
        <v/>
      </c>
    </row>
    <row r="75">
      <c r="A75" s="43" t="inlineStr">
        <is>
          <t>graphite</t>
        </is>
      </c>
      <c r="B75" s="43" t="inlineStr">
        <is>
          <t>graphite</t>
        </is>
      </c>
      <c r="C75" s="39">
        <f>SUMPRODUCT(--ISNUMBER(SEARCH(";"&amp;$A75&amp;";",";"&amp;Data!$M$2:$M$418&amp;";")))</f>
        <v/>
      </c>
    </row>
    <row r="76">
      <c r="A76" s="43" t="inlineStr">
        <is>
          <t>tantalum</t>
        </is>
      </c>
      <c r="B76" s="43" t="inlineStr">
        <is>
          <t>tantalum</t>
        </is>
      </c>
      <c r="C76" s="39">
        <f>SUMPRODUCT(--ISNUMBER(SEARCH(";"&amp;$A76&amp;";",";"&amp;Data!$M$2:$M$418&amp;";")))</f>
        <v/>
      </c>
    </row>
    <row r="77">
      <c r="A77" s="43" t="inlineStr">
        <is>
          <t>molybdenum</t>
        </is>
      </c>
      <c r="B77" s="43" t="inlineStr">
        <is>
          <t>molybdenum</t>
        </is>
      </c>
      <c r="C77" s="39">
        <f>SUMPRODUCT(--ISNUMBER(SEARCH(";"&amp;$A77&amp;";",";"&amp;Data!$M$2:$M$418&amp;";")))</f>
        <v/>
      </c>
    </row>
    <row r="78">
      <c r="A78" s="43" t="inlineStr">
        <is>
          <t>manganese</t>
        </is>
      </c>
      <c r="B78" s="43" t="inlineStr">
        <is>
          <t>manganese</t>
        </is>
      </c>
      <c r="C78" s="39">
        <f>SUMPRODUCT(--ISNUMBER(SEARCH(";"&amp;$A78&amp;";",";"&amp;Data!$M$2:$M$418&amp;";")))</f>
        <v/>
      </c>
    </row>
    <row r="79">
      <c r="A79" s="43" t="inlineStr">
        <is>
          <t>antimony</t>
        </is>
      </c>
      <c r="B79" s="43" t="inlineStr">
        <is>
          <t>antimony</t>
        </is>
      </c>
      <c r="C79" s="39">
        <f>SUMPRODUCT(--ISNUMBER(SEARCH(";"&amp;$A79&amp;";",";"&amp;Data!$M$2:$M$418&amp;";")))</f>
        <v/>
      </c>
    </row>
    <row r="80">
      <c r="A80" s="43" t="inlineStr">
        <is>
          <t>bauxite_aluminum</t>
        </is>
      </c>
      <c r="B80" s="43" t="inlineStr">
        <is>
          <t>bauxite aluminum</t>
        </is>
      </c>
      <c r="C80" s="39">
        <f>SUMPRODUCT(--ISNUMBER(SEARCH(";"&amp;$A80&amp;";",";"&amp;Data!$M$2:$M$418&amp;";")))</f>
        <v/>
      </c>
    </row>
    <row r="81">
      <c r="A81" s="43" t="inlineStr">
        <is>
          <t>uranium</t>
        </is>
      </c>
      <c r="B81" s="43" t="inlineStr">
        <is>
          <t>uranium</t>
        </is>
      </c>
      <c r="C81" s="39">
        <f>SUMPRODUCT(--ISNUMBER(SEARCH(";"&amp;$A81&amp;";",";"&amp;Data!$M$2:$M$418&amp;";")))</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C41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3" min="1" max="29"/>
  </cols>
  <sheetData>
    <row r="1" ht="15" customHeight="1" s="24">
      <c r="A1" s="44" t="inlineStr">
        <is>
          <t>id</t>
        </is>
      </c>
      <c r="B1" s="44" t="inlineStr">
        <is>
          <t>date</t>
        </is>
      </c>
      <c r="C1" s="44" t="inlineStr">
        <is>
          <t>year</t>
        </is>
      </c>
      <c r="D1" s="44" t="inlineStr">
        <is>
          <t>country</t>
        </is>
      </c>
      <c r="E1" s="44" t="inlineStr">
        <is>
          <t>speaker_name</t>
        </is>
      </c>
      <c r="F1" s="44" t="inlineStr">
        <is>
          <t>speaker_role</t>
        </is>
      </c>
      <c r="G1" s="44" t="inlineStr">
        <is>
          <t>speaker_type</t>
        </is>
      </c>
      <c r="H1" s="44" t="inlineStr">
        <is>
          <t>speaker_bloc</t>
        </is>
      </c>
      <c r="I1" s="44" t="inlineStr">
        <is>
          <t>speaker_country</t>
        </is>
      </c>
      <c r="J1" s="44" t="inlineStr">
        <is>
          <t>party_or_affiliation</t>
        </is>
      </c>
      <c r="K1" s="44" t="inlineStr">
        <is>
          <t>channel</t>
        </is>
      </c>
      <c r="L1" s="44" t="inlineStr">
        <is>
          <t>event_context</t>
        </is>
      </c>
      <c r="M1" s="44" t="inlineStr">
        <is>
          <t>minerals</t>
        </is>
      </c>
      <c r="N1" s="44" t="inlineStr">
        <is>
          <t>hs6_links</t>
        </is>
      </c>
      <c r="O1" s="44" t="inlineStr">
        <is>
          <t>themes</t>
        </is>
      </c>
      <c r="P1" s="44" t="inlineStr">
        <is>
          <t>counterparts_mentioned</t>
        </is>
      </c>
      <c r="Q1" s="44" t="inlineStr">
        <is>
          <t>stance_china</t>
        </is>
      </c>
      <c r="R1" s="44" t="inlineStr">
        <is>
          <t>stance_us</t>
        </is>
      </c>
      <c r="S1" s="44" t="inlineStr">
        <is>
          <t>related_entities</t>
        </is>
      </c>
      <c r="T1" s="44" t="inlineStr">
        <is>
          <t>summary_en</t>
        </is>
      </c>
      <c r="U1" s="44" t="inlineStr">
        <is>
          <t>quote_original</t>
        </is>
      </c>
      <c r="V1" s="44" t="inlineStr">
        <is>
          <t>quote_en</t>
        </is>
      </c>
      <c r="W1" s="44" t="inlineStr">
        <is>
          <t>language</t>
        </is>
      </c>
      <c r="X1" s="44" t="inlineStr">
        <is>
          <t>source_name</t>
        </is>
      </c>
      <c r="Y1" s="44" t="inlineStr">
        <is>
          <t>source_url</t>
        </is>
      </c>
      <c r="Z1" s="44" t="inlineStr">
        <is>
          <t>source_type</t>
        </is>
      </c>
      <c r="AA1" s="44" t="inlineStr">
        <is>
          <t>verification</t>
        </is>
      </c>
      <c r="AB1" s="44" t="inlineStr">
        <is>
          <t>notes</t>
        </is>
      </c>
      <c r="AC1" s="44" t="inlineStr">
        <is>
          <t>research_batch</t>
        </is>
      </c>
    </row>
    <row r="2" ht="15" customHeight="1" s="24">
      <c r="A2" s="45" t="inlineStr">
        <is>
          <t>PS-0001</t>
        </is>
      </c>
      <c r="B2" s="45" t="inlineStr">
        <is>
          <t>2019-03</t>
        </is>
      </c>
      <c r="C2" s="45" t="inlineStr">
        <is>
          <t>2019</t>
        </is>
      </c>
      <c r="D2" s="45" t="inlineStr">
        <is>
          <t>PER</t>
        </is>
      </c>
      <c r="E2" s="45" t="inlineStr">
        <is>
          <t>Paola Bustamante</t>
        </is>
      </c>
      <c r="F2" s="45" t="inlineStr">
        <is>
          <t>Minister of Development and Social Inclusion of Peru</t>
        </is>
      </c>
      <c r="G2" s="45" t="inlineStr">
        <is>
          <t>minister_cabinet</t>
        </is>
      </c>
      <c r="H2" s="45" t="inlineStr">
        <is>
          <t>LatAm executive</t>
        </is>
      </c>
      <c r="I2" s="45" t="inlineStr">
        <is>
          <t>PER</t>
        </is>
      </c>
      <c r="J2" s="45" t="inlineStr"/>
      <c r="K2" s="45" t="inlineStr">
        <is>
          <t>press_conference</t>
        </is>
      </c>
      <c r="L2" s="45" t="inlineStr">
        <is>
          <t>Fuerabamba blockade of Las Bambas mining road; failed ministerial negotiation visit</t>
        </is>
      </c>
      <c r="M2" s="45" t="inlineStr">
        <is>
          <t>copper</t>
        </is>
      </c>
      <c r="N2" s="45" t="inlineStr">
        <is>
          <t>260300;740200;740311</t>
        </is>
      </c>
      <c r="O2" s="45" t="inlineStr">
        <is>
          <t>labor_social_conflict;indigenous_community_rights</t>
        </is>
      </c>
      <c r="P2" s="45" t="inlineStr">
        <is>
          <t>CHN</t>
        </is>
      </c>
      <c r="Q2" s="45" t="inlineStr">
        <is>
          <t>not_mentioned</t>
        </is>
      </c>
      <c r="R2" s="45" t="inlineStr">
        <is>
          <t>not_mentioned</t>
        </is>
      </c>
      <c r="S2" s="45" t="inlineStr">
        <is>
          <t>Las Bambas; MMG; China Minmetals</t>
        </is>
      </c>
      <c r="T2" s="45" t="inlineStr">
        <is>
          <t>After protesters threw rocks at a government helicopter carrying a three-minister delegation to negotiate an end to a 51-day Fuerabamba community blockade of the Las Bambas copper mine road, Bustamante said the government would maintain its willingness to dialogue.</t>
        </is>
      </c>
      <c r="U2" s="45" t="inlineStr">
        <is>
          <t>We went with a disposition for dialogue and that's why we're going to continue with that disposition and see how things shape up tomorrow.</t>
        </is>
      </c>
      <c r="V2" s="45" t="inlineStr">
        <is>
          <t>We went with a disposition for dialogue and that's why we're going to continue with that disposition and see how things shape up tomorrow.</t>
        </is>
      </c>
      <c r="W2" s="45" t="inlineStr">
        <is>
          <t>en</t>
        </is>
      </c>
      <c r="X2" s="45" t="inlineStr">
        <is>
          <t>Reuters via The Borneo Post (PressReader)</t>
        </is>
      </c>
      <c r="Y2" s="45" t="inlineStr">
        <is>
          <t>https://www.pressreader.com/malaysia/the-borneo-post-sabah/20190329/282248076914526</t>
        </is>
      </c>
      <c r="Z2" s="45" t="inlineStr">
        <is>
          <t>news_media</t>
        </is>
      </c>
      <c r="AA2" s="45" t="inlineStr">
        <is>
          <t>secondary_reported</t>
        </is>
      </c>
      <c r="AB2" s="45" t="inlineStr">
        <is>
          <t>Exact day not given (Wednesday before 29 Mar 2019, likely 27 Mar); quote is English wire translation of Spanish original</t>
        </is>
      </c>
      <c r="AC2" s="45" t="inlineStr">
        <is>
          <t>PER</t>
        </is>
      </c>
    </row>
    <row r="3" ht="15" customHeight="1" s="24">
      <c r="A3" s="45" t="inlineStr">
        <is>
          <t>PS-0002</t>
        </is>
      </c>
      <c r="B3" s="45" t="inlineStr">
        <is>
          <t>2019-03-05</t>
        </is>
      </c>
      <c r="C3" s="45" t="inlineStr">
        <is>
          <t>2019</t>
        </is>
      </c>
      <c r="D3" s="45" t="inlineStr">
        <is>
          <t>BRA</t>
        </is>
      </c>
      <c r="E3" s="45" t="inlineStr">
        <is>
          <t>Bento Albuquerque</t>
        </is>
      </c>
      <c r="F3" s="45" t="inlineStr">
        <is>
          <t>Minister of Mines and Energy of Brazil</t>
        </is>
      </c>
      <c r="G3" s="45" t="inlineStr">
        <is>
          <t>minister_cabinet</t>
        </is>
      </c>
      <c r="H3" s="45" t="inlineStr">
        <is>
          <t>LatAm executive</t>
        </is>
      </c>
      <c r="I3" s="45" t="inlineStr">
        <is>
          <t>BRA</t>
        </is>
      </c>
      <c r="J3" s="45" t="inlineStr"/>
      <c r="K3" s="45" t="inlineStr">
        <is>
          <t>speech</t>
        </is>
      </c>
      <c r="L3" s="45" t="inlineStr">
        <is>
          <t>Meeting with mining investors in Canada (PDAC, Toronto)</t>
        </is>
      </c>
      <c r="M3" s="45" t="inlineStr">
        <is>
          <t>mining_general</t>
        </is>
      </c>
      <c r="N3" s="45" t="inlineStr"/>
      <c r="O3" s="45" t="inlineStr">
        <is>
          <t>indigenous_community_rights;foreign_investment;sovereignty</t>
        </is>
      </c>
      <c r="P3" s="45" t="inlineStr">
        <is>
          <t>CAN</t>
        </is>
      </c>
      <c r="Q3" s="45" t="inlineStr">
        <is>
          <t>not_mentioned</t>
        </is>
      </c>
      <c r="R3" s="45" t="inlineStr">
        <is>
          <t>not_mentioned</t>
        </is>
      </c>
      <c r="S3" s="45" t="inlineStr">
        <is>
          <t>INB</t>
        </is>
      </c>
      <c r="T3" s="45" t="inlineStr">
        <is>
          <t>Albuquerque told investors in Canada that the government was studying authorising mining in indigenous lands and border areas, arguing restrictions fostered illegal activity, and favoured opening uranium research to private investment.</t>
        </is>
      </c>
      <c r="U3" s="45" t="inlineStr">
        <is>
          <t>As restrições aplicadas a essas áreas não têm favorecido seu desenvolvimento.</t>
        </is>
      </c>
      <c r="V3" s="45" t="inlineStr">
        <is>
          <t>The restrictions applied to these areas have not favoured their development.</t>
        </is>
      </c>
      <c r="W3" s="45" t="inlineStr">
        <is>
          <t>pt</t>
        </is>
      </c>
      <c r="X3" s="45" t="inlineStr">
        <is>
          <t>Congresso em Foco</t>
        </is>
      </c>
      <c r="Y3" s="45" t="inlineStr">
        <is>
          <t>https://congressoemfoco.com.br/economia/governo-planeja-liberar-mineracao-em-terras-indigenas-diz-ministro</t>
        </is>
      </c>
      <c r="Z3" s="45" t="inlineStr">
        <is>
          <t>news_media</t>
        </is>
      </c>
      <c r="AA3" s="45" t="inlineStr">
        <is>
          <t>secondary_reported</t>
        </is>
      </c>
      <c r="AB3" s="45" t="inlineStr">
        <is>
          <t>Event name PDAC inferred from date/location</t>
        </is>
      </c>
      <c r="AC3" s="45" t="inlineStr">
        <is>
          <t>BRA</t>
        </is>
      </c>
    </row>
    <row r="4" ht="15" customHeight="1" s="24">
      <c r="A4" s="45" t="inlineStr">
        <is>
          <t>PS-0003</t>
        </is>
      </c>
      <c r="B4" s="45" t="inlineStr">
        <is>
          <t>2019-07-16</t>
        </is>
      </c>
      <c r="C4" s="45" t="inlineStr">
        <is>
          <t>2019</t>
        </is>
      </c>
      <c r="D4" s="45" t="inlineStr">
        <is>
          <t>PER</t>
        </is>
      </c>
      <c r="E4" s="45" t="inlineStr">
        <is>
          <t>Elmer Cáceres Llica</t>
        </is>
      </c>
      <c r="F4" s="45" t="inlineStr">
        <is>
          <t>Regional Governor of Arequipa</t>
        </is>
      </c>
      <c r="G4" s="45" t="inlineStr">
        <is>
          <t>subnational_gov</t>
        </is>
      </c>
      <c r="H4" s="45" t="inlineStr">
        <is>
          <t>LatAm executive</t>
        </is>
      </c>
      <c r="I4" s="45" t="inlineStr">
        <is>
          <t>PER</t>
        </is>
      </c>
      <c r="J4" s="45" t="inlineStr"/>
      <c r="K4" s="45" t="inlineStr">
        <is>
          <t>press_conference</t>
        </is>
      </c>
      <c r="L4" s="45" t="inlineStr">
        <is>
          <t>Tía María license protests, Tambo Valley</t>
        </is>
      </c>
      <c r="M4" s="45" t="inlineStr">
        <is>
          <t>copper</t>
        </is>
      </c>
      <c r="N4" s="45" t="inlineStr">
        <is>
          <t>260300;740200;740311</t>
        </is>
      </c>
      <c r="O4" s="45" t="inlineStr">
        <is>
          <t>environment_water;labor_social_conflict</t>
        </is>
      </c>
      <c r="P4" s="45" t="inlineStr">
        <is>
          <t>none</t>
        </is>
      </c>
      <c r="Q4" s="45" t="inlineStr">
        <is>
          <t>not_mentioned</t>
        </is>
      </c>
      <c r="R4" s="45" t="inlineStr">
        <is>
          <t>not_mentioned</t>
        </is>
      </c>
      <c r="S4" s="45" t="inlineStr">
        <is>
          <t>Tía María; Southern Copper</t>
        </is>
      </c>
      <c r="T4" s="45" t="inlineStr">
        <is>
          <t>The Arequipa governor, backed by over 50 civil organizations, gave the central government 72 hours to declare the Tía María construction license null, while pursuing legal remedies and peaceful protests.</t>
        </is>
      </c>
      <c r="U4" s="45" t="inlineStr">
        <is>
          <t>Le daremos al Gobierno central 72 horas para que resuelva el tema de la licencia de construcción, o sea que declare su nulidad de oficio</t>
        </is>
      </c>
      <c r="V4" s="45" t="inlineStr">
        <is>
          <t>We will give the central government 72 hours to resolve the construction license issue, that is, to declare it null ex officio</t>
        </is>
      </c>
      <c r="W4" s="45" t="inlineStr">
        <is>
          <t>es</t>
        </is>
      </c>
      <c r="X4" s="45" t="inlineStr">
        <is>
          <t>La República</t>
        </is>
      </c>
      <c r="Y4" s="45" t="inlineStr">
        <is>
          <t>https://larepublica.pe/sociedad/2019/07/16/gobernador-de-arequipa-da-72-horas-a-vizcarra-para-cancelar-licencia-de-tia-maria</t>
        </is>
      </c>
      <c r="Z4" s="45" t="inlineStr">
        <is>
          <t>news_media</t>
        </is>
      </c>
      <c r="AA4" s="45" t="inlineStr">
        <is>
          <t>secondary_reported</t>
        </is>
      </c>
      <c r="AB4" s="45" t="inlineStr"/>
      <c r="AC4" s="45" t="inlineStr">
        <is>
          <t>PER</t>
        </is>
      </c>
    </row>
    <row r="5" ht="15" customHeight="1" s="24">
      <c r="A5" s="45" t="inlineStr">
        <is>
          <t>PS-0004</t>
        </is>
      </c>
      <c r="B5" s="45" t="inlineStr">
        <is>
          <t>2019-07-16</t>
        </is>
      </c>
      <c r="C5" s="45" t="inlineStr">
        <is>
          <t>2019</t>
        </is>
      </c>
      <c r="D5" s="45" t="inlineStr">
        <is>
          <t>PER</t>
        </is>
      </c>
      <c r="E5" s="45" t="inlineStr">
        <is>
          <t>Martín Vizcarra</t>
        </is>
      </c>
      <c r="F5" s="45" t="inlineStr">
        <is>
          <t>President of Peru</t>
        </is>
      </c>
      <c r="G5" s="45" t="inlineStr">
        <is>
          <t>head_of_state</t>
        </is>
      </c>
      <c r="H5" s="45" t="inlineStr">
        <is>
          <t>LatAm executive</t>
        </is>
      </c>
      <c r="I5" s="45" t="inlineStr">
        <is>
          <t>PER</t>
        </is>
      </c>
      <c r="J5" s="45" t="inlineStr"/>
      <c r="K5" s="45" t="inlineStr">
        <is>
          <t>press_conference</t>
        </is>
      </c>
      <c r="L5" s="45" t="inlineStr">
        <is>
          <t>Protests over Tía María construction license granted to Southern Peru (9 Jul 2019)</t>
        </is>
      </c>
      <c r="M5" s="45" t="inlineStr">
        <is>
          <t>copper</t>
        </is>
      </c>
      <c r="N5" s="45" t="inlineStr">
        <is>
          <t>260300;740200;740311</t>
        </is>
      </c>
      <c r="O5" s="45" t="inlineStr">
        <is>
          <t>labor_social_conflict;environment_water;foreign_investment</t>
        </is>
      </c>
      <c r="P5" s="45" t="inlineStr">
        <is>
          <t>none</t>
        </is>
      </c>
      <c r="Q5" s="45" t="inlineStr">
        <is>
          <t>not_mentioned</t>
        </is>
      </c>
      <c r="R5" s="45" t="inlineStr">
        <is>
          <t>not_mentioned</t>
        </is>
      </c>
      <c r="S5" s="45" t="inlineStr">
        <is>
          <t>Tía María; Southern Peru Copper; Grupo México</t>
        </is>
      </c>
      <c r="T5" s="45" t="inlineStr">
        <is>
          <t>Vizcarra said the construction license granted to Southern Peru for Tía María could not be annulled because the company had completed the administrative process, but called for dialogue and said construction would need proper conditions.</t>
        </is>
      </c>
      <c r="U5" s="45" t="inlineStr">
        <is>
          <t>No se puede anular, tenemos que conversar y fruto del diálogo, encontremos las soluciones y consensos</t>
        </is>
      </c>
      <c r="V5" s="45" t="inlineStr">
        <is>
          <t>It cannot be annulled; we have to talk, and through dialogue find solutions and consensus</t>
        </is>
      </c>
      <c r="W5" s="45" t="inlineStr">
        <is>
          <t>es</t>
        </is>
      </c>
      <c r="X5" s="45" t="inlineStr">
        <is>
          <t>El Búho</t>
        </is>
      </c>
      <c r="Y5" s="45" t="inlineStr">
        <is>
          <t>https://elbuho.pe/archivo/2019/07/16/martin-vizcarra-sobre-tia-maria-no-se-puede-anular-licencia-tenemos-que-conversar/index.html</t>
        </is>
      </c>
      <c r="Z5" s="45" t="inlineStr">
        <is>
          <t>news_media</t>
        </is>
      </c>
      <c r="AA5" s="45" t="inlineStr">
        <is>
          <t>secondary_reported</t>
        </is>
      </c>
      <c r="AB5" s="45" t="inlineStr"/>
      <c r="AC5" s="45" t="inlineStr">
        <is>
          <t>PER</t>
        </is>
      </c>
    </row>
    <row r="6" ht="15" customHeight="1" s="24">
      <c r="A6" s="45" t="inlineStr">
        <is>
          <t>PS-0005</t>
        </is>
      </c>
      <c r="B6" s="45" t="inlineStr">
        <is>
          <t>2019-09-06</t>
        </is>
      </c>
      <c r="C6" s="45" t="inlineStr">
        <is>
          <t>2019</t>
        </is>
      </c>
      <c r="D6" s="45" t="inlineStr">
        <is>
          <t>CHL</t>
        </is>
      </c>
      <c r="E6" s="45" t="inlineStr">
        <is>
          <t>Pablo Terrazas</t>
        </is>
      </c>
      <c r="F6" s="45" t="inlineStr">
        <is>
          <t>Executive Vice President of CORFO</t>
        </is>
      </c>
      <c r="G6" s="45" t="inlineStr">
        <is>
          <t>other_executive</t>
        </is>
      </c>
      <c r="H6" s="45" t="inlineStr">
        <is>
          <t>LatAm executive</t>
        </is>
      </c>
      <c r="I6" s="45" t="inlineStr">
        <is>
          <t>CHL</t>
        </is>
      </c>
      <c r="J6" s="45" t="inlineStr"/>
      <c r="K6" s="45" t="inlineStr">
        <is>
          <t>legislative_debate</t>
        </is>
      </c>
      <c r="L6" s="45" t="inlineStr">
        <is>
          <t>Chamber of Deputies Economy Commission session on lithium and Tianqi-SQM</t>
        </is>
      </c>
      <c r="M6" s="45" t="inlineStr">
        <is>
          <t>lithium</t>
        </is>
      </c>
      <c r="N6" s="45" t="inlineStr">
        <is>
          <t>253090;282520;283691</t>
        </is>
      </c>
      <c r="O6" s="45" t="inlineStr">
        <is>
          <t>technology_transfer;value_added_industrialization;foreign_investment</t>
        </is>
      </c>
      <c r="P6" s="45" t="inlineStr">
        <is>
          <t>CHN</t>
        </is>
      </c>
      <c r="Q6" s="45" t="inlineStr">
        <is>
          <t>neutral</t>
        </is>
      </c>
      <c r="R6" s="45" t="inlineStr">
        <is>
          <t>not_mentioned</t>
        </is>
      </c>
      <c r="S6" s="45" t="inlineStr">
        <is>
          <t>CORFO; SQM; Tianqi; Instituto Chileno de Tecnologías Limpias</t>
        </is>
      </c>
      <c r="T6" s="45" t="inlineStr">
        <is>
          <t>CORFO head briefed deputies on lithium contracts, Tianqi's stake in SQM and the planned Chilean Institute of Clean Technologies in Antofagasta, funded with SQM contributions, for lithium R&amp;D.</t>
        </is>
      </c>
      <c r="U6" s="45" t="inlineStr">
        <is>
          <t>De aquí a fin de año, ya vamos a tener a algún consorcio liderando la creación de este instituto</t>
        </is>
      </c>
      <c r="V6" s="45" t="inlineStr">
        <is>
          <t>By the end of the year we will have a consortium leading the creation of this institute</t>
        </is>
      </c>
      <c r="W6" s="45" t="inlineStr">
        <is>
          <t>es</t>
        </is>
      </c>
      <c r="X6" s="45" t="inlineStr">
        <is>
          <t>Cámara de Diputadas y Diputados</t>
        </is>
      </c>
      <c r="Y6" s="45" t="inlineStr">
        <is>
          <t>https://www.camara.cl/cms/2019/09/06/vicepresidente-de-corfo-informo-sobre-situacion-y-negociacion-del-litio/</t>
        </is>
      </c>
      <c r="Z6" s="45" t="inlineStr">
        <is>
          <t>legislative_record</t>
        </is>
      </c>
      <c r="AA6" s="45" t="inlineStr">
        <is>
          <t>primary_verified</t>
        </is>
      </c>
      <c r="AB6" s="45" t="inlineStr">
        <is>
          <t>Quote truncated to stay within 30 words; institute to have &gt;US$200m for R&amp;D</t>
        </is>
      </c>
      <c r="AC6" s="45" t="inlineStr">
        <is>
          <t>CHL</t>
        </is>
      </c>
    </row>
    <row r="7" ht="15" customHeight="1" s="24">
      <c r="A7" s="45" t="inlineStr">
        <is>
          <t>PS-0006</t>
        </is>
      </c>
      <c r="B7" s="45" t="inlineStr">
        <is>
          <t>2019-09-06</t>
        </is>
      </c>
      <c r="C7" s="45" t="inlineStr">
        <is>
          <t>2019</t>
        </is>
      </c>
      <c r="D7" s="45" t="inlineStr">
        <is>
          <t>CHL</t>
        </is>
      </c>
      <c r="E7" s="45" t="inlineStr">
        <is>
          <t>Renato Garín</t>
        </is>
      </c>
      <c r="F7" s="45" t="inlineStr">
        <is>
          <t>Deputy, Chair-level member of Economy Commission</t>
        </is>
      </c>
      <c r="G7" s="45" t="inlineStr">
        <is>
          <t>legislator</t>
        </is>
      </c>
      <c r="H7" s="45" t="inlineStr">
        <is>
          <t>LatAm legislature</t>
        </is>
      </c>
      <c r="I7" s="45" t="inlineStr">
        <is>
          <t>CHL</t>
        </is>
      </c>
      <c r="J7" s="45" t="inlineStr">
        <is>
          <t>Independent</t>
        </is>
      </c>
      <c r="K7" s="45" t="inlineStr">
        <is>
          <t>legislative_debate</t>
        </is>
      </c>
      <c r="L7" s="45" t="inlineStr">
        <is>
          <t>Chamber of Deputies Economy Commission session on lithium and Tianqi-SQM</t>
        </is>
      </c>
      <c r="M7" s="45" t="inlineStr">
        <is>
          <t>lithium</t>
        </is>
      </c>
      <c r="N7" s="45" t="inlineStr">
        <is>
          <t>253090;282520;283691</t>
        </is>
      </c>
      <c r="O7" s="45" t="inlineStr">
        <is>
          <t>sovereignty;geopolitics_security;technology_transfer</t>
        </is>
      </c>
      <c r="P7" s="45" t="inlineStr">
        <is>
          <t>CHN</t>
        </is>
      </c>
      <c r="Q7" s="45" t="inlineStr">
        <is>
          <t>negative</t>
        </is>
      </c>
      <c r="R7" s="45" t="inlineStr">
        <is>
          <t>not_mentioned</t>
        </is>
      </c>
      <c r="S7" s="45" t="inlineStr">
        <is>
          <t>SQM; Tianqi</t>
        </is>
      </c>
      <c r="T7" s="45" t="inlineStr">
        <is>
          <t>Deputy Garín voiced concern about Chinese state influence over SQM through Tianqi and said Chile must retain sovereignty over its lithium resources and technology development.</t>
        </is>
      </c>
      <c r="U7" s="45" t="inlineStr"/>
      <c r="V7" s="45" t="inlineStr"/>
      <c r="W7" s="45" t="inlineStr">
        <is>
          <t>es</t>
        </is>
      </c>
      <c r="X7" s="45" t="inlineStr">
        <is>
          <t>Cámara de Diputadas y Diputados</t>
        </is>
      </c>
      <c r="Y7" s="45" t="inlineStr">
        <is>
          <t>https://www.camara.cl/cms/2019/09/06/vicepresidente-de-corfo-informo-sobre-situacion-y-negociacion-del-litio/</t>
        </is>
      </c>
      <c r="Z7" s="45" t="inlineStr">
        <is>
          <t>legislative_record</t>
        </is>
      </c>
      <c r="AA7" s="45" t="inlineStr">
        <is>
          <t>primary_verified</t>
        </is>
      </c>
      <c r="AB7" s="45" t="inlineStr">
        <is>
          <t>Paraphrase from Chamber press note; no verbatim quote</t>
        </is>
      </c>
      <c r="AC7" s="45" t="inlineStr">
        <is>
          <t>CHL</t>
        </is>
      </c>
    </row>
    <row r="8" ht="15" customHeight="1" s="24">
      <c r="A8" s="45" t="inlineStr">
        <is>
          <t>PS-0007</t>
        </is>
      </c>
      <c r="B8" s="45" t="inlineStr">
        <is>
          <t>2019-10-13</t>
        </is>
      </c>
      <c r="C8" s="45" t="inlineStr">
        <is>
          <t>2019</t>
        </is>
      </c>
      <c r="D8" s="45" t="inlineStr">
        <is>
          <t>PER</t>
        </is>
      </c>
      <c r="E8" s="45" t="inlineStr">
        <is>
          <t>Raúl Molina Martínez</t>
        </is>
      </c>
      <c r="F8" s="45" t="inlineStr">
        <is>
          <t>Deputy Minister of Territorial Governance (PCM)</t>
        </is>
      </c>
      <c r="G8" s="45" t="inlineStr">
        <is>
          <t>other_executive</t>
        </is>
      </c>
      <c r="H8" s="45" t="inlineStr">
        <is>
          <t>LatAm executive</t>
        </is>
      </c>
      <c r="I8" s="45" t="inlineStr">
        <is>
          <t>PER</t>
        </is>
      </c>
      <c r="J8" s="45" t="inlineStr"/>
      <c r="K8" s="45" t="inlineStr">
        <is>
          <t>official_statement</t>
        </is>
      </c>
      <c r="L8" s="45" t="inlineStr">
        <is>
          <t>Chumbivilcas blockade of southern mining corridor used by Las Bambas</t>
        </is>
      </c>
      <c r="M8" s="45" t="inlineStr">
        <is>
          <t>copper</t>
        </is>
      </c>
      <c r="N8" s="45" t="inlineStr">
        <is>
          <t>260300;740200;740311</t>
        </is>
      </c>
      <c r="O8" s="45" t="inlineStr">
        <is>
          <t>labor_social_conflict;infrastructure_ports</t>
        </is>
      </c>
      <c r="P8" s="45" t="inlineStr">
        <is>
          <t>none</t>
        </is>
      </c>
      <c r="Q8" s="45" t="inlineStr">
        <is>
          <t>not_mentioned</t>
        </is>
      </c>
      <c r="R8" s="45" t="inlineStr">
        <is>
          <t>not_mentioned</t>
        </is>
      </c>
      <c r="S8" s="45" t="inlineStr">
        <is>
          <t>Las Bambas; MMG</t>
        </is>
      </c>
      <c r="T8" s="45" t="inlineStr">
        <is>
          <t>The PCM vice minister urged Chumbivilcas communities to lift their blockade of the road used by Las Bambas to haul copper concentrate, stressing it is a public road and that demands must be legally viable.</t>
        </is>
      </c>
      <c r="U8" s="45" t="inlineStr">
        <is>
          <t>It is not possible to prevent the free movement of vehicles through the runway, including the miner's trucks, because it is a public road.</t>
        </is>
      </c>
      <c r="V8" s="45" t="inlineStr">
        <is>
          <t>It is not possible to prevent the free movement of vehicles through the runway, including the miner's trucks, because it is a public road.</t>
        </is>
      </c>
      <c r="W8" s="45" t="inlineStr">
        <is>
          <t>en</t>
        </is>
      </c>
      <c r="X8" s="45" t="inlineStr">
        <is>
          <t>Reuters via MINING.COM</t>
        </is>
      </c>
      <c r="Y8" s="45" t="inlineStr">
        <is>
          <t>https://www.mining.com/?p=1004331</t>
        </is>
      </c>
      <c r="Z8" s="45" t="inlineStr">
        <is>
          <t>news_media</t>
        </is>
      </c>
      <c r="AA8" s="45" t="inlineStr">
        <is>
          <t>secondary_reported</t>
        </is>
      </c>
      <c r="AB8" s="45" t="inlineStr">
        <is>
          <t>Quote is English wire translation; date is article date</t>
        </is>
      </c>
      <c r="AC8" s="45" t="inlineStr">
        <is>
          <t>PER</t>
        </is>
      </c>
    </row>
    <row r="9" ht="15" customHeight="1" s="24">
      <c r="A9" s="45" t="inlineStr">
        <is>
          <t>PS-0008</t>
        </is>
      </c>
      <c r="B9" s="45" t="inlineStr">
        <is>
          <t>2019-10-28</t>
        </is>
      </c>
      <c r="C9" s="45" t="inlineStr">
        <is>
          <t>2019</t>
        </is>
      </c>
      <c r="D9" s="45" t="inlineStr">
        <is>
          <t>PER</t>
        </is>
      </c>
      <c r="E9" s="45" t="inlineStr">
        <is>
          <t>Juan Carlos Liu</t>
        </is>
      </c>
      <c r="F9" s="45" t="inlineStr">
        <is>
          <t>Minister of Energy and Mines of Peru</t>
        </is>
      </c>
      <c r="G9" s="45" t="inlineStr">
        <is>
          <t>minister_cabinet</t>
        </is>
      </c>
      <c r="H9" s="45" t="inlineStr">
        <is>
          <t>LatAm executive</t>
        </is>
      </c>
      <c r="I9" s="45" t="inlineStr">
        <is>
          <t>PER</t>
        </is>
      </c>
      <c r="J9" s="45" t="inlineStr"/>
      <c r="K9" s="45" t="inlineStr">
        <is>
          <t>press_conference</t>
        </is>
      </c>
      <c r="L9" s="45" t="inlineStr">
        <is>
          <t>Mining Council review of Tía María license</t>
        </is>
      </c>
      <c r="M9" s="45" t="inlineStr">
        <is>
          <t>copper</t>
        </is>
      </c>
      <c r="N9" s="45" t="inlineStr">
        <is>
          <t>260300;740200;740311</t>
        </is>
      </c>
      <c r="O9" s="45" t="inlineStr">
        <is>
          <t>corruption_governance;labor_social_conflict</t>
        </is>
      </c>
      <c r="P9" s="45" t="inlineStr">
        <is>
          <t>none</t>
        </is>
      </c>
      <c r="Q9" s="45" t="inlineStr">
        <is>
          <t>not_mentioned</t>
        </is>
      </c>
      <c r="R9" s="45" t="inlineStr">
        <is>
          <t>not_mentioned</t>
        </is>
      </c>
      <c r="S9" s="45" t="inlineStr">
        <is>
          <t>Tía María; Southern Copper; Consejo de Minería</t>
        </is>
      </c>
      <c r="T9" s="45" t="inlineStr">
        <is>
          <t>Liu said the Tía María license case was for the autonomous Mining Council to decide and that the government, following presidential guidelines, would abide by its ruling while promoting dialogue in the Tambo Valley.</t>
        </is>
      </c>
      <c r="U9" s="45" t="inlineStr">
        <is>
          <t>El caso de Tía María es un caso que está para la decisión de la Comisión de Minería.</t>
        </is>
      </c>
      <c r="V9" s="45" t="inlineStr">
        <is>
          <t>The Tía María case is one awaiting the decision of the Mining Commission.</t>
        </is>
      </c>
      <c r="W9" s="45" t="inlineStr">
        <is>
          <t>es</t>
        </is>
      </c>
      <c r="X9" s="45" t="inlineStr">
        <is>
          <t>ProActivo</t>
        </is>
      </c>
      <c r="Y9" s="45" t="inlineStr">
        <is>
          <t>https://proactivo.com.pe/juan-carlos-liu-gobierno-respetara-decision-del-consejo-de-mineria-sobre-tia-maria/</t>
        </is>
      </c>
      <c r="Z9" s="45" t="inlineStr">
        <is>
          <t>news_media</t>
        </is>
      </c>
      <c r="AA9" s="45" t="inlineStr">
        <is>
          <t>secondary_reported</t>
        </is>
      </c>
      <c r="AB9" s="45" t="inlineStr"/>
      <c r="AC9" s="45" t="inlineStr">
        <is>
          <t>PER</t>
        </is>
      </c>
    </row>
    <row r="10" ht="15" customHeight="1" s="24">
      <c r="A10" s="45" t="inlineStr">
        <is>
          <t>PS-0009</t>
        </is>
      </c>
      <c r="B10" s="45" t="inlineStr">
        <is>
          <t>2020-04</t>
        </is>
      </c>
      <c r="C10" s="45" t="inlineStr">
        <is>
          <t>2020</t>
        </is>
      </c>
      <c r="D10" s="45" t="inlineStr">
        <is>
          <t>BOL</t>
        </is>
      </c>
      <c r="E10" s="45" t="inlineStr">
        <is>
          <t>José Luis Parada</t>
        </is>
      </c>
      <c r="F10" s="45" t="inlineStr">
        <is>
          <t>Minister of Economy and Public Finance (Áñez interim government)</t>
        </is>
      </c>
      <c r="G10" s="45" t="inlineStr">
        <is>
          <t>minister_cabinet</t>
        </is>
      </c>
      <c r="H10" s="45" t="inlineStr">
        <is>
          <t>LatAm executive</t>
        </is>
      </c>
      <c r="I10" s="45" t="inlineStr">
        <is>
          <t>BOL</t>
        </is>
      </c>
      <c r="J10" s="45" t="inlineStr">
        <is>
          <t>Áñez interim government</t>
        </is>
      </c>
      <c r="K10" s="45" t="inlineStr">
        <is>
          <t>interview</t>
        </is>
      </c>
      <c r="L10" s="45" t="inlineStr">
        <is>
          <t>Interim government economic policy, COVID-19 period</t>
        </is>
      </c>
      <c r="M10" s="45" t="inlineStr">
        <is>
          <t>lithium</t>
        </is>
      </c>
      <c r="N10" s="45" t="inlineStr">
        <is>
          <t>253090;282520;283691</t>
        </is>
      </c>
      <c r="O10" s="45" t="inlineStr">
        <is>
          <t>foreign_investment</t>
        </is>
      </c>
      <c r="P10" s="45" t="inlineStr">
        <is>
          <t>none</t>
        </is>
      </c>
      <c r="Q10" s="45" t="inlineStr">
        <is>
          <t>not_mentioned</t>
        </is>
      </c>
      <c r="R10" s="45" t="inlineStr">
        <is>
          <t>not_mentioned</t>
        </is>
      </c>
      <c r="S10" s="45" t="inlineStr">
        <is>
          <t>Salar de Uyuni</t>
        </is>
      </c>
      <c r="T10" s="45" t="inlineStr">
        <is>
          <t>Interim-government economy minister Parada said two or three companies from different countries would invest in lithium from the Uyuni salt flat and that policies to attract foreign partners were being prepared.</t>
        </is>
      </c>
      <c r="U10" s="45" t="inlineStr"/>
      <c r="V10" s="45" t="inlineStr"/>
      <c r="W10" s="45" t="inlineStr">
        <is>
          <t>es</t>
        </is>
      </c>
      <c r="X10" s="45" t="inlineStr">
        <is>
          <t>Tiempo Argentino</t>
        </is>
      </c>
      <c r="Y10" s="45" t="inlineStr">
        <is>
          <t>https://www.tiempoar.com.ar/ta_article/la-guerra-del-litio-entre-la-privatizacion-y-la-quiebra/</t>
        </is>
      </c>
      <c r="Z10" s="45" t="inlineStr">
        <is>
          <t>news_media</t>
        </is>
      </c>
      <c r="AA10" s="45" t="inlineStr">
        <is>
          <t>secondary_reported</t>
        </is>
      </c>
      <c r="AB10" s="45" t="inlineStr">
        <is>
          <t>Paraphrase from secondary source (left-leaning outlet); exact day in late April 2020 unknown; no verbatim quote seen.</t>
        </is>
      </c>
      <c r="AC10" s="45" t="inlineStr">
        <is>
          <t>BOL</t>
        </is>
      </c>
    </row>
    <row r="11" ht="15" customHeight="1" s="24">
      <c r="A11" s="45" t="inlineStr">
        <is>
          <t>PS-0010</t>
        </is>
      </c>
      <c r="B11" s="45" t="inlineStr">
        <is>
          <t>2020-07-25</t>
        </is>
      </c>
      <c r="C11" s="45" t="inlineStr">
        <is>
          <t>2020</t>
        </is>
      </c>
      <c r="D11" s="45" t="inlineStr">
        <is>
          <t>BOL</t>
        </is>
      </c>
      <c r="E11" s="45" t="inlineStr">
        <is>
          <t>Evo Morales</t>
        </is>
      </c>
      <c r="F11" s="45" t="inlineStr">
        <is>
          <t>Former President of Bolivia (in exile)</t>
        </is>
      </c>
      <c r="G11" s="45" t="inlineStr">
        <is>
          <t>other</t>
        </is>
      </c>
      <c r="H11" s="45" t="inlineStr">
        <is>
          <t>Other (business, civil society, third countries)</t>
        </is>
      </c>
      <c r="I11" s="45" t="inlineStr">
        <is>
          <t>BOL</t>
        </is>
      </c>
      <c r="J11" s="45" t="inlineStr">
        <is>
          <t>Movimiento al Socialismo (MAS)</t>
        </is>
      </c>
      <c r="K11" s="45" t="inlineStr">
        <is>
          <t>social_media_post</t>
        </is>
      </c>
      <c r="L11" s="45" t="inlineStr">
        <is>
          <t>Twitter exchange with Elon Musk</t>
        </is>
      </c>
      <c r="M11" s="45" t="inlineStr">
        <is>
          <t>lithium</t>
        </is>
      </c>
      <c r="N11" s="45" t="inlineStr">
        <is>
          <t>253090;282520;283691</t>
        </is>
      </c>
      <c r="O11" s="45" t="inlineStr">
        <is>
          <t>sovereignty;geopolitics_security</t>
        </is>
      </c>
      <c r="P11" s="45" t="inlineStr">
        <is>
          <t>USA</t>
        </is>
      </c>
      <c r="Q11" s="45" t="inlineStr">
        <is>
          <t>not_mentioned</t>
        </is>
      </c>
      <c r="R11" s="45" t="inlineStr">
        <is>
          <t>negative</t>
        </is>
      </c>
      <c r="S11" s="45" t="inlineStr">
        <is>
          <t>Tesla</t>
        </is>
      </c>
      <c r="T11" s="45" t="inlineStr">
        <is>
          <t>Responding to Elon Musk's 'We will coup whoever we want' tweet, Morales said it was further proof that the 2019 coup was over Bolivian lithium and vowed to defend Bolivia's resources.</t>
        </is>
      </c>
      <c r="U11" s="45" t="inlineStr">
        <is>
          <t>Otra prueba más de que el golpe fue por el litio boliviano; y dos masacres como saldo. ¡Defenderemos siempre nuestros recursos!</t>
        </is>
      </c>
      <c r="V11" s="45" t="inlineStr">
        <is>
          <t>Yet more proof that the coup was over Bolivian lithium; with two massacres as the toll. We will always defend our resources!</t>
        </is>
      </c>
      <c r="W11" s="45" t="inlineStr">
        <is>
          <t>es</t>
        </is>
      </c>
      <c r="X11" s="45" t="inlineStr">
        <is>
          <t>La República (Peru)</t>
        </is>
      </c>
      <c r="Y11" s="45" t="inlineStr">
        <is>
          <t>https://larepublica.pe/mundo/2020/07/25/elon-musk-y-evo-morales-enfrentados-en-twitter-daremos-un-golpe-a-quien-queramos</t>
        </is>
      </c>
      <c r="Z11" s="45" t="inlineStr">
        <is>
          <t>news_media</t>
        </is>
      </c>
      <c r="AA11" s="45" t="inlineStr">
        <is>
          <t>secondary_reported</t>
        </is>
      </c>
      <c r="AB11" s="45" t="inlineStr">
        <is>
          <t>Tweet quoted by media; stance_us coded for US corporate actor (Musk/Tesla).</t>
        </is>
      </c>
      <c r="AC11" s="45" t="inlineStr">
        <is>
          <t>BOL</t>
        </is>
      </c>
    </row>
    <row r="12" ht="15" customHeight="1" s="24">
      <c r="A12" s="45" t="inlineStr">
        <is>
          <t>PS-0011</t>
        </is>
      </c>
      <c r="B12" s="45" t="inlineStr">
        <is>
          <t>2020-09-28</t>
        </is>
      </c>
      <c r="C12" s="45" t="inlineStr">
        <is>
          <t>2020</t>
        </is>
      </c>
      <c r="D12" s="45" t="inlineStr">
        <is>
          <t>BRA</t>
        </is>
      </c>
      <c r="E12" s="45" t="inlineStr">
        <is>
          <t>Jair Bolsonaro</t>
        </is>
      </c>
      <c r="F12" s="45" t="inlineStr">
        <is>
          <t>President of Brazil</t>
        </is>
      </c>
      <c r="G12" s="45" t="inlineStr">
        <is>
          <t>head_of_state</t>
        </is>
      </c>
      <c r="H12" s="45" t="inlineStr">
        <is>
          <t>LatAm executive</t>
        </is>
      </c>
      <c r="I12" s="45" t="inlineStr">
        <is>
          <t>BRA</t>
        </is>
      </c>
      <c r="J12" s="45" t="inlineStr">
        <is>
          <t>no party (ex-PSL)</t>
        </is>
      </c>
      <c r="K12" s="45" t="inlineStr">
        <is>
          <t>speech</t>
        </is>
      </c>
      <c r="L12" s="45" t="inlineStr">
        <is>
          <t>Launch of the Mining and Development Program (PMD), Palácio do Planalto</t>
        </is>
      </c>
      <c r="M12" s="45" t="inlineStr">
        <is>
          <t>niobium;mining_general</t>
        </is>
      </c>
      <c r="N12" s="45" t="inlineStr">
        <is>
          <t>261590;720293</t>
        </is>
      </c>
      <c r="O12" s="45" t="inlineStr">
        <is>
          <t>value_added_industrialization;technology_transfer;indigenous_community_rights</t>
        </is>
      </c>
      <c r="P12" s="45" t="inlineStr">
        <is>
          <t>none</t>
        </is>
      </c>
      <c r="Q12" s="45" t="inlineStr">
        <is>
          <t>not_mentioned</t>
        </is>
      </c>
      <c r="R12" s="45" t="inlineStr">
        <is>
          <t>not_mentioned</t>
        </is>
      </c>
      <c r="S12" s="45" t="inlineStr"/>
      <c r="T12" s="45" t="inlineStr">
        <is>
          <t>At the launch of the government's Mining and Development Program, Bolsonaro received a niobium coin from Minister Bento Albuquerque and praised niobium combined with graphene as able to revolutionise the car industry; the program included advancing a bill on mining in indigenous lands.</t>
        </is>
      </c>
      <c r="U12" s="45" t="inlineStr">
        <is>
          <t>juntamente com o grafeno é capaz de produzir maravilhas</t>
        </is>
      </c>
      <c r="V12" s="45" t="inlineStr">
        <is>
          <t>together with graphene it is capable of producing wonders</t>
        </is>
      </c>
      <c r="W12" s="45" t="inlineStr">
        <is>
          <t>pt</t>
        </is>
      </c>
      <c r="X12" s="45" t="inlineStr">
        <is>
          <t>Poder360</t>
        </is>
      </c>
      <c r="Y12" s="45" t="inlineStr">
        <is>
          <t>https://www.poder360.com.br/governo/em-lancamento-de-programa-de-mineracao-do-governo-bolsonaro-exalta-niobio/</t>
        </is>
      </c>
      <c r="Z12" s="45" t="inlineStr">
        <is>
          <t>news_media</t>
        </is>
      </c>
      <c r="AA12" s="45" t="inlineStr">
        <is>
          <t>secondary_reported</t>
        </is>
      </c>
      <c r="AB12" s="45" t="inlineStr">
        <is>
          <t>Bolsonaro left PSL in Nov 2019</t>
        </is>
      </c>
      <c r="AC12" s="45" t="inlineStr">
        <is>
          <t>BRA</t>
        </is>
      </c>
    </row>
    <row r="13" ht="15" customHeight="1" s="24">
      <c r="A13" s="45" t="inlineStr">
        <is>
          <t>PS-0012</t>
        </is>
      </c>
      <c r="B13" s="45" t="inlineStr">
        <is>
          <t>2020-11-10</t>
        </is>
      </c>
      <c r="C13" s="45" t="inlineStr">
        <is>
          <t>2020</t>
        </is>
      </c>
      <c r="D13" s="45" t="inlineStr">
        <is>
          <t>BOL</t>
        </is>
      </c>
      <c r="E13" s="45" t="inlineStr">
        <is>
          <t>Evo Morales</t>
        </is>
      </c>
      <c r="F13" s="45" t="inlineStr">
        <is>
          <t>Former President of Bolivia; MAS leader</t>
        </is>
      </c>
      <c r="G13" s="45" t="inlineStr">
        <is>
          <t>other</t>
        </is>
      </c>
      <c r="H13" s="45" t="inlineStr">
        <is>
          <t>Other (business, civil society, third countries)</t>
        </is>
      </c>
      <c r="I13" s="45" t="inlineStr">
        <is>
          <t>BOL</t>
        </is>
      </c>
      <c r="J13" s="45" t="inlineStr">
        <is>
          <t>Movimiento al Socialismo (MAS)</t>
        </is>
      </c>
      <c r="K13" s="45" t="inlineStr">
        <is>
          <t>press_conference</t>
        </is>
      </c>
      <c r="L13" s="45" t="inlineStr">
        <is>
          <t>Return to Bolivia from exile, Uyuni/Potosí tour</t>
        </is>
      </c>
      <c r="M13" s="45" t="inlineStr">
        <is>
          <t>lithium</t>
        </is>
      </c>
      <c r="N13" s="45" t="inlineStr">
        <is>
          <t>253090;282520;283691</t>
        </is>
      </c>
      <c r="O13" s="45" t="inlineStr">
        <is>
          <t>value_added_industrialization;sovereignty;geopolitics_security</t>
        </is>
      </c>
      <c r="P13" s="45" t="inlineStr">
        <is>
          <t>none</t>
        </is>
      </c>
      <c r="Q13" s="45" t="inlineStr">
        <is>
          <t>not_mentioned</t>
        </is>
      </c>
      <c r="R13" s="45" t="inlineStr">
        <is>
          <t>not_mentioned</t>
        </is>
      </c>
      <c r="S13" s="45" t="inlineStr"/>
      <c r="T13" s="45" t="inlineStr">
        <is>
          <t>On his return to Bolivia, Morales said lithium reserves were the motive for the 2019 'coup', that industrialized countries want Latin America only for raw materials, and that his lithium industrialization plan would resume under President Arce.</t>
        </is>
      </c>
      <c r="U13" s="45" t="inlineStr">
        <is>
          <t>allí donde los pueblos son dueños de los recursos naturales, preparan bases e intervenciones militares e incluso golpes de Estado</t>
        </is>
      </c>
      <c r="V13" s="45" t="inlineStr">
        <is>
          <t>wherever peoples own their natural resources, they prepare bases and military interventions and even coups d'état</t>
        </is>
      </c>
      <c r="W13" s="45" t="inlineStr">
        <is>
          <t>es</t>
        </is>
      </c>
      <c r="X13" s="45" t="inlineStr">
        <is>
          <t>Público</t>
        </is>
      </c>
      <c r="Y13" s="45" t="inlineStr">
        <is>
          <t>https://www.publico.es/internacional/evo-morales-ve-litio-causa-golpe-bolivia.html</t>
        </is>
      </c>
      <c r="Z13" s="45" t="inlineStr">
        <is>
          <t>news_media</t>
        </is>
      </c>
      <c r="AA13" s="45" t="inlineStr">
        <is>
          <t>secondary_reported</t>
        </is>
      </c>
      <c r="AB13" s="45" t="inlineStr">
        <is>
          <t>Also reported by Gestión (https://gestion.pe/mundo/internacional/evo-morales-anuncia-que-se-reactivara-su-plan-de-litio-apenas-llegado-a-bolivia-noticia/): 'El plan que teníamos lo vamos a retomar ahora con el Lucho presidente'.</t>
        </is>
      </c>
      <c r="AC13" s="45" t="inlineStr">
        <is>
          <t>BOL</t>
        </is>
      </c>
    </row>
    <row r="14" ht="15" customHeight="1" s="24">
      <c r="A14" s="45" t="inlineStr">
        <is>
          <t>PS-0013</t>
        </is>
      </c>
      <c r="B14" s="45" t="inlineStr">
        <is>
          <t>2020-12-04</t>
        </is>
      </c>
      <c r="C14" s="45" t="inlineStr">
        <is>
          <t>2020</t>
        </is>
      </c>
      <c r="D14" s="45" t="inlineStr">
        <is>
          <t>PER</t>
        </is>
      </c>
      <c r="E14" s="45" t="inlineStr">
        <is>
          <t>Francisco Sagasti</t>
        </is>
      </c>
      <c r="F14" s="45" t="inlineStr">
        <is>
          <t>President of Peru (transitional)</t>
        </is>
      </c>
      <c r="G14" s="45" t="inlineStr">
        <is>
          <t>head_of_state</t>
        </is>
      </c>
      <c r="H14" s="45" t="inlineStr">
        <is>
          <t>LatAm executive</t>
        </is>
      </c>
      <c r="I14" s="45" t="inlineStr">
        <is>
          <t>PER</t>
        </is>
      </c>
      <c r="J14" s="45" t="inlineStr">
        <is>
          <t>Partido Morado</t>
        </is>
      </c>
      <c r="K14" s="45" t="inlineStr">
        <is>
          <t>press_conference</t>
        </is>
      </c>
      <c r="L14" s="45" t="inlineStr">
        <is>
          <t>Press conference with foreign media accredited in Peru</t>
        </is>
      </c>
      <c r="M14" s="45" t="inlineStr">
        <is>
          <t>mining_general</t>
        </is>
      </c>
      <c r="N14" s="45" t="inlineStr"/>
      <c r="O14" s="45" t="inlineStr">
        <is>
          <t>foreign_investment</t>
        </is>
      </c>
      <c r="P14" s="45" t="inlineStr">
        <is>
          <t>none</t>
        </is>
      </c>
      <c r="Q14" s="45" t="inlineStr">
        <is>
          <t>not_mentioned</t>
        </is>
      </c>
      <c r="R14" s="45" t="inlineStr">
        <is>
          <t>not_mentioned</t>
        </is>
      </c>
      <c r="S14" s="45" t="inlineStr"/>
      <c r="T14" s="45" t="inlineStr">
        <is>
          <t>Sagasti said his transitional government had no mandate to change economic direction and would ensure that foreign investments already under way, including in mining, continue, while arguing Peru should diversify beyond being a mining country.</t>
        </is>
      </c>
      <c r="U14" s="45" t="inlineStr">
        <is>
          <t>hará lo que hay que hacer para que continúen las inversiones extranjeras ya en proceso, ya sea en la minería o en otros sectores</t>
        </is>
      </c>
      <c r="V14" s="45" t="inlineStr">
        <is>
          <t>will do what must be done so that foreign investments already under way continue, whether in mining or other sectors</t>
        </is>
      </c>
      <c r="W14" s="45" t="inlineStr">
        <is>
          <t>es</t>
        </is>
      </c>
      <c r="X14" s="45" t="inlineStr">
        <is>
          <t>ProActivo</t>
        </is>
      </c>
      <c r="Y14" s="45" t="inlineStr">
        <is>
          <t>https://proactivo.com.pe/presidente-sagasti-reitera-la-necesidad-de-continuar-con-las-inversiones-mineras/</t>
        </is>
      </c>
      <c r="Z14" s="45" t="inlineStr">
        <is>
          <t>news_media</t>
        </is>
      </c>
      <c r="AA14" s="45" t="inlineStr">
        <is>
          <t>secondary_reported</t>
        </is>
      </c>
      <c r="AB14" s="45" t="inlineStr">
        <is>
          <t>Quote is in reported (third-person) form as published</t>
        </is>
      </c>
      <c r="AC14" s="45" t="inlineStr">
        <is>
          <t>PER</t>
        </is>
      </c>
    </row>
    <row r="15" ht="15" customHeight="1" s="24">
      <c r="A15" s="45" t="inlineStr">
        <is>
          <t>PS-0014</t>
        </is>
      </c>
      <c r="B15" s="45" t="inlineStr">
        <is>
          <t>2021-04-16</t>
        </is>
      </c>
      <c r="C15" s="45" t="inlineStr">
        <is>
          <t>2021</t>
        </is>
      </c>
      <c r="D15" s="45" t="inlineStr">
        <is>
          <t>PER</t>
        </is>
      </c>
      <c r="E15" s="45" t="inlineStr">
        <is>
          <t>Ana María Córdova</t>
        </is>
      </c>
      <c r="F15" s="45" t="inlineStr">
        <is>
          <t>Legal representative of Perú Libre (Pedro Castillo campaign)</t>
        </is>
      </c>
      <c r="G15" s="45" t="inlineStr">
        <is>
          <t>political_party_candidate</t>
        </is>
      </c>
      <c r="H15" s="45" t="inlineStr">
        <is>
          <t>LatAm party/candidate</t>
        </is>
      </c>
      <c r="I15" s="45" t="inlineStr">
        <is>
          <t>PER</t>
        </is>
      </c>
      <c r="J15" s="45" t="inlineStr">
        <is>
          <t>Perú Libre</t>
        </is>
      </c>
      <c r="K15" s="45" t="inlineStr">
        <is>
          <t>campaign_statement</t>
        </is>
      </c>
      <c r="L15" s="45" t="inlineStr">
        <is>
          <t>2021 presidential runoff campaign</t>
        </is>
      </c>
      <c r="M15" s="45" t="inlineStr">
        <is>
          <t>mining_general;copper</t>
        </is>
      </c>
      <c r="N15" s="45" t="inlineStr">
        <is>
          <t>260300;740200;740311</t>
        </is>
      </c>
      <c r="O15" s="45" t="inlineStr">
        <is>
          <t>royalties_taxation;state_control_nationalization;foreign_investment</t>
        </is>
      </c>
      <c r="P15" s="45" t="inlineStr">
        <is>
          <t>none</t>
        </is>
      </c>
      <c r="Q15" s="45" t="inlineStr">
        <is>
          <t>not_mentioned</t>
        </is>
      </c>
      <c r="R15" s="45" t="inlineStr">
        <is>
          <t>not_mentioned</t>
        </is>
      </c>
      <c r="S15" s="45" t="inlineStr"/>
      <c r="T15" s="45" t="inlineStr">
        <is>
          <t>Speaking for candidate Pedro Castillo, Córdova said the party would not expropriate or nationalize mines but would renegotiate contract conditions so the state and local populations get a bigger share of profits.</t>
        </is>
      </c>
      <c r="U15" s="45" t="inlineStr">
        <is>
          <t>Not to expropriate them, not to nationalize or anything, but so that the conditions in some way also favor populations where these industries or mining operations are involved</t>
        </is>
      </c>
      <c r="V15" s="45" t="inlineStr">
        <is>
          <t>Not to expropriate them, not to nationalize or anything, but so that the conditions in some way also favor populations where these industries or mining operations are involved</t>
        </is>
      </c>
      <c r="W15" s="45" t="inlineStr">
        <is>
          <t>en</t>
        </is>
      </c>
      <c r="X15" s="45" t="inlineStr">
        <is>
          <t>Bloomberg via Mining Weekly</t>
        </is>
      </c>
      <c r="Y15" s="45" t="inlineStr">
        <is>
          <t>https://www.miningweekly.com/print-version/peru-candidate-seeks-bigger-cut-from-mining-not-state-control-2021-04-16</t>
        </is>
      </c>
      <c r="Z15" s="45" t="inlineStr">
        <is>
          <t>news_media</t>
        </is>
      </c>
      <c r="AA15" s="45" t="inlineStr">
        <is>
          <t>secondary_reported</t>
        </is>
      </c>
      <c r="AB15" s="45" t="inlineStr">
        <is>
          <t>English translation published by Bloomberg; original Spanish wording not seen</t>
        </is>
      </c>
      <c r="AC15" s="45" t="inlineStr">
        <is>
          <t>PER</t>
        </is>
      </c>
    </row>
    <row r="16" ht="15" customHeight="1" s="24">
      <c r="A16" s="45" t="inlineStr">
        <is>
          <t>PS-0015</t>
        </is>
      </c>
      <c r="B16" s="45" t="inlineStr">
        <is>
          <t>2021-06-15</t>
        </is>
      </c>
      <c r="C16" s="45" t="inlineStr">
        <is>
          <t>2021</t>
        </is>
      </c>
      <c r="D16" s="45" t="inlineStr">
        <is>
          <t>ARG</t>
        </is>
      </c>
      <c r="E16" s="45" t="inlineStr">
        <is>
          <t>Martín de los Ríos</t>
        </is>
      </c>
      <c r="F16" s="45" t="inlineStr">
        <is>
          <t>Minister of Production of Salta (for Gov. Gustavo Sáenz)</t>
        </is>
      </c>
      <c r="G16" s="45" t="inlineStr">
        <is>
          <t>subnational_gov</t>
        </is>
      </c>
      <c r="H16" s="45" t="inlineStr">
        <is>
          <t>LatAm executive</t>
        </is>
      </c>
      <c r="I16" s="45" t="inlineStr">
        <is>
          <t>ARG</t>
        </is>
      </c>
      <c r="J16" s="45" t="inlineStr"/>
      <c r="K16" s="45" t="inlineStr">
        <is>
          <t>interview</t>
        </is>
      </c>
      <c r="L16" s="45" t="inlineStr">
        <is>
          <t>Reaction to national lithium nationalization proposals</t>
        </is>
      </c>
      <c r="M16" s="45" t="inlineStr">
        <is>
          <t>lithium</t>
        </is>
      </c>
      <c r="N16" s="45" t="inlineStr">
        <is>
          <t>253090;282520;283691</t>
        </is>
      </c>
      <c r="O16" s="45" t="inlineStr">
        <is>
          <t>state_control_nationalization;sovereignty;foreign_investment</t>
        </is>
      </c>
      <c r="P16" s="45" t="inlineStr">
        <is>
          <t>none</t>
        </is>
      </c>
      <c r="Q16" s="45" t="inlineStr">
        <is>
          <t>not_mentioned</t>
        </is>
      </c>
      <c r="R16" s="45" t="inlineStr">
        <is>
          <t>not_mentioned</t>
        </is>
      </c>
      <c r="S16" s="45" t="inlineStr"/>
      <c r="T16" s="45" t="inlineStr">
        <is>
          <t>Salta's production minister said the three lithium provinces formed the Mesa del Litio on the basis that lithium is a provincial resource and that nationalization initiatives create instability for investors.</t>
        </is>
      </c>
      <c r="U16" s="45" t="inlineStr"/>
      <c r="V16" s="45" t="inlineStr"/>
      <c r="W16" s="45" t="inlineStr">
        <is>
          <t>es</t>
        </is>
      </c>
      <c r="X16" s="45" t="inlineStr">
        <is>
          <t>Ámbito</t>
        </is>
      </c>
      <c r="Y16" s="45" t="inlineStr">
        <is>
          <t>https://www.ambito.com/ambito-nacional/litio/norte-rechaza-proyecto-nacionalizar-el-n5202043</t>
        </is>
      </c>
      <c r="Z16" s="45" t="inlineStr">
        <is>
          <t>news_media</t>
        </is>
      </c>
      <c r="AA16" s="45" t="inlineStr">
        <is>
          <t>secondary_reported</t>
        </is>
      </c>
      <c r="AB16" s="45" t="inlineStr">
        <is>
          <t>Only translated rendering seen; quote left blank.</t>
        </is>
      </c>
      <c r="AC16" s="45" t="inlineStr">
        <is>
          <t>ARG</t>
        </is>
      </c>
    </row>
    <row r="17" ht="15" customHeight="1" s="24">
      <c r="A17" s="45" t="inlineStr">
        <is>
          <t>PS-0016</t>
        </is>
      </c>
      <c r="B17" s="45" t="inlineStr">
        <is>
          <t>2021-06-15</t>
        </is>
      </c>
      <c r="C17" s="45" t="inlineStr">
        <is>
          <t>2021</t>
        </is>
      </c>
      <c r="D17" s="45" t="inlineStr">
        <is>
          <t>ARG</t>
        </is>
      </c>
      <c r="E17" s="45" t="inlineStr">
        <is>
          <t>Miguel Soler</t>
        </is>
      </c>
      <c r="F17" s="45" t="inlineStr">
        <is>
          <t>Secretary of Mining of Jujuy (Morales government)</t>
        </is>
      </c>
      <c r="G17" s="45" t="inlineStr">
        <is>
          <t>subnational_gov</t>
        </is>
      </c>
      <c r="H17" s="45" t="inlineStr">
        <is>
          <t>LatAm executive</t>
        </is>
      </c>
      <c r="I17" s="45" t="inlineStr">
        <is>
          <t>ARG</t>
        </is>
      </c>
      <c r="J17" s="45" t="inlineStr">
        <is>
          <t>UCR</t>
        </is>
      </c>
      <c r="K17" s="45" t="inlineStr">
        <is>
          <t>interview</t>
        </is>
      </c>
      <c r="L17" s="45" t="inlineStr">
        <is>
          <t>Reaction to national lithium nationalization proposals</t>
        </is>
      </c>
      <c r="M17" s="45" t="inlineStr">
        <is>
          <t>lithium</t>
        </is>
      </c>
      <c r="N17" s="45" t="inlineStr">
        <is>
          <t>253090;282520;283691</t>
        </is>
      </c>
      <c r="O17" s="45" t="inlineStr">
        <is>
          <t>state_control_nationalization;sovereignty</t>
        </is>
      </c>
      <c r="P17" s="45" t="inlineStr">
        <is>
          <t>none</t>
        </is>
      </c>
      <c r="Q17" s="45" t="inlineStr">
        <is>
          <t>not_mentioned</t>
        </is>
      </c>
      <c r="R17" s="45" t="inlineStr">
        <is>
          <t>not_mentioned</t>
        </is>
      </c>
      <c r="S17" s="45" t="inlineStr"/>
      <c r="T17" s="45" t="inlineStr">
        <is>
          <t>Jujuy's mining secretary said proposals to nationalize lithium are unconstitutional because they interfere with provincial ownership of resources, and that Jujuy should make its own decisions.</t>
        </is>
      </c>
      <c r="U17" s="45" t="inlineStr"/>
      <c r="V17" s="45" t="inlineStr"/>
      <c r="W17" s="45" t="inlineStr">
        <is>
          <t>es</t>
        </is>
      </c>
      <c r="X17" s="45" t="inlineStr">
        <is>
          <t>Ámbito</t>
        </is>
      </c>
      <c r="Y17" s="45" t="inlineStr">
        <is>
          <t>https://www.ambito.com/ambito-nacional/litio/norte-rechaza-proyecto-nacionalizar-el-n5202043</t>
        </is>
      </c>
      <c r="Z17" s="45" t="inlineStr">
        <is>
          <t>news_media</t>
        </is>
      </c>
      <c r="AA17" s="45" t="inlineStr">
        <is>
          <t>secondary_reported</t>
        </is>
      </c>
      <c r="AB17" s="45" t="inlineStr">
        <is>
          <t>Only translated rendering seen; quote left blank.</t>
        </is>
      </c>
      <c r="AC17" s="45" t="inlineStr">
        <is>
          <t>ARG</t>
        </is>
      </c>
    </row>
    <row r="18" ht="15" customHeight="1" s="24">
      <c r="A18" s="45" t="inlineStr">
        <is>
          <t>PS-0017</t>
        </is>
      </c>
      <c r="B18" s="45" t="inlineStr">
        <is>
          <t>2021-09-23</t>
        </is>
      </c>
      <c r="C18" s="45" t="inlineStr">
        <is>
          <t>2021</t>
        </is>
      </c>
      <c r="D18" s="45" t="inlineStr">
        <is>
          <t>PER</t>
        </is>
      </c>
      <c r="E18" s="45" t="inlineStr">
        <is>
          <t>Pedro Francke</t>
        </is>
      </c>
      <c r="F18" s="45" t="inlineStr">
        <is>
          <t>Minister of Economy and Finance of Peru</t>
        </is>
      </c>
      <c r="G18" s="45" t="inlineStr">
        <is>
          <t>minister_cabinet</t>
        </is>
      </c>
      <c r="H18" s="45" t="inlineStr">
        <is>
          <t>LatAm executive</t>
        </is>
      </c>
      <c r="I18" s="45" t="inlineStr">
        <is>
          <t>PER</t>
        </is>
      </c>
      <c r="J18" s="45" t="inlineStr"/>
      <c r="K18" s="45" t="inlineStr">
        <is>
          <t>interview</t>
        </is>
      </c>
      <c r="L18" s="45" t="inlineStr">
        <is>
          <t>Proposed tax reform targeting mining windfall profits</t>
        </is>
      </c>
      <c r="M18" s="45" t="inlineStr">
        <is>
          <t>copper;mining_general</t>
        </is>
      </c>
      <c r="N18" s="45" t="inlineStr">
        <is>
          <t>260300;740200;740311</t>
        </is>
      </c>
      <c r="O18" s="45" t="inlineStr">
        <is>
          <t>royalties_taxation</t>
        </is>
      </c>
      <c r="P18" s="45" t="inlineStr">
        <is>
          <t>none</t>
        </is>
      </c>
      <c r="Q18" s="45" t="inlineStr">
        <is>
          <t>not_mentioned</t>
        </is>
      </c>
      <c r="R18" s="45" t="inlineStr">
        <is>
          <t>not_mentioned</t>
        </is>
      </c>
      <c r="S18" s="45" t="inlineStr"/>
      <c r="T18" s="45" t="inlineStr">
        <is>
          <t>Francke argued that with copper above US$4/lb and costs around US$1/lb, the state should capture extraordinary mining profits and redistribute mining wealth through tax reform.</t>
        </is>
      </c>
      <c r="U18" s="45" t="inlineStr">
        <is>
          <t>Hay que redistribuir la riqueza, en particular la riqueza minera</t>
        </is>
      </c>
      <c r="V18" s="45" t="inlineStr">
        <is>
          <t>We must redistribute wealth, particularly mining wealth</t>
        </is>
      </c>
      <c r="W18" s="45" t="inlineStr">
        <is>
          <t>es</t>
        </is>
      </c>
      <c r="X18" s="45" t="inlineStr">
        <is>
          <t>La República</t>
        </is>
      </c>
      <c r="Y18" s="45" t="inlineStr">
        <is>
          <t>https://larepublica.pe/economia/2021/09/23/hay-resistencia-en-el-sector-minero-por-reforma-tributaria-ministerio-de-economia</t>
        </is>
      </c>
      <c r="Z18" s="45" t="inlineStr">
        <is>
          <t>news_media</t>
        </is>
      </c>
      <c r="AA18" s="45" t="inlineStr">
        <is>
          <t>secondary_reported</t>
        </is>
      </c>
      <c r="AB18" s="45" t="inlineStr"/>
      <c r="AC18" s="45" t="inlineStr">
        <is>
          <t>PER</t>
        </is>
      </c>
    </row>
    <row r="19" ht="15" customHeight="1" s="24">
      <c r="A19" s="45" t="inlineStr">
        <is>
          <t>PS-0018</t>
        </is>
      </c>
      <c r="B19" s="45" t="inlineStr">
        <is>
          <t>2021-10-01</t>
        </is>
      </c>
      <c r="C19" s="45" t="inlineStr">
        <is>
          <t>2021</t>
        </is>
      </c>
      <c r="D19" s="45" t="inlineStr">
        <is>
          <t>PER</t>
        </is>
      </c>
      <c r="E19" s="45" t="inlineStr">
        <is>
          <t>Iván Merino</t>
        </is>
      </c>
      <c r="F19" s="45" t="inlineStr">
        <is>
          <t>Minister of Energy and Mines of Peru</t>
        </is>
      </c>
      <c r="G19" s="45" t="inlineStr">
        <is>
          <t>minister_cabinet</t>
        </is>
      </c>
      <c r="H19" s="45" t="inlineStr">
        <is>
          <t>LatAm executive</t>
        </is>
      </c>
      <c r="I19" s="45" t="inlineStr">
        <is>
          <t>PER</t>
        </is>
      </c>
      <c r="J19" s="45" t="inlineStr"/>
      <c r="K19" s="45" t="inlineStr">
        <is>
          <t>interview</t>
        </is>
      </c>
      <c r="L19" s="45" t="inlineStr">
        <is>
          <t>Three-week blockade of Las Bambas road in Chumbivilcas</t>
        </is>
      </c>
      <c r="M19" s="45" t="inlineStr">
        <is>
          <t>copper</t>
        </is>
      </c>
      <c r="N19" s="45" t="inlineStr">
        <is>
          <t>260300;740200;740311</t>
        </is>
      </c>
      <c r="O19" s="45" t="inlineStr">
        <is>
          <t>labor_social_conflict;infrastructure_ports</t>
        </is>
      </c>
      <c r="P19" s="45" t="inlineStr">
        <is>
          <t>none</t>
        </is>
      </c>
      <c r="Q19" s="45" t="inlineStr">
        <is>
          <t>not_mentioned</t>
        </is>
      </c>
      <c r="R19" s="45" t="inlineStr">
        <is>
          <t>not_mentioned</t>
        </is>
      </c>
      <c r="S19" s="45" t="inlineStr">
        <is>
          <t>Las Bambas; MMG</t>
        </is>
      </c>
      <c r="T19" s="45" t="inlineStr">
        <is>
          <t>Merino partly blamed MMG's short-term decision to haul Las Bambas copper concentrate on a dirt road for unrest with communities, and proposed a train line as a longer-term solution.</t>
        </is>
      </c>
      <c r="U19" s="45" t="inlineStr">
        <is>
          <t>They made short-term decisions and that has a cost</t>
        </is>
      </c>
      <c r="V19" s="45" t="inlineStr">
        <is>
          <t>They made short-term decisions and that has a cost</t>
        </is>
      </c>
      <c r="W19" s="45" t="inlineStr">
        <is>
          <t>en</t>
        </is>
      </c>
      <c r="X19" s="45" t="inlineStr">
        <is>
          <t>Reuters via Mining Weekly</t>
        </is>
      </c>
      <c r="Y19" s="45" t="inlineStr">
        <is>
          <t>https://www.miningweekly.com/article/peru-minister-partly-blames-mmg-for-las-bambas-unrest-sees-solution-in-train-line-2021-10-01</t>
        </is>
      </c>
      <c r="Z19" s="45" t="inlineStr">
        <is>
          <t>news_media</t>
        </is>
      </c>
      <c r="AA19" s="45" t="inlineStr">
        <is>
          <t>secondary_reported</t>
        </is>
      </c>
      <c r="AB19" s="45" t="inlineStr">
        <is>
          <t>English wire translation</t>
        </is>
      </c>
      <c r="AC19" s="45" t="inlineStr">
        <is>
          <t>PER</t>
        </is>
      </c>
    </row>
    <row r="20" ht="15" customHeight="1" s="24">
      <c r="A20" s="45" t="inlineStr">
        <is>
          <t>PS-0019</t>
        </is>
      </c>
      <c r="B20" s="45" t="inlineStr">
        <is>
          <t>2021-11</t>
        </is>
      </c>
      <c r="C20" s="45" t="inlineStr">
        <is>
          <t>2021</t>
        </is>
      </c>
      <c r="D20" s="45" t="inlineStr">
        <is>
          <t>PER</t>
        </is>
      </c>
      <c r="E20" s="45" t="inlineStr">
        <is>
          <t>Mirtha Vásquez</t>
        </is>
      </c>
      <c r="F20" s="45" t="inlineStr">
        <is>
          <t>President of the Council of Ministers of Peru</t>
        </is>
      </c>
      <c r="G20" s="45" t="inlineStr">
        <is>
          <t>minister_cabinet</t>
        </is>
      </c>
      <c r="H20" s="45" t="inlineStr">
        <is>
          <t>LatAm executive</t>
        </is>
      </c>
      <c r="I20" s="45" t="inlineStr">
        <is>
          <t>PER</t>
        </is>
      </c>
      <c r="J20" s="45" t="inlineStr"/>
      <c r="K20" s="45" t="inlineStr">
        <is>
          <t>official_statement</t>
        </is>
      </c>
      <c r="L20" s="45" t="inlineStr">
        <is>
          <t>Agreement with Ayacucho communities on mine closures</t>
        </is>
      </c>
      <c r="M20" s="45" t="inlineStr">
        <is>
          <t>mining_general;silver</t>
        </is>
      </c>
      <c r="N20" s="45" t="inlineStr">
        <is>
          <t>261610;710691</t>
        </is>
      </c>
      <c r="O20" s="45" t="inlineStr">
        <is>
          <t>environment_water;indigenous_community_rights;labor_social_conflict</t>
        </is>
      </c>
      <c r="P20" s="45" t="inlineStr">
        <is>
          <t>none</t>
        </is>
      </c>
      <c r="Q20" s="45" t="inlineStr">
        <is>
          <t>not_mentioned</t>
        </is>
      </c>
      <c r="R20" s="45" t="inlineStr">
        <is>
          <t>not_mentioned</t>
        </is>
      </c>
      <c r="S20" s="45" t="inlineStr">
        <is>
          <t>Hochschild; Ares; Apumayo; Sami</t>
        </is>
      </c>
      <c r="T20" s="45" t="inlineStr">
        <is>
          <t>Vásquez signed an agreement with Ayacucho communities confirming the closure of four mining operations and said mining expansions in the province would not be approved, prompting business backlash; a vice minister later said expansion plans could still be submitted.</t>
        </is>
      </c>
      <c r="U20" s="45" t="inlineStr"/>
      <c r="V20" s="45" t="inlineStr"/>
      <c r="W20" s="45" t="inlineStr">
        <is>
          <t>es</t>
        </is>
      </c>
      <c r="X20" s="45" t="inlineStr">
        <is>
          <t>Bloomberg Línea</t>
        </is>
      </c>
      <c r="Y20" s="45" t="inlineStr">
        <is>
          <t>https://www.bloomberglinea.com/2021/11/22/castillo-no-ha-existido-ni-existiran-decisiones-unilaterales-ni-arbitrarias-en-peru/</t>
        </is>
      </c>
      <c r="Z20" s="45" t="inlineStr">
        <is>
          <t>news_media</t>
        </is>
      </c>
      <c r="AA20" s="45" t="inlineStr">
        <is>
          <t>secondary_reported</t>
        </is>
      </c>
      <c r="AB20" s="45" t="inlineStr">
        <is>
          <t>Agreement dated c. 19-20 Nov 2021; silver tag because affected mines (Hochschild) are gold-silver operations</t>
        </is>
      </c>
      <c r="AC20" s="45" t="inlineStr">
        <is>
          <t>PER</t>
        </is>
      </c>
    </row>
    <row r="21" ht="15" customHeight="1" s="24">
      <c r="A21" s="45" t="inlineStr">
        <is>
          <t>PS-0020</t>
        </is>
      </c>
      <c r="B21" s="45" t="inlineStr">
        <is>
          <t>2021-11-20</t>
        </is>
      </c>
      <c r="C21" s="45" t="inlineStr">
        <is>
          <t>2021</t>
        </is>
      </c>
      <c r="D21" s="45" t="inlineStr">
        <is>
          <t>ARG</t>
        </is>
      </c>
      <c r="E21" s="45" t="inlineStr">
        <is>
          <t>Gustavo Sáenz; Gerardo Morales; Raúl Jalil</t>
        </is>
      </c>
      <c r="F21" s="45" t="inlineStr">
        <is>
          <t>Governors of Salta, Jujuy and Catamarca</t>
        </is>
      </c>
      <c r="G21" s="45" t="inlineStr">
        <is>
          <t>subnational_gov</t>
        </is>
      </c>
      <c r="H21" s="45" t="inlineStr">
        <is>
          <t>LatAm executive</t>
        </is>
      </c>
      <c r="I21" s="45" t="inlineStr">
        <is>
          <t>ARG</t>
        </is>
      </c>
      <c r="J21" s="45" t="inlineStr"/>
      <c r="K21" s="45" t="inlineStr">
        <is>
          <t>joint_declaration_or_mou</t>
        </is>
      </c>
      <c r="L21" s="45" t="inlineStr">
        <is>
          <t>Creation of the Región Minera del Litio</t>
        </is>
      </c>
      <c r="M21" s="45" t="inlineStr">
        <is>
          <t>lithium</t>
        </is>
      </c>
      <c r="N21" s="45" t="inlineStr">
        <is>
          <t>253090;282520;283691</t>
        </is>
      </c>
      <c r="O21" s="45" t="inlineStr">
        <is>
          <t>value_added_industrialization;infrastructure_ports;environment_water</t>
        </is>
      </c>
      <c r="P21" s="45" t="inlineStr">
        <is>
          <t>none</t>
        </is>
      </c>
      <c r="Q21" s="45" t="inlineStr">
        <is>
          <t>not_mentioned</t>
        </is>
      </c>
      <c r="R21" s="45" t="inlineStr">
        <is>
          <t>not_mentioned</t>
        </is>
      </c>
      <c r="S21" s="45" t="inlineStr">
        <is>
          <t>YPF; Región Minera del Litio</t>
        </is>
      </c>
      <c r="T21" s="45" t="inlineStr">
        <is>
          <t>The three governors signed a treaty forming the Lithium Mining Region to coordinate infrastructure, production, technical and environmental matters across lithium research, extraction, industrialization and trade.</t>
        </is>
      </c>
      <c r="U21" s="45" t="inlineStr">
        <is>
          <t>determinar las bases para generar condiciones de reciprocidad y coordinar esfuerzos en materia de infraestructura, producción, cuestiones técnicas ambientales</t>
        </is>
      </c>
      <c r="V21" s="45" t="inlineStr">
        <is>
          <t>lay the foundations to create reciprocal conditions and coordinate efforts on infrastructure, production, technical and environmental issues</t>
        </is>
      </c>
      <c r="W21" s="45" t="inlineStr">
        <is>
          <t>es</t>
        </is>
      </c>
      <c r="X21" s="45" t="inlineStr">
        <is>
          <t>Más Energía (LM Neuquén)</t>
        </is>
      </c>
      <c r="Y21" s="45" t="inlineStr">
        <is>
          <t>https://mase.lmneuquen.com/politica/se-conformo-la-region-minera-del-litio-n862429</t>
        </is>
      </c>
      <c r="Z21" s="45" t="inlineStr">
        <is>
          <t>news_media</t>
        </is>
      </c>
      <c r="AA21" s="45" t="inlineStr">
        <is>
          <t>secondary_reported</t>
        </is>
      </c>
      <c r="AB21" s="45" t="inlineStr">
        <is>
          <t>Quote by Sáenz; Mesa del Litio precedent.</t>
        </is>
      </c>
      <c r="AC21" s="45" t="inlineStr">
        <is>
          <t>ARG</t>
        </is>
      </c>
    </row>
    <row r="22" ht="15" customHeight="1" s="24">
      <c r="A22" s="45" t="inlineStr">
        <is>
          <t>PS-0021</t>
        </is>
      </c>
      <c r="B22" s="45" t="inlineStr">
        <is>
          <t>2021-11-22</t>
        </is>
      </c>
      <c r="C22" s="45" t="inlineStr">
        <is>
          <t>2021</t>
        </is>
      </c>
      <c r="D22" s="45" t="inlineStr">
        <is>
          <t>PER</t>
        </is>
      </c>
      <c r="E22" s="45" t="inlineStr">
        <is>
          <t>Pedro Castillo</t>
        </is>
      </c>
      <c r="F22" s="45" t="inlineStr">
        <is>
          <t>President of Peru</t>
        </is>
      </c>
      <c r="G22" s="45" t="inlineStr">
        <is>
          <t>head_of_state</t>
        </is>
      </c>
      <c r="H22" s="45" t="inlineStr">
        <is>
          <t>LatAm executive</t>
        </is>
      </c>
      <c r="I22" s="45" t="inlineStr">
        <is>
          <t>PER</t>
        </is>
      </c>
      <c r="J22" s="45" t="inlineStr">
        <is>
          <t>Perú Libre</t>
        </is>
      </c>
      <c r="K22" s="45" t="inlineStr">
        <is>
          <t>official_statement</t>
        </is>
      </c>
      <c r="L22" s="45" t="inlineStr">
        <is>
          <t>Controversy over PM Vásquez's announced closure of four mines in Ayacucho</t>
        </is>
      </c>
      <c r="M22" s="45" t="inlineStr">
        <is>
          <t>mining_general</t>
        </is>
      </c>
      <c r="N22" s="45" t="inlineStr"/>
      <c r="O22" s="45" t="inlineStr">
        <is>
          <t>foreign_investment;environment_water;indigenous_community_rights</t>
        </is>
      </c>
      <c r="P22" s="45" t="inlineStr">
        <is>
          <t>none</t>
        </is>
      </c>
      <c r="Q22" s="45" t="inlineStr">
        <is>
          <t>not_mentioned</t>
        </is>
      </c>
      <c r="R22" s="45" t="inlineStr">
        <is>
          <t>not_mentioned</t>
        </is>
      </c>
      <c r="S22" s="45" t="inlineStr">
        <is>
          <t>Hochschild; Ares; Apumayo</t>
        </is>
      </c>
      <c r="T22" s="45" t="inlineStr">
        <is>
          <t>Amid market turmoil after the premier agreed with Ayacucho communities to close four mining operations, Castillo said there would be no unilateral or arbitrary decisions and reaffirmed his commitment to guarantee private investment including mining.</t>
        </is>
      </c>
      <c r="U22" s="45" t="inlineStr">
        <is>
          <t>No ha existido ni existirán decisiones unilaterales ni arbitrarias</t>
        </is>
      </c>
      <c r="V22" s="45" t="inlineStr">
        <is>
          <t>There have not been, nor will there be, unilateral or arbitrary decisions</t>
        </is>
      </c>
      <c r="W22" s="45" t="inlineStr">
        <is>
          <t>es</t>
        </is>
      </c>
      <c r="X22" s="45" t="inlineStr">
        <is>
          <t>Bloomberg Línea</t>
        </is>
      </c>
      <c r="Y22" s="45" t="inlineStr">
        <is>
          <t>https://www.bloomberglinea.com/2021/11/22/castillo-no-ha-existido-ni-existiran-decisiones-unilaterales-ni-arbitrarias-en-peru/</t>
        </is>
      </c>
      <c r="Z22" s="45" t="inlineStr">
        <is>
          <t>news_media</t>
        </is>
      </c>
      <c r="AA22" s="45" t="inlineStr">
        <is>
          <t>secondary_reported</t>
        </is>
      </c>
      <c r="AB22" s="45" t="inlineStr"/>
      <c r="AC22" s="45" t="inlineStr">
        <is>
          <t>PER</t>
        </is>
      </c>
    </row>
    <row r="23" ht="15" customHeight="1" s="24">
      <c r="A23" s="45" t="inlineStr">
        <is>
          <t>PS-0022</t>
        </is>
      </c>
      <c r="B23" s="45" t="inlineStr">
        <is>
          <t>2021-12-16</t>
        </is>
      </c>
      <c r="C23" s="45" t="inlineStr">
        <is>
          <t>2021</t>
        </is>
      </c>
      <c r="D23" s="45" t="inlineStr">
        <is>
          <t>PER</t>
        </is>
      </c>
      <c r="E23" s="45" t="inlineStr">
        <is>
          <t>Mirtha Vásquez</t>
        </is>
      </c>
      <c r="F23" s="45" t="inlineStr">
        <is>
          <t>President of the Council of Ministers of Peru</t>
        </is>
      </c>
      <c r="G23" s="45" t="inlineStr">
        <is>
          <t>minister_cabinet</t>
        </is>
      </c>
      <c r="H23" s="45" t="inlineStr">
        <is>
          <t>LatAm executive</t>
        </is>
      </c>
      <c r="I23" s="45" t="inlineStr">
        <is>
          <t>PER</t>
        </is>
      </c>
      <c r="J23" s="45" t="inlineStr"/>
      <c r="K23" s="45" t="inlineStr">
        <is>
          <t>press_conference</t>
        </is>
      </c>
      <c r="L23" s="45" t="inlineStr">
        <is>
          <t>Chumbivilcas blockade halting Las Bambas</t>
        </is>
      </c>
      <c r="M23" s="45" t="inlineStr">
        <is>
          <t>copper</t>
        </is>
      </c>
      <c r="N23" s="45" t="inlineStr">
        <is>
          <t>260300;740200;740311</t>
        </is>
      </c>
      <c r="O23" s="45" t="inlineStr">
        <is>
          <t>labor_social_conflict;corruption_governance</t>
        </is>
      </c>
      <c r="P23" s="45" t="inlineStr">
        <is>
          <t>none</t>
        </is>
      </c>
      <c r="Q23" s="45" t="inlineStr">
        <is>
          <t>not_mentioned</t>
        </is>
      </c>
      <c r="R23" s="45" t="inlineStr">
        <is>
          <t>not_mentioned</t>
        </is>
      </c>
      <c r="S23" s="45" t="inlineStr">
        <is>
          <t>Las Bambas; MMG</t>
        </is>
      </c>
      <c r="T23" s="45" t="inlineStr">
        <is>
          <t>With the Las Bambas road blockade past 20 days, Vásquez said the government was evaluating options including eviction of protesters and, as a last resort, a state of emergency in Chumbivilcas.</t>
        </is>
      </c>
      <c r="U23" s="45" t="inlineStr">
        <is>
          <t>Hay varias opciones que evaluar. No podemos permitir que se estén vulnerando ciertos derechos</t>
        </is>
      </c>
      <c r="V23" s="45" t="inlineStr">
        <is>
          <t>There are several options to evaluate. We cannot allow certain rights to be violated</t>
        </is>
      </c>
      <c r="W23" s="45" t="inlineStr">
        <is>
          <t>es</t>
        </is>
      </c>
      <c r="X23" s="45" t="inlineStr">
        <is>
          <t>ProActivo</t>
        </is>
      </c>
      <c r="Y23" s="45" t="inlineStr">
        <is>
          <t>https://proactivo.com.pe/las-bambas-gobierno-evalua-desalojar-manifestantes-y-en-ultima-instancia-decretar-estado-de-emergencia-en-chumbivilcas/</t>
        </is>
      </c>
      <c r="Z23" s="45" t="inlineStr">
        <is>
          <t>news_media</t>
        </is>
      </c>
      <c r="AA23" s="45" t="inlineStr">
        <is>
          <t>secondary_reported</t>
        </is>
      </c>
      <c r="AB23" s="45" t="inlineStr"/>
      <c r="AC23" s="45" t="inlineStr">
        <is>
          <t>PER</t>
        </is>
      </c>
    </row>
    <row r="24" ht="15" customHeight="1" s="24">
      <c r="A24" s="45" t="inlineStr">
        <is>
          <t>PS-0023</t>
        </is>
      </c>
      <c r="B24" s="45" t="inlineStr">
        <is>
          <t>2021-12-21</t>
        </is>
      </c>
      <c r="C24" s="45" t="inlineStr">
        <is>
          <t>2021</t>
        </is>
      </c>
      <c r="D24" s="45" t="inlineStr">
        <is>
          <t>PER</t>
        </is>
      </c>
      <c r="E24" s="45" t="inlineStr">
        <is>
          <t>Baltazar Lantarón</t>
        </is>
      </c>
      <c r="F24" s="45" t="inlineStr">
        <is>
          <t>Regional Governor of Apurímac</t>
        </is>
      </c>
      <c r="G24" s="45" t="inlineStr">
        <is>
          <t>subnational_gov</t>
        </is>
      </c>
      <c r="H24" s="45" t="inlineStr">
        <is>
          <t>LatAm executive</t>
        </is>
      </c>
      <c r="I24" s="45" t="inlineStr">
        <is>
          <t>PER</t>
        </is>
      </c>
      <c r="J24" s="45" t="inlineStr"/>
      <c r="K24" s="45" t="inlineStr">
        <is>
          <t>official_statement</t>
        </is>
      </c>
      <c r="L24" s="45" t="inlineStr">
        <is>
          <t>Las Bambas shutdown due to corridor blockade</t>
        </is>
      </c>
      <c r="M24" s="45" t="inlineStr">
        <is>
          <t>copper</t>
        </is>
      </c>
      <c r="N24" s="45" t="inlineStr">
        <is>
          <t>260300;740200;740311</t>
        </is>
      </c>
      <c r="O24" s="45" t="inlineStr">
        <is>
          <t>royalties_taxation;labor_social_conflict</t>
        </is>
      </c>
      <c r="P24" s="45" t="inlineStr">
        <is>
          <t>none</t>
        </is>
      </c>
      <c r="Q24" s="45" t="inlineStr">
        <is>
          <t>not_mentioned</t>
        </is>
      </c>
      <c r="R24" s="45" t="inlineStr">
        <is>
          <t>not_mentioned</t>
        </is>
      </c>
      <c r="S24" s="45" t="inlineStr">
        <is>
          <t>Las Bambas; MMG</t>
        </is>
      </c>
      <c r="T24" s="45" t="inlineStr">
        <is>
          <t>Lantarón criticized the Executive's negotiators as pusillanimous over the Las Bambas corridor blockade, warned of lost royalties and mining canon for Apurímac, and requested a 120-day emergency declaration on the southern mining corridor.</t>
        </is>
      </c>
      <c r="U24" s="45" t="inlineStr">
        <is>
          <t>la actitud pusilánime de los negociadores del Ejecutivo están generado nefastas consecuencias económicas</t>
        </is>
      </c>
      <c r="V24" s="45" t="inlineStr">
        <is>
          <t>the pusillanimous attitude of the Executive's negotiators is generating disastrous economic consequences</t>
        </is>
      </c>
      <c r="W24" s="45" t="inlineStr">
        <is>
          <t>es</t>
        </is>
      </c>
      <c r="X24" s="45" t="inlineStr">
        <is>
          <t>ProActivo</t>
        </is>
      </c>
      <c r="Y24" s="45" t="inlineStr">
        <is>
          <t>https://proactivo.com.pe/las-bambas-gobernador-regional-de-apurimac-califica-como-pusilanime-actitud-del-ejecutivo/</t>
        </is>
      </c>
      <c r="Z24" s="45" t="inlineStr">
        <is>
          <t>news_media</t>
        </is>
      </c>
      <c r="AA24" s="45" t="inlineStr">
        <is>
          <t>secondary_reported</t>
        </is>
      </c>
      <c r="AB24" s="45" t="inlineStr"/>
      <c r="AC24" s="45" t="inlineStr">
        <is>
          <t>PER</t>
        </is>
      </c>
    </row>
    <row r="25" ht="15" customHeight="1" s="24">
      <c r="A25" s="45" t="inlineStr">
        <is>
          <t>PS-0024</t>
        </is>
      </c>
      <c r="B25" s="45" t="inlineStr">
        <is>
          <t>2022-01</t>
        </is>
      </c>
      <c r="C25" s="45" t="inlineStr">
        <is>
          <t>2022</t>
        </is>
      </c>
      <c r="D25" s="45" t="inlineStr">
        <is>
          <t>CHL</t>
        </is>
      </c>
      <c r="E25" s="45" t="inlineStr">
        <is>
          <t>Juan Carlos Jobet</t>
        </is>
      </c>
      <c r="F25" s="45" t="inlineStr">
        <is>
          <t>Minister of Mining and Energy</t>
        </is>
      </c>
      <c r="G25" s="45" t="inlineStr">
        <is>
          <t>minister_cabinet</t>
        </is>
      </c>
      <c r="H25" s="45" t="inlineStr">
        <is>
          <t>LatAm executive</t>
        </is>
      </c>
      <c r="I25" s="45" t="inlineStr">
        <is>
          <t>CHL</t>
        </is>
      </c>
      <c r="J25" s="45" t="inlineStr">
        <is>
          <t>Independent (Piñera government)</t>
        </is>
      </c>
      <c r="K25" s="45" t="inlineStr">
        <is>
          <t>interview</t>
        </is>
      </c>
      <c r="L25" s="45" t="inlineStr">
        <is>
          <t>Defence of lithium tender against incoming government's request to postpone</t>
        </is>
      </c>
      <c r="M25" s="45" t="inlineStr">
        <is>
          <t>lithium</t>
        </is>
      </c>
      <c r="N25" s="45" t="inlineStr">
        <is>
          <t>253090;282520;283691</t>
        </is>
      </c>
      <c r="O25" s="45" t="inlineStr">
        <is>
          <t>foreign_investment;state_control_nationalization</t>
        </is>
      </c>
      <c r="P25" s="45" t="inlineStr">
        <is>
          <t>none</t>
        </is>
      </c>
      <c r="Q25" s="45" t="inlineStr">
        <is>
          <t>not_mentioned</t>
        </is>
      </c>
      <c r="R25" s="45" t="inlineStr">
        <is>
          <t>not_mentioned</t>
        </is>
      </c>
      <c r="S25" s="45" t="inlineStr"/>
      <c r="T25" s="45" t="inlineStr">
        <is>
          <t>Jobet argued Chile had failed to raise lithium output while other countries advanced, and said the tender (about 4% of reserves) did not mortgage the next government's agenda.</t>
        </is>
      </c>
      <c r="U25" s="45" t="inlineStr">
        <is>
          <t>hemos sido incapaces de aumentar la producción y, mientras hacemos eso, los otros países avanzan</t>
        </is>
      </c>
      <c r="V25" s="45" t="inlineStr">
        <is>
          <t>we have been unable to increase production and, while we do that, other countries advance</t>
        </is>
      </c>
      <c r="W25" s="45" t="inlineStr">
        <is>
          <t>es</t>
        </is>
      </c>
      <c r="X25" s="45" t="inlineStr">
        <is>
          <t>CNN Chile</t>
        </is>
      </c>
      <c r="Y25" s="45" t="inlineStr">
        <is>
          <t>https://www.cnnchile.com/sin-categoria/ministro-jobet-licitacion-litio-no-pone-riesgo-agenda-proximo-gobierno/</t>
        </is>
      </c>
      <c r="Z25" s="45" t="inlineStr">
        <is>
          <t>news_media</t>
        </is>
      </c>
      <c r="AA25" s="45" t="inlineStr">
        <is>
          <t>secondary_reported</t>
        </is>
      </c>
      <c r="AB25" s="45" t="inlineStr">
        <is>
          <t>Exact day not given; January 2022</t>
        </is>
      </c>
      <c r="AC25" s="45" t="inlineStr">
        <is>
          <t>CHL</t>
        </is>
      </c>
    </row>
    <row r="26" ht="15" customHeight="1" s="24">
      <c r="A26" s="45" t="inlineStr">
        <is>
          <t>PS-0025</t>
        </is>
      </c>
      <c r="B26" s="45" t="inlineStr">
        <is>
          <t>2022-01-06</t>
        </is>
      </c>
      <c r="C26" s="45" t="inlineStr">
        <is>
          <t>2022</t>
        </is>
      </c>
      <c r="D26" s="45" t="inlineStr">
        <is>
          <t>CHL</t>
        </is>
      </c>
      <c r="E26" s="45" t="inlineStr">
        <is>
          <t>Ricardo Díaz</t>
        </is>
      </c>
      <c r="F26" s="45" t="inlineStr">
        <is>
          <t>Governor of Antofagasta Region</t>
        </is>
      </c>
      <c r="G26" s="45" t="inlineStr">
        <is>
          <t>subnational_gov</t>
        </is>
      </c>
      <c r="H26" s="45" t="inlineStr">
        <is>
          <t>LatAm executive</t>
        </is>
      </c>
      <c r="I26" s="45" t="inlineStr">
        <is>
          <t>CHL</t>
        </is>
      </c>
      <c r="J26" s="45" t="inlineStr">
        <is>
          <t>Independent</t>
        </is>
      </c>
      <c r="K26" s="45" t="inlineStr">
        <is>
          <t>official_statement</t>
        </is>
      </c>
      <c r="L26" s="45" t="inlineStr">
        <is>
          <t>Complaint to Comptroller over lithium tender</t>
        </is>
      </c>
      <c r="M26" s="45" t="inlineStr">
        <is>
          <t>lithium</t>
        </is>
      </c>
      <c r="N26" s="45" t="inlineStr">
        <is>
          <t>253090;282520;283691</t>
        </is>
      </c>
      <c r="O26" s="45" t="inlineStr">
        <is>
          <t>indigenous_community_rights;sovereignty;corruption_governance</t>
        </is>
      </c>
      <c r="P26" s="45" t="inlineStr">
        <is>
          <t>none</t>
        </is>
      </c>
      <c r="Q26" s="45" t="inlineStr">
        <is>
          <t>not_mentioned</t>
        </is>
      </c>
      <c r="R26" s="45" t="inlineStr">
        <is>
          <t>not_mentioned</t>
        </is>
      </c>
      <c r="S26" s="45" t="inlineStr">
        <is>
          <t>Salar de Atacama</t>
        </is>
      </c>
      <c r="T26" s="45" t="inlineStr">
        <is>
          <t>Antofagasta governor said his government filed a complaint with the Comptroller over the Piñera administration's lithium tender, arguing regional and indigenous Atacameño voices were not consulted.</t>
        </is>
      </c>
      <c r="U26" s="45" t="inlineStr">
        <is>
          <t>No se puede hacer un proceso de consulta, en donde se hipoteca el futuro de nuestra región, sin considerar la voz de los que habitamos este territorio.</t>
        </is>
      </c>
      <c r="V26" s="45" t="inlineStr">
        <is>
          <t>You cannot carry out a consultation process that mortgages the future of our region without considering the voice of those of us who live in this territory.</t>
        </is>
      </c>
      <c r="W26" s="45" t="inlineStr">
        <is>
          <t>es</t>
        </is>
      </c>
      <c r="X26" s="45" t="inlineStr">
        <is>
          <t>T13</t>
        </is>
      </c>
      <c r="Y26" s="45" t="inlineStr">
        <is>
          <t>https://www.t13.cl/noticia/nacional/gobernador-antofagasta-oficia-contraloria-proceso-licitacion-del-litio-06-01-2022</t>
        </is>
      </c>
      <c r="Z26" s="45" t="inlineStr">
        <is>
          <t>news_media</t>
        </is>
      </c>
      <c r="AA26" s="45" t="inlineStr">
        <is>
          <t>secondary_reported</t>
        </is>
      </c>
      <c r="AB26" s="45" t="inlineStr"/>
      <c r="AC26" s="45" t="inlineStr">
        <is>
          <t>CHL</t>
        </is>
      </c>
    </row>
    <row r="27" ht="15" customHeight="1" s="24">
      <c r="A27" s="45" t="inlineStr">
        <is>
          <t>PS-0026</t>
        </is>
      </c>
      <c r="B27" s="45" t="inlineStr">
        <is>
          <t>2022-01-07</t>
        </is>
      </c>
      <c r="C27" s="45" t="inlineStr">
        <is>
          <t>2022</t>
        </is>
      </c>
      <c r="D27" s="45" t="inlineStr">
        <is>
          <t>CHL</t>
        </is>
      </c>
      <c r="E27" s="45" t="inlineStr">
        <is>
          <t>Sebastián Piñera</t>
        </is>
      </c>
      <c r="F27" s="45" t="inlineStr">
        <is>
          <t>President of Chile</t>
        </is>
      </c>
      <c r="G27" s="45" t="inlineStr">
        <is>
          <t>head_of_state</t>
        </is>
      </c>
      <c r="H27" s="45" t="inlineStr">
        <is>
          <t>LatAm executive</t>
        </is>
      </c>
      <c r="I27" s="45" t="inlineStr">
        <is>
          <t>CHL</t>
        </is>
      </c>
      <c r="J27" s="45" t="inlineStr">
        <is>
          <t>Renovación Nacional</t>
        </is>
      </c>
      <c r="K27" s="45" t="inlineStr">
        <is>
          <t>press_conference</t>
        </is>
      </c>
      <c r="L27" s="45" t="inlineStr">
        <is>
          <t>Visit to O'Higgins Region; defence of lithium tender</t>
        </is>
      </c>
      <c r="M27" s="45" t="inlineStr">
        <is>
          <t>lithium</t>
        </is>
      </c>
      <c r="N27" s="45" t="inlineStr">
        <is>
          <t>253090;282520;283691</t>
        </is>
      </c>
      <c r="O27" s="45" t="inlineStr">
        <is>
          <t>foreign_investment;state_control_nationalization;corruption_governance</t>
        </is>
      </c>
      <c r="P27" s="45" t="inlineStr">
        <is>
          <t>AUS</t>
        </is>
      </c>
      <c r="Q27" s="45" t="inlineStr">
        <is>
          <t>not_mentioned</t>
        </is>
      </c>
      <c r="R27" s="45" t="inlineStr">
        <is>
          <t>not_mentioned</t>
        </is>
      </c>
      <c r="S27" s="45" t="inlineStr"/>
      <c r="T27" s="45" t="inlineStr">
        <is>
          <t>Piñera defended the international lithium tender for about 4.4% of known reserves as transparent and Comptroller-approved, noting Chile had lost lithium leadership to Australia and saying a national lithium company, as proposed by Boric, could be done.</t>
        </is>
      </c>
      <c r="U27" s="45" t="inlineStr">
        <is>
          <t>El litio es hoy día un mineral esencial para la sociedad que viene</t>
        </is>
      </c>
      <c r="V27" s="45" t="inlineStr">
        <is>
          <t>Lithium is today an essential mineral for the society to come</t>
        </is>
      </c>
      <c r="W27" s="45" t="inlineStr">
        <is>
          <t>es</t>
        </is>
      </c>
      <c r="X27" s="45" t="inlineStr">
        <is>
          <t>El Dínamo</t>
        </is>
      </c>
      <c r="Y27" s="45" t="inlineStr">
        <is>
          <t>https://www.eldinamo.cl/politica/2022/01/07/pinera-defiende-licitacion-del-litio-y-asegura-que-es-transparente/</t>
        </is>
      </c>
      <c r="Z27" s="45" t="inlineStr">
        <is>
          <t>news_media</t>
        </is>
      </c>
      <c r="AA27" s="45" t="inlineStr">
        <is>
          <t>secondary_reported</t>
        </is>
      </c>
      <c r="AB27" s="45" t="inlineStr"/>
      <c r="AC27" s="45" t="inlineStr">
        <is>
          <t>CHL</t>
        </is>
      </c>
    </row>
    <row r="28" ht="15" customHeight="1" s="24">
      <c r="A28" s="45" t="inlineStr">
        <is>
          <t>PS-0027</t>
        </is>
      </c>
      <c r="B28" s="45" t="inlineStr">
        <is>
          <t>2022-01-10</t>
        </is>
      </c>
      <c r="C28" s="45" t="inlineStr">
        <is>
          <t>2022</t>
        </is>
      </c>
      <c r="D28" s="45" t="inlineStr">
        <is>
          <t>CHL</t>
        </is>
      </c>
      <c r="E28" s="45" t="inlineStr">
        <is>
          <t>Rodrigo Cerda</t>
        </is>
      </c>
      <c r="F28" s="45" t="inlineStr">
        <is>
          <t>Minister of Finance</t>
        </is>
      </c>
      <c r="G28" s="45" t="inlineStr">
        <is>
          <t>minister_cabinet</t>
        </is>
      </c>
      <c r="H28" s="45" t="inlineStr">
        <is>
          <t>LatAm executive</t>
        </is>
      </c>
      <c r="I28" s="45" t="inlineStr">
        <is>
          <t>CHL</t>
        </is>
      </c>
      <c r="J28" s="45" t="inlineStr">
        <is>
          <t>Independent (Piñera government)</t>
        </is>
      </c>
      <c r="K28" s="45" t="inlineStr">
        <is>
          <t>interview</t>
        </is>
      </c>
      <c r="L28" s="45" t="inlineStr">
        <is>
          <t>Canal 13 interview on lithium tender</t>
        </is>
      </c>
      <c r="M28" s="45" t="inlineStr">
        <is>
          <t>lithium</t>
        </is>
      </c>
      <c r="N28" s="45" t="inlineStr">
        <is>
          <t>253090;282520;283691</t>
        </is>
      </c>
      <c r="O28" s="45" t="inlineStr">
        <is>
          <t>royalties_taxation;state_control_nationalization</t>
        </is>
      </c>
      <c r="P28" s="45" t="inlineStr">
        <is>
          <t>none</t>
        </is>
      </c>
      <c r="Q28" s="45" t="inlineStr">
        <is>
          <t>not_mentioned</t>
        </is>
      </c>
      <c r="R28" s="45" t="inlineStr">
        <is>
          <t>not_mentioned</t>
        </is>
      </c>
      <c r="S28" s="45" t="inlineStr"/>
      <c r="T28" s="45" t="inlineStr">
        <is>
          <t>Finance minister said the lithium tender was not a lock-in ("amarre"), that lithium would remain Chilean and taxed, and that the government was listening to the president-elect's request to postpone it.</t>
        </is>
      </c>
      <c r="U28" s="45" t="inlineStr">
        <is>
          <t>El litio va a seguir siendo de los chilenos</t>
        </is>
      </c>
      <c r="V28" s="45" t="inlineStr">
        <is>
          <t>Lithium will continue to belong to Chileans</t>
        </is>
      </c>
      <c r="W28" s="45" t="inlineStr">
        <is>
          <t>es</t>
        </is>
      </c>
      <c r="X28" s="45" t="inlineStr">
        <is>
          <t>CNN Chile</t>
        </is>
      </c>
      <c r="Y28" s="45" t="inlineStr">
        <is>
          <t>https://www.cnnchile.com/pais/ministro-cerda-licitacion-litio-seguir-siendo-chilenos-cobrando-impuestos_20220110/</t>
        </is>
      </c>
      <c r="Z28" s="45" t="inlineStr">
        <is>
          <t>news_media</t>
        </is>
      </c>
      <c r="AA28" s="45" t="inlineStr">
        <is>
          <t>secondary_reported</t>
        </is>
      </c>
      <c r="AB28" s="45" t="inlineStr"/>
      <c r="AC28" s="45" t="inlineStr">
        <is>
          <t>CHL</t>
        </is>
      </c>
    </row>
    <row r="29" ht="15" customHeight="1" s="24">
      <c r="A29" s="45" t="inlineStr">
        <is>
          <t>PS-0028</t>
        </is>
      </c>
      <c r="B29" s="45" t="inlineStr">
        <is>
          <t>2022-01-12</t>
        </is>
      </c>
      <c r="C29" s="45" t="inlineStr">
        <is>
          <t>2022</t>
        </is>
      </c>
      <c r="D29" s="45" t="inlineStr">
        <is>
          <t>CHL</t>
        </is>
      </c>
      <c r="E29" s="45" t="inlineStr">
        <is>
          <t>Esteban Velásquez</t>
        </is>
      </c>
      <c r="F29" s="45" t="inlineStr">
        <is>
          <t>Deputy; President of Chamber Mining Commission</t>
        </is>
      </c>
      <c r="G29" s="45" t="inlineStr">
        <is>
          <t>legislator</t>
        </is>
      </c>
      <c r="H29" s="45" t="inlineStr">
        <is>
          <t>LatAm legislature</t>
        </is>
      </c>
      <c r="I29" s="45" t="inlineStr">
        <is>
          <t>CHL</t>
        </is>
      </c>
      <c r="J29" s="45" t="inlineStr">
        <is>
          <t>FRVS</t>
        </is>
      </c>
      <c r="K29" s="45" t="inlineStr">
        <is>
          <t>legislative_debate</t>
        </is>
      </c>
      <c r="L29" s="45" t="inlineStr">
        <is>
          <t>Chamber Mining Commission session on lithium tender</t>
        </is>
      </c>
      <c r="M29" s="45" t="inlineStr">
        <is>
          <t>lithium</t>
        </is>
      </c>
      <c r="N29" s="45" t="inlineStr">
        <is>
          <t>253090;282520;283691</t>
        </is>
      </c>
      <c r="O29" s="45" t="inlineStr">
        <is>
          <t>corruption_governance;state_control_nationalization</t>
        </is>
      </c>
      <c r="P29" s="45" t="inlineStr">
        <is>
          <t>none</t>
        </is>
      </c>
      <c r="Q29" s="45" t="inlineStr">
        <is>
          <t>not_mentioned</t>
        </is>
      </c>
      <c r="R29" s="45" t="inlineStr">
        <is>
          <t>not_mentioned</t>
        </is>
      </c>
      <c r="S29" s="45" t="inlineStr">
        <is>
          <t>BYD Chile SpA</t>
        </is>
      </c>
      <c r="T29" s="45" t="inlineStr">
        <is>
          <t>Mining Commission chair criticised the Piñera government for ignoring calls to halt the lithium tender; opposition deputies announced judicial and administrative actions to annul it.</t>
        </is>
      </c>
      <c r="U29" s="45" t="inlineStr">
        <is>
          <t>El Gobierno del Presidente Piñera no escuchó ningún llamado</t>
        </is>
      </c>
      <c r="V29" s="45" t="inlineStr">
        <is>
          <t>President Piñera's government did not listen to any call</t>
        </is>
      </c>
      <c r="W29" s="45" t="inlineStr">
        <is>
          <t>es</t>
        </is>
      </c>
      <c r="X29" s="45" t="inlineStr">
        <is>
          <t>El Mostrador</t>
        </is>
      </c>
      <c r="Y29" s="45" t="inlineStr">
        <is>
          <t>https://www.elmostrador.cl/noticias/pais/2022/01/12/boric-califica-licitacion-del-litio-como-una-mala-noticia-que-recuerda-a-las-leyes-de-amarre-y-oposicion-buscara-anular-proceso-por-via-judicial-administrativa-y-legislativa/</t>
        </is>
      </c>
      <c r="Z29" s="45" t="inlineStr">
        <is>
          <t>news_media</t>
        </is>
      </c>
      <c r="AA29" s="45" t="inlineStr">
        <is>
          <t>secondary_reported</t>
        </is>
      </c>
      <c r="AB29" s="45" t="inlineStr"/>
      <c r="AC29" s="45" t="inlineStr">
        <is>
          <t>CHL</t>
        </is>
      </c>
    </row>
    <row r="30" ht="15" customHeight="1" s="24">
      <c r="A30" s="45" t="inlineStr">
        <is>
          <t>PS-0029</t>
        </is>
      </c>
      <c r="B30" s="45" t="inlineStr">
        <is>
          <t>2022-01-12</t>
        </is>
      </c>
      <c r="C30" s="45" t="inlineStr">
        <is>
          <t>2022</t>
        </is>
      </c>
      <c r="D30" s="45" t="inlineStr">
        <is>
          <t>CHL</t>
        </is>
      </c>
      <c r="E30" s="45" t="inlineStr">
        <is>
          <t>Gabriel Boric</t>
        </is>
      </c>
      <c r="F30" s="45" t="inlineStr">
        <is>
          <t>President-elect of Chile</t>
        </is>
      </c>
      <c r="G30" s="45" t="inlineStr">
        <is>
          <t>political_party_candidate</t>
        </is>
      </c>
      <c r="H30" s="45" t="inlineStr">
        <is>
          <t>LatAm party/candidate</t>
        </is>
      </c>
      <c r="I30" s="45" t="inlineStr">
        <is>
          <t>CHL</t>
        </is>
      </c>
      <c r="J30" s="45" t="inlineStr">
        <is>
          <t>Convergencia Social / Apruebo Dignidad</t>
        </is>
      </c>
      <c r="K30" s="45" t="inlineStr">
        <is>
          <t>press_conference</t>
        </is>
      </c>
      <c r="L30" s="45" t="inlineStr">
        <is>
          <t>Reaction to award of lithium tender to BYD and Servicios y Operaciones Mineras del Norte</t>
        </is>
      </c>
      <c r="M30" s="45" t="inlineStr">
        <is>
          <t>lithium</t>
        </is>
      </c>
      <c r="N30" s="45" t="inlineStr">
        <is>
          <t>253090;282520;283691</t>
        </is>
      </c>
      <c r="O30" s="45" t="inlineStr">
        <is>
          <t>state_control_nationalization;corruption_governance</t>
        </is>
      </c>
      <c r="P30" s="45" t="inlineStr">
        <is>
          <t>none</t>
        </is>
      </c>
      <c r="Q30" s="45" t="inlineStr">
        <is>
          <t>not_mentioned</t>
        </is>
      </c>
      <c r="R30" s="45" t="inlineStr">
        <is>
          <t>not_mentioned</t>
        </is>
      </c>
      <c r="S30" s="45" t="inlineStr">
        <is>
          <t>BYD Chile SpA; Servicios y Operaciones Mineras del Norte (SQM-linked)</t>
        </is>
      </c>
      <c r="T30" s="45" t="inlineStr">
        <is>
          <t>President-elect Boric called the outgoing government's lithium tender award bad news reminiscent of the "leyes de amarre" and said his team would review its details.</t>
        </is>
      </c>
      <c r="U30" s="45" t="inlineStr">
        <is>
          <t>es una mala noticia y me recuerda a esas leyes de amarre</t>
        </is>
      </c>
      <c r="V30" s="45" t="inlineStr">
        <is>
          <t>it is bad news and reminds me of those lock-in laws</t>
        </is>
      </c>
      <c r="W30" s="45" t="inlineStr">
        <is>
          <t>es</t>
        </is>
      </c>
      <c r="X30" s="45" t="inlineStr">
        <is>
          <t>El Mostrador</t>
        </is>
      </c>
      <c r="Y30" s="45" t="inlineStr">
        <is>
          <t>https://www.elmostrador.cl/noticias/pais/2022/01/12/boric-califica-licitacion-del-litio-como-una-mala-noticia-que-recuerda-a-las-leyes-de-amarre-y-oposicion-buscara-anular-proceso-por-via-judicial-administrativa-y-legislativa/</t>
        </is>
      </c>
      <c r="Z30" s="45" t="inlineStr">
        <is>
          <t>news_media</t>
        </is>
      </c>
      <c r="AA30" s="45" t="inlineStr">
        <is>
          <t>secondary_reported</t>
        </is>
      </c>
      <c r="AB30" s="45" t="inlineStr">
        <is>
          <t>speaker_type coded as candidate because president-elect, not yet in office</t>
        </is>
      </c>
      <c r="AC30" s="45" t="inlineStr">
        <is>
          <t>CHL</t>
        </is>
      </c>
    </row>
    <row r="31" ht="15" customHeight="1" s="24">
      <c r="A31" s="45" t="inlineStr">
        <is>
          <t>PS-0030</t>
        </is>
      </c>
      <c r="B31" s="45" t="inlineStr">
        <is>
          <t>2022-02-02</t>
        </is>
      </c>
      <c r="C31" s="45" t="inlineStr">
        <is>
          <t>2022</t>
        </is>
      </c>
      <c r="D31" s="45" t="inlineStr">
        <is>
          <t>MEX</t>
        </is>
      </c>
      <c r="E31" s="45" t="inlineStr">
        <is>
          <t>Andrés Manuel López Obrador</t>
        </is>
      </c>
      <c r="F31" s="45" t="inlineStr">
        <is>
          <t>President of Mexico</t>
        </is>
      </c>
      <c r="G31" s="45" t="inlineStr">
        <is>
          <t>head_of_state</t>
        </is>
      </c>
      <c r="H31" s="45" t="inlineStr">
        <is>
          <t>LatAm executive</t>
        </is>
      </c>
      <c r="I31" s="45" t="inlineStr">
        <is>
          <t>MEX</t>
        </is>
      </c>
      <c r="J31" s="45" t="inlineStr">
        <is>
          <t>Morena</t>
        </is>
      </c>
      <c r="K31" s="45" t="inlineStr">
        <is>
          <t>press_conference</t>
        </is>
      </c>
      <c r="L31" s="45" t="inlineStr">
        <is>
          <t>Mañanera; announcement of state lithium company</t>
        </is>
      </c>
      <c r="M31" s="45" t="inlineStr">
        <is>
          <t>lithium</t>
        </is>
      </c>
      <c r="N31" s="45" t="inlineStr">
        <is>
          <t>253090;282520;283691</t>
        </is>
      </c>
      <c r="O31" s="45" t="inlineStr">
        <is>
          <t>state_control_nationalization;sovereignty;geopolitics_security;foreign_investment</t>
        </is>
      </c>
      <c r="P31" s="45" t="inlineStr">
        <is>
          <t>RUS;CHN;USA</t>
        </is>
      </c>
      <c r="Q31" s="45" t="inlineStr">
        <is>
          <t>neutral</t>
        </is>
      </c>
      <c r="R31" s="45" t="inlineStr">
        <is>
          <t>neutral</t>
        </is>
      </c>
      <c r="S31" s="45" t="inlineStr"/>
      <c r="T31" s="45" t="inlineStr">
        <is>
          <t>AMLO said existing mining concessions did not cover lithium, which he called a strategic mineral belonging to the nation, and that the state would exploit it; he said Mexico did not want to be a territory of conflict between Russia, China or the US.</t>
        </is>
      </c>
      <c r="U31" s="45" t="inlineStr">
        <is>
          <t>el litio lo va a explotar la nación. El litio ya, para que se entienda bien, no es ni siquiera del Gobierno o del Estado, el litio es del pueblo</t>
        </is>
      </c>
      <c r="V31" s="45" t="inlineStr">
        <is>
          <t>lithium will be exploited by the nation. Lithium, to be clear, does not even belong to the government or the state, lithium belongs to the people</t>
        </is>
      </c>
      <c r="W31" s="45" t="inlineStr">
        <is>
          <t>es</t>
        </is>
      </c>
      <c r="X31" s="45" t="inlineStr">
        <is>
          <t>Emol (EFE)</t>
        </is>
      </c>
      <c r="Y31" s="45" t="inlineStr">
        <is>
          <t>https://www.emol.com/noticias/Economia/2022/02/02/1045744/amlo-prohibe-extranjeros-explotar-litio.html</t>
        </is>
      </c>
      <c r="Z31" s="45" t="inlineStr">
        <is>
          <t>news_media</t>
        </is>
      </c>
      <c r="AA31" s="45" t="inlineStr">
        <is>
          <t>secondary_reported</t>
        </is>
      </c>
      <c r="AB31" s="45" t="inlineStr"/>
      <c r="AC31" s="45" t="inlineStr">
        <is>
          <t>MEX</t>
        </is>
      </c>
    </row>
    <row r="32" ht="15" customHeight="1" s="24">
      <c r="A32" s="45" t="inlineStr">
        <is>
          <t>PS-0031</t>
        </is>
      </c>
      <c r="B32" s="45" t="inlineStr">
        <is>
          <t>2022-02-06</t>
        </is>
      </c>
      <c r="C32" s="45" t="inlineStr">
        <is>
          <t>2022</t>
        </is>
      </c>
      <c r="D32" s="45" t="inlineStr">
        <is>
          <t>ARG</t>
        </is>
      </c>
      <c r="E32" s="45" t="inlineStr">
        <is>
          <t>Xi Jinping; Alberto Fernández</t>
        </is>
      </c>
      <c r="F32" s="45" t="inlineStr">
        <is>
          <t>President of China; President of Argentina</t>
        </is>
      </c>
      <c r="G32" s="45" t="inlineStr">
        <is>
          <t>china_central_gov</t>
        </is>
      </c>
      <c r="H32" s="45" t="inlineStr">
        <is>
          <t>China</t>
        </is>
      </c>
      <c r="I32" s="45" t="inlineStr">
        <is>
          <t>CHN</t>
        </is>
      </c>
      <c r="J32" s="45" t="inlineStr">
        <is>
          <t>CCP</t>
        </is>
      </c>
      <c r="K32" s="45" t="inlineStr">
        <is>
          <t>joint_declaration_or_mou</t>
        </is>
      </c>
      <c r="L32" s="45" t="inlineStr">
        <is>
          <t>Fernández state visit to Beijing; Argentina joins Belt and Road</t>
        </is>
      </c>
      <c r="M32" s="45" t="inlineStr">
        <is>
          <t>mining_general</t>
        </is>
      </c>
      <c r="N32" s="45" t="inlineStr"/>
      <c r="O32" s="45" t="inlineStr">
        <is>
          <t>diplomatic_relations;foreign_investment;infrastructure_ports</t>
        </is>
      </c>
      <c r="P32" s="45" t="inlineStr">
        <is>
          <t>ARG</t>
        </is>
      </c>
      <c r="Q32" s="45" t="inlineStr">
        <is>
          <t>positive</t>
        </is>
      </c>
      <c r="R32" s="45" t="inlineStr">
        <is>
          <t>not_mentioned</t>
        </is>
      </c>
      <c r="S32" s="45" t="inlineStr"/>
      <c r="T32" s="45" t="inlineStr">
        <is>
          <t>Chinese readout of the Xi-Fernández meeting says the sides will deepen cooperation in trade, agriculture, energy, mining, infrastructure, investment and finance, with China helping expand Argentina's exports.</t>
        </is>
      </c>
      <c r="U32" s="45" t="inlineStr">
        <is>
          <t>la cooperación en áreas de comercio, agricultura, energía, minería, infraestructura, inversión, financiación y lucha antiepidémica</t>
        </is>
      </c>
      <c r="V32" s="45" t="inlineStr">
        <is>
          <t>cooperation in the areas of trade, agriculture, energy, mining, infrastructure, investment, financing and the fight against the epidemic</t>
        </is>
      </c>
      <c r="W32" s="45" t="inlineStr">
        <is>
          <t>es</t>
        </is>
      </c>
      <c r="X32" s="45" t="inlineStr">
        <is>
          <t>Ministry of Foreign Affairs of the PRC (Spanish)</t>
        </is>
      </c>
      <c r="Y32" s="45" t="inlineStr">
        <is>
          <t>https://www.mfa.gov.cn/esp/gjhdq/ldmz/3453/3455/202202/t20220206_10639512.html</t>
        </is>
      </c>
      <c r="Z32" s="45" t="inlineStr">
        <is>
          <t>primary_official</t>
        </is>
      </c>
      <c r="AA32" s="45" t="inlineStr">
        <is>
          <t>primary_verified</t>
        </is>
      </c>
      <c r="AB32" s="45" t="inlineStr">
        <is>
          <t>Mining only listed among sectors.</t>
        </is>
      </c>
      <c r="AC32" s="45" t="inlineStr">
        <is>
          <t>ARG</t>
        </is>
      </c>
    </row>
    <row r="33" ht="15" customHeight="1" s="24">
      <c r="A33" s="45" t="inlineStr">
        <is>
          <t>PS-0032</t>
        </is>
      </c>
      <c r="B33" s="45" t="inlineStr">
        <is>
          <t>2022-03-31</t>
        </is>
      </c>
      <c r="C33" s="45" t="inlineStr">
        <is>
          <t>2022</t>
        </is>
      </c>
      <c r="D33" s="45" t="inlineStr">
        <is>
          <t>REG</t>
        </is>
      </c>
      <c r="E33" s="45" t="inlineStr">
        <is>
          <t>Marco Rubio</t>
        </is>
      </c>
      <c r="F33" s="45" t="inlineStr">
        <is>
          <t>U.S. Senator (R-FL), Ranking Member, SFRC Subcommittee on the Western Hemisphere</t>
        </is>
      </c>
      <c r="G33" s="45" t="inlineStr">
        <is>
          <t>us_congress</t>
        </is>
      </c>
      <c r="H33" s="45" t="inlineStr">
        <is>
          <t>United States</t>
        </is>
      </c>
      <c r="I33" s="45" t="inlineStr">
        <is>
          <t>USA</t>
        </is>
      </c>
      <c r="J33" s="45" t="inlineStr">
        <is>
          <t>Republican</t>
        </is>
      </c>
      <c r="K33" s="45" t="inlineStr">
        <is>
          <t>legislative_debate</t>
        </is>
      </c>
      <c r="L33" s="45" t="inlineStr">
        <is>
          <t>SFRC Western Hemisphere subcommittee hearing 'China's Role in Latin America and the Caribbean'</t>
        </is>
      </c>
      <c r="M33" s="45" t="inlineStr">
        <is>
          <t>mining_general</t>
        </is>
      </c>
      <c r="N33" s="45" t="inlineStr"/>
      <c r="O33" s="45" t="inlineStr">
        <is>
          <t>geopolitics_security;value_added_industrialization</t>
        </is>
      </c>
      <c r="P33" s="45" t="inlineStr">
        <is>
          <t>CHN</t>
        </is>
      </c>
      <c r="Q33" s="45" t="inlineStr">
        <is>
          <t>negative</t>
        </is>
      </c>
      <c r="R33" s="45" t="inlineStr">
        <is>
          <t>positive</t>
        </is>
      </c>
      <c r="S33" s="45" t="inlineStr"/>
      <c r="T33" s="45" t="inlineStr">
        <is>
          <t>Rubio said the Chinese Communist Party pushes Latin American countries to stay dependent on mining and natural-resource exports rather than helping them develop and industrialize.</t>
        </is>
      </c>
      <c r="U33" s="45" t="inlineStr">
        <is>
          <t>the Chinese Communist Party is pushing countries to remain dependent on mining and other—and the export of other natural resources</t>
        </is>
      </c>
      <c r="V33" s="45" t="inlineStr">
        <is>
          <t>the Chinese Communist Party is pushing countries to remain dependent on mining and other—and the export of other natural resources</t>
        </is>
      </c>
      <c r="W33" s="45" t="inlineStr">
        <is>
          <t>en</t>
        </is>
      </c>
      <c r="X33" s="45" t="inlineStr">
        <is>
          <t>U.S. Senate Foreign Relations Committee (hearing transcript)</t>
        </is>
      </c>
      <c r="Y33" s="45" t="inlineStr">
        <is>
          <t>https://www.foreign.senate.gov/download/transcript03312201</t>
        </is>
      </c>
      <c r="Z33" s="45" t="inlineStr">
        <is>
          <t>legislative_record</t>
        </is>
      </c>
      <c r="AA33" s="45" t="inlineStr">
        <is>
          <t>primary_verified</t>
        </is>
      </c>
      <c r="AB33" s="45" t="inlineStr">
        <is>
          <t>Ranking-member role inferred, not confirmed on page.</t>
        </is>
      </c>
      <c r="AC33" s="45" t="inlineStr">
        <is>
          <t>USA_gov</t>
        </is>
      </c>
    </row>
    <row r="34" ht="15" customHeight="1" s="24">
      <c r="A34" s="45" t="inlineStr">
        <is>
          <t>PS-0033</t>
        </is>
      </c>
      <c r="B34" s="45" t="inlineStr">
        <is>
          <t>2022-03-31</t>
        </is>
      </c>
      <c r="C34" s="45" t="inlineStr">
        <is>
          <t>2022</t>
        </is>
      </c>
      <c r="D34" s="45" t="inlineStr">
        <is>
          <t>REG</t>
        </is>
      </c>
      <c r="E34" s="45" t="inlineStr">
        <is>
          <t>Tim Kaine</t>
        </is>
      </c>
      <c r="F34" s="45" t="inlineStr">
        <is>
          <t>U.S. Senator (D-VA), Chair, SFRC Subcommittee on the Western Hemisphere</t>
        </is>
      </c>
      <c r="G34" s="45" t="inlineStr">
        <is>
          <t>us_congress</t>
        </is>
      </c>
      <c r="H34" s="45" t="inlineStr">
        <is>
          <t>United States</t>
        </is>
      </c>
      <c r="I34" s="45" t="inlineStr">
        <is>
          <t>USA</t>
        </is>
      </c>
      <c r="J34" s="45" t="inlineStr">
        <is>
          <t>Democratic</t>
        </is>
      </c>
      <c r="K34" s="45" t="inlineStr">
        <is>
          <t>legislative_debate</t>
        </is>
      </c>
      <c r="L34" s="45" t="inlineStr">
        <is>
          <t>SFRC Western Hemisphere subcommittee hearing 'China's Role in Latin America and the Caribbean'</t>
        </is>
      </c>
      <c r="M34" s="45" t="inlineStr">
        <is>
          <t>lithium;copper</t>
        </is>
      </c>
      <c r="N34" s="45" t="inlineStr">
        <is>
          <t>253090;260300;282520;283691;740200;740311</t>
        </is>
      </c>
      <c r="O34" s="45" t="inlineStr">
        <is>
          <t>geopolitics_security;foreign_investment</t>
        </is>
      </c>
      <c r="P34" s="45" t="inlineStr">
        <is>
          <t>CHN;ARG;BOL;CHL;PER</t>
        </is>
      </c>
      <c r="Q34" s="45" t="inlineStr">
        <is>
          <t>negative</t>
        </is>
      </c>
      <c r="R34" s="45" t="inlineStr">
        <is>
          <t>positive</t>
        </is>
      </c>
      <c r="S34" s="45" t="inlineStr"/>
      <c r="T34" s="45" t="inlineStr">
        <is>
          <t>In his opening statement Kaine said China continues its quest for natural resources and raw materials across Latin America, citing lithium in Argentina, Bolivia and Chile and copper in Peru.</t>
        </is>
      </c>
      <c r="U34" s="45" t="inlineStr">
        <is>
          <t>China continues its quest for natural resources and raw materials throughout the region, including lithium in places like Argentina, Bolivia, and Chile or copper in Peru.</t>
        </is>
      </c>
      <c r="V34" s="45" t="inlineStr">
        <is>
          <t>China continues its quest for natural resources and raw materials throughout the region, including lithium in places like Argentina, Bolivia, and Chile or copper in Peru.</t>
        </is>
      </c>
      <c r="W34" s="45" t="inlineStr">
        <is>
          <t>en</t>
        </is>
      </c>
      <c r="X34" s="45" t="inlineStr">
        <is>
          <t>U.S. Senate Foreign Relations Committee (hearing transcript)</t>
        </is>
      </c>
      <c r="Y34" s="45" t="inlineStr">
        <is>
          <t>https://www.foreign.senate.gov/download/transcript03312201</t>
        </is>
      </c>
      <c r="Z34" s="45" t="inlineStr">
        <is>
          <t>legislative_record</t>
        </is>
      </c>
      <c r="AA34" s="45" t="inlineStr">
        <is>
          <t>primary_verified</t>
        </is>
      </c>
      <c r="AB34" s="45" t="inlineStr">
        <is>
          <t>Subcommittee chair role inferred (Kaine chaired the WH subcommittee in the 117th Congress).</t>
        </is>
      </c>
      <c r="AC34" s="45" t="inlineStr">
        <is>
          <t>USA_gov</t>
        </is>
      </c>
    </row>
    <row r="35" ht="15" customHeight="1" s="24">
      <c r="A35" s="45" t="inlineStr">
        <is>
          <t>PS-0034</t>
        </is>
      </c>
      <c r="B35" s="45" t="inlineStr">
        <is>
          <t>2022-04-18</t>
        </is>
      </c>
      <c r="C35" s="45" t="inlineStr">
        <is>
          <t>2022</t>
        </is>
      </c>
      <c r="D35" s="45" t="inlineStr">
        <is>
          <t>MEX</t>
        </is>
      </c>
      <c r="E35" s="45" t="inlineStr">
        <is>
          <t>Andrés Manuel López Obrador</t>
        </is>
      </c>
      <c r="F35" s="45" t="inlineStr">
        <is>
          <t>President of Mexico</t>
        </is>
      </c>
      <c r="G35" s="45" t="inlineStr">
        <is>
          <t>head_of_state</t>
        </is>
      </c>
      <c r="H35" s="45" t="inlineStr">
        <is>
          <t>LatAm executive</t>
        </is>
      </c>
      <c r="I35" s="45" t="inlineStr">
        <is>
          <t>MEX</t>
        </is>
      </c>
      <c r="J35" s="45" t="inlineStr">
        <is>
          <t>Morena</t>
        </is>
      </c>
      <c r="K35" s="45" t="inlineStr">
        <is>
          <t>press_conference</t>
        </is>
      </c>
      <c r="L35" s="45" t="inlineStr">
        <is>
          <t>Mañanera after failure of constitutional electricity reform; call to pass Mining Law reform</t>
        </is>
      </c>
      <c r="M35" s="45" t="inlineStr">
        <is>
          <t>lithium</t>
        </is>
      </c>
      <c r="N35" s="45" t="inlineStr">
        <is>
          <t>253090;282520;283691</t>
        </is>
      </c>
      <c r="O35" s="45" t="inlineStr">
        <is>
          <t>state_control_nationalization;sovereignty;geopolitics_security</t>
        </is>
      </c>
      <c r="P35" s="45" t="inlineStr">
        <is>
          <t>none</t>
        </is>
      </c>
      <c r="Q35" s="45" t="inlineStr">
        <is>
          <t>not_mentioned</t>
        </is>
      </c>
      <c r="R35" s="45" t="inlineStr">
        <is>
          <t>not_mentioned</t>
        </is>
      </c>
      <c r="S35" s="45" t="inlineStr"/>
      <c r="T35" s="45" t="inlineStr">
        <is>
          <t>AMLO urged legislators to approve his Mining Law reform nationalizing lithium, saying it should be used only for national development and that a state company would explore, extract, process and sell it.</t>
        </is>
      </c>
      <c r="U35" s="45" t="inlineStr">
        <is>
          <t>nacionalicemos el litio. Así de claro, que solo se utilice para el beneficio del desarrollo nacional.</t>
        </is>
      </c>
      <c r="V35" s="45" t="inlineStr">
        <is>
          <t>let's nationalize lithium. That clear, so that it is only used for the benefit of national development.</t>
        </is>
      </c>
      <c r="W35" s="45" t="inlineStr">
        <is>
          <t>es</t>
        </is>
      </c>
      <c r="X35" s="45" t="inlineStr">
        <is>
          <t>El Financiero</t>
        </is>
      </c>
      <c r="Y35" s="45" t="inlineStr">
        <is>
          <t>https://www.elfinanciero.com.mx/nacional/2022/04/18/amlo-llama-a-legisladores-a-aprobar-este-lunes-la-nacionalizacion-del-litio/</t>
        </is>
      </c>
      <c r="Z35" s="45" t="inlineStr">
        <is>
          <t>news_media</t>
        </is>
      </c>
      <c r="AA35" s="45" t="inlineStr">
        <is>
          <t>secondary_reported</t>
        </is>
      </c>
      <c r="AB35" s="45" t="inlineStr"/>
      <c r="AC35" s="45" t="inlineStr">
        <is>
          <t>MEX</t>
        </is>
      </c>
    </row>
    <row r="36" ht="15" customHeight="1" s="24">
      <c r="A36" s="45" t="inlineStr">
        <is>
          <t>PS-0035</t>
        </is>
      </c>
      <c r="B36" s="45" t="inlineStr">
        <is>
          <t>2022-04-18</t>
        </is>
      </c>
      <c r="C36" s="45" t="inlineStr">
        <is>
          <t>2022</t>
        </is>
      </c>
      <c r="D36" s="45" t="inlineStr">
        <is>
          <t>MEX</t>
        </is>
      </c>
      <c r="E36" s="45" t="inlineStr">
        <is>
          <t>Cámara de Diputados de México</t>
        </is>
      </c>
      <c r="F36" s="45" t="inlineStr">
        <is>
          <t>Chamber of Deputies</t>
        </is>
      </c>
      <c r="G36" s="45" t="inlineStr">
        <is>
          <t>legislature_body</t>
        </is>
      </c>
      <c r="H36" s="45" t="inlineStr">
        <is>
          <t>LatAm legislature</t>
        </is>
      </c>
      <c r="I36" s="45" t="inlineStr">
        <is>
          <t>MEX</t>
        </is>
      </c>
      <c r="J36" s="45" t="inlineStr"/>
      <c r="K36" s="45" t="inlineStr">
        <is>
          <t>bill_or_law</t>
        </is>
      </c>
      <c r="L36" s="45" t="inlineStr">
        <is>
          <t>Vote on Mining Law reform declaring lithium of public utility</t>
        </is>
      </c>
      <c r="M36" s="45" t="inlineStr">
        <is>
          <t>lithium</t>
        </is>
      </c>
      <c r="N36" s="45" t="inlineStr">
        <is>
          <t>253090;282520;283691</t>
        </is>
      </c>
      <c r="O36" s="45" t="inlineStr">
        <is>
          <t>state_control_nationalization;sovereignty</t>
        </is>
      </c>
      <c r="P36" s="45" t="inlineStr">
        <is>
          <t>none</t>
        </is>
      </c>
      <c r="Q36" s="45" t="inlineStr">
        <is>
          <t>not_mentioned</t>
        </is>
      </c>
      <c r="R36" s="45" t="inlineStr">
        <is>
          <t>not_mentioned</t>
        </is>
      </c>
      <c r="S36" s="45" t="inlineStr"/>
      <c r="T36" s="45" t="inlineStr">
        <is>
          <t>The Chamber of Deputies approved in general the reform to the Mining Law nationalizing lithium by 298 votes in favour and 197 abstentions; PAN and PRI deputies abstained, while Movimiento Ciudadano voted against parts of it.</t>
        </is>
      </c>
      <c r="U36" s="45" t="inlineStr"/>
      <c r="V36" s="45" t="inlineStr"/>
      <c r="W36" s="45" t="inlineStr">
        <is>
          <t>es</t>
        </is>
      </c>
      <c r="X36" s="45" t="inlineStr">
        <is>
          <t>Expansión Política</t>
        </is>
      </c>
      <c r="Y36" s="45" t="inlineStr">
        <is>
          <t>https://politica.expansion.mx/congreso/2022/04/18/la-camara-de-diputados-aprueba-en-lo-general-reforma-a-la-ley-minera</t>
        </is>
      </c>
      <c r="Z36" s="45" t="inlineStr">
        <is>
          <t>news_media</t>
        </is>
      </c>
      <c r="AA36" s="45" t="inlineStr">
        <is>
          <t>secondary_reported</t>
        </is>
      </c>
      <c r="AB36" s="45" t="inlineStr">
        <is>
          <t>In particular: 275 for, 187 abstentions, 24 against (MC).</t>
        </is>
      </c>
      <c r="AC36" s="45" t="inlineStr">
        <is>
          <t>MEX</t>
        </is>
      </c>
    </row>
    <row r="37" ht="15" customHeight="1" s="24">
      <c r="A37" s="45" t="inlineStr">
        <is>
          <t>PS-0036</t>
        </is>
      </c>
      <c r="B37" s="45" t="inlineStr">
        <is>
          <t>2022-04-18</t>
        </is>
      </c>
      <c r="C37" s="45" t="inlineStr">
        <is>
          <t>2022</t>
        </is>
      </c>
      <c r="D37" s="45" t="inlineStr">
        <is>
          <t>MEX</t>
        </is>
      </c>
      <c r="E37" s="45" t="inlineStr">
        <is>
          <t>Salomón Chertorivski</t>
        </is>
      </c>
      <c r="F37" s="45" t="inlineStr">
        <is>
          <t>Federal Deputy (Movimiento Ciudadano)</t>
        </is>
      </c>
      <c r="G37" s="45" t="inlineStr">
        <is>
          <t>legislator</t>
        </is>
      </c>
      <c r="H37" s="45" t="inlineStr">
        <is>
          <t>LatAm legislature</t>
        </is>
      </c>
      <c r="I37" s="45" t="inlineStr">
        <is>
          <t>MEX</t>
        </is>
      </c>
      <c r="J37" s="45" t="inlineStr">
        <is>
          <t>Movimiento Ciudadano</t>
        </is>
      </c>
      <c r="K37" s="45" t="inlineStr">
        <is>
          <t>legislative_debate</t>
        </is>
      </c>
      <c r="L37" s="45" t="inlineStr">
        <is>
          <t>Chamber of Deputies debate on lithium Mining Law reform</t>
        </is>
      </c>
      <c r="M37" s="45" t="inlineStr">
        <is>
          <t>lithium</t>
        </is>
      </c>
      <c r="N37" s="45" t="inlineStr">
        <is>
          <t>253090;282520;283691</t>
        </is>
      </c>
      <c r="O37" s="45" t="inlineStr">
        <is>
          <t>state_control_nationalization;corruption_governance</t>
        </is>
      </c>
      <c r="P37" s="45" t="inlineStr">
        <is>
          <t>none</t>
        </is>
      </c>
      <c r="Q37" s="45" t="inlineStr">
        <is>
          <t>not_mentioned</t>
        </is>
      </c>
      <c r="R37" s="45" t="inlineStr">
        <is>
          <t>not_mentioned</t>
        </is>
      </c>
      <c r="S37" s="45" t="inlineStr"/>
      <c r="T37" s="45" t="inlineStr">
        <is>
          <t>Chertorivski argued that lithium concessions could not be prohibited by ordinary statute and that it had to be done through the Constitution.</t>
        </is>
      </c>
      <c r="U37" s="45" t="inlineStr">
        <is>
          <t>No se puede prohibir en una ley una concesión, se tiene que hacer desde la Constitución</t>
        </is>
      </c>
      <c r="V37" s="45" t="inlineStr">
        <is>
          <t>A concession cannot be prohibited in a law, it has to be done from the Constitution</t>
        </is>
      </c>
      <c r="W37" s="45" t="inlineStr">
        <is>
          <t>es</t>
        </is>
      </c>
      <c r="X37" s="45" t="inlineStr">
        <is>
          <t>Expansión Política</t>
        </is>
      </c>
      <c r="Y37" s="45" t="inlineStr">
        <is>
          <t>https://politica.expansion.mx/congreso/2022/04/18/la-camara-de-diputados-aprueba-en-lo-general-reforma-a-la-ley-minera</t>
        </is>
      </c>
      <c r="Z37" s="45" t="inlineStr">
        <is>
          <t>news_media</t>
        </is>
      </c>
      <c r="AA37" s="45" t="inlineStr">
        <is>
          <t>secondary_reported</t>
        </is>
      </c>
      <c r="AB37" s="45" t="inlineStr"/>
      <c r="AC37" s="45" t="inlineStr">
        <is>
          <t>MEX</t>
        </is>
      </c>
    </row>
    <row r="38" ht="15" customHeight="1" s="24">
      <c r="A38" s="45" t="inlineStr">
        <is>
          <t>PS-0037</t>
        </is>
      </c>
      <c r="B38" s="45" t="inlineStr">
        <is>
          <t>2022-04-19</t>
        </is>
      </c>
      <c r="C38" s="45" t="inlineStr">
        <is>
          <t>2022</t>
        </is>
      </c>
      <c r="D38" s="45" t="inlineStr">
        <is>
          <t>MEX</t>
        </is>
      </c>
      <c r="E38" s="45" t="inlineStr">
        <is>
          <t>Alejandro Armenta</t>
        </is>
      </c>
      <c r="F38" s="45" t="inlineStr">
        <is>
          <t>Senator (Morena)</t>
        </is>
      </c>
      <c r="G38" s="45" t="inlineStr">
        <is>
          <t>legislator</t>
        </is>
      </c>
      <c r="H38" s="45" t="inlineStr">
        <is>
          <t>LatAm legislature</t>
        </is>
      </c>
      <c r="I38" s="45" t="inlineStr">
        <is>
          <t>MEX</t>
        </is>
      </c>
      <c r="J38" s="45" t="inlineStr">
        <is>
          <t>Morena</t>
        </is>
      </c>
      <c r="K38" s="45" t="inlineStr">
        <is>
          <t>legislative_debate</t>
        </is>
      </c>
      <c r="L38" s="45" t="inlineStr">
        <is>
          <t>Senate debate on lithium Mining Law reform</t>
        </is>
      </c>
      <c r="M38" s="45" t="inlineStr">
        <is>
          <t>lithium</t>
        </is>
      </c>
      <c r="N38" s="45" t="inlineStr">
        <is>
          <t>253090;282520;283691</t>
        </is>
      </c>
      <c r="O38" s="45" t="inlineStr">
        <is>
          <t>state_control_nationalization;foreign_investment</t>
        </is>
      </c>
      <c r="P38" s="45" t="inlineStr">
        <is>
          <t>none</t>
        </is>
      </c>
      <c r="Q38" s="45" t="inlineStr">
        <is>
          <t>not_mentioned</t>
        </is>
      </c>
      <c r="R38" s="45" t="inlineStr">
        <is>
          <t>not_mentioned</t>
        </is>
      </c>
      <c r="S38" s="45" t="inlineStr"/>
      <c r="T38" s="45" t="inlineStr">
        <is>
          <t>Morena senator Armenta defended the reform, arguing that the private sector would still participate since the state company would sell lithium to private firms.</t>
        </is>
      </c>
      <c r="U38" s="45" t="inlineStr">
        <is>
          <t>Se lo vende a los particulares</t>
        </is>
      </c>
      <c r="V38" s="45" t="inlineStr">
        <is>
          <t>It is sold to private parties</t>
        </is>
      </c>
      <c r="W38" s="45" t="inlineStr">
        <is>
          <t>es</t>
        </is>
      </c>
      <c r="X38" s="45" t="inlineStr">
        <is>
          <t>Expansión Política</t>
        </is>
      </c>
      <c r="Y38" s="45" t="inlineStr">
        <is>
          <t>https://politica.expansion.mx/mexico/2022/04/19/el-senado-aprueba-la-reforma-a-la-ley-minera-de-lopez-obrador</t>
        </is>
      </c>
      <c r="Z38" s="45" t="inlineStr">
        <is>
          <t>news_media</t>
        </is>
      </c>
      <c r="AA38" s="45" t="inlineStr">
        <is>
          <t>secondary_reported</t>
        </is>
      </c>
      <c r="AB38" s="45" t="inlineStr"/>
      <c r="AC38" s="45" t="inlineStr">
        <is>
          <t>MEX</t>
        </is>
      </c>
    </row>
    <row r="39" ht="15" customHeight="1" s="24">
      <c r="A39" s="45" t="inlineStr">
        <is>
          <t>PS-0038</t>
        </is>
      </c>
      <c r="B39" s="45" t="inlineStr">
        <is>
          <t>2022-04-19</t>
        </is>
      </c>
      <c r="C39" s="45" t="inlineStr">
        <is>
          <t>2022</t>
        </is>
      </c>
      <c r="D39" s="45" t="inlineStr">
        <is>
          <t>MEX</t>
        </is>
      </c>
      <c r="E39" s="45" t="inlineStr">
        <is>
          <t>Damián Zepeda</t>
        </is>
      </c>
      <c r="F39" s="45" t="inlineStr">
        <is>
          <t>Senator (PAN)</t>
        </is>
      </c>
      <c r="G39" s="45" t="inlineStr">
        <is>
          <t>legislator</t>
        </is>
      </c>
      <c r="H39" s="45" t="inlineStr">
        <is>
          <t>LatAm legislature</t>
        </is>
      </c>
      <c r="I39" s="45" t="inlineStr">
        <is>
          <t>MEX</t>
        </is>
      </c>
      <c r="J39" s="45" t="inlineStr">
        <is>
          <t>PAN</t>
        </is>
      </c>
      <c r="K39" s="45" t="inlineStr">
        <is>
          <t>legislative_debate</t>
        </is>
      </c>
      <c r="L39" s="45" t="inlineStr">
        <is>
          <t>Senate debate on lithium Mining Law reform</t>
        </is>
      </c>
      <c r="M39" s="45" t="inlineStr">
        <is>
          <t>lithium</t>
        </is>
      </c>
      <c r="N39" s="45" t="inlineStr">
        <is>
          <t>253090;282520;283691</t>
        </is>
      </c>
      <c r="O39" s="45" t="inlineStr">
        <is>
          <t>state_control_nationalization;foreign_investment</t>
        </is>
      </c>
      <c r="P39" s="45" t="inlineStr">
        <is>
          <t>none</t>
        </is>
      </c>
      <c r="Q39" s="45" t="inlineStr">
        <is>
          <t>not_mentioned</t>
        </is>
      </c>
      <c r="R39" s="45" t="inlineStr">
        <is>
          <t>not_mentioned</t>
        </is>
      </c>
      <c r="S39" s="45" t="inlineStr"/>
      <c r="T39" s="45" t="inlineStr">
        <is>
          <t>PAN senator Damián Zepeda opposed the lithium reform, arguing the government should not act as a businessman in lithium exploitation.</t>
        </is>
      </c>
      <c r="U39" s="45" t="inlineStr">
        <is>
          <t>el gobierno es pésimo para ser empresario</t>
        </is>
      </c>
      <c r="V39" s="45" t="inlineStr">
        <is>
          <t>the government is terrible at being a businessman</t>
        </is>
      </c>
      <c r="W39" s="45" t="inlineStr">
        <is>
          <t>es</t>
        </is>
      </c>
      <c r="X39" s="45" t="inlineStr">
        <is>
          <t>Expansión Política</t>
        </is>
      </c>
      <c r="Y39" s="45" t="inlineStr">
        <is>
          <t>https://politica.expansion.mx/mexico/2022/04/19/el-senado-aprueba-la-reforma-a-la-ley-minera-de-lopez-obrador</t>
        </is>
      </c>
      <c r="Z39" s="45" t="inlineStr">
        <is>
          <t>news_media</t>
        </is>
      </c>
      <c r="AA39" s="45" t="inlineStr">
        <is>
          <t>secondary_reported</t>
        </is>
      </c>
      <c r="AB39" s="45" t="inlineStr"/>
      <c r="AC39" s="45" t="inlineStr">
        <is>
          <t>MEX</t>
        </is>
      </c>
    </row>
    <row r="40" ht="15" customHeight="1" s="24">
      <c r="A40" s="45" t="inlineStr">
        <is>
          <t>PS-0039</t>
        </is>
      </c>
      <c r="B40" s="45" t="inlineStr">
        <is>
          <t>2022-04-19</t>
        </is>
      </c>
      <c r="C40" s="45" t="inlineStr">
        <is>
          <t>2022</t>
        </is>
      </c>
      <c r="D40" s="45" t="inlineStr">
        <is>
          <t>MEX</t>
        </is>
      </c>
      <c r="E40" s="45" t="inlineStr">
        <is>
          <t>José Erandi Bermúdez</t>
        </is>
      </c>
      <c r="F40" s="45" t="inlineStr">
        <is>
          <t>Senator (PAN)</t>
        </is>
      </c>
      <c r="G40" s="45" t="inlineStr">
        <is>
          <t>legislator</t>
        </is>
      </c>
      <c r="H40" s="45" t="inlineStr">
        <is>
          <t>LatAm legislature</t>
        </is>
      </c>
      <c r="I40" s="45" t="inlineStr">
        <is>
          <t>MEX</t>
        </is>
      </c>
      <c r="J40" s="45" t="inlineStr">
        <is>
          <t>PAN</t>
        </is>
      </c>
      <c r="K40" s="45" t="inlineStr">
        <is>
          <t>legislative_debate</t>
        </is>
      </c>
      <c r="L40" s="45" t="inlineStr">
        <is>
          <t>Senate debate on lithium Mining Law reform</t>
        </is>
      </c>
      <c r="M40" s="45" t="inlineStr">
        <is>
          <t>lithium;critical_minerals_general</t>
        </is>
      </c>
      <c r="N40" s="45" t="inlineStr">
        <is>
          <t>253090;282520;283691</t>
        </is>
      </c>
      <c r="O40" s="45" t="inlineStr">
        <is>
          <t>state_control_nationalization;corruption_governance</t>
        </is>
      </c>
      <c r="P40" s="45" t="inlineStr">
        <is>
          <t>none</t>
        </is>
      </c>
      <c r="Q40" s="45" t="inlineStr">
        <is>
          <t>not_mentioned</t>
        </is>
      </c>
      <c r="R40" s="45" t="inlineStr">
        <is>
          <t>not_mentioned</t>
        </is>
      </c>
      <c r="S40" s="45" t="inlineStr"/>
      <c r="T40" s="45" t="inlineStr">
        <is>
          <t>Bermúdez criticized the reform for lacking precision on which minerals would be considered 'strategic'.</t>
        </is>
      </c>
      <c r="U40" s="45" t="inlineStr"/>
      <c r="V40" s="45" t="inlineStr"/>
      <c r="W40" s="45" t="inlineStr">
        <is>
          <t>es</t>
        </is>
      </c>
      <c r="X40" s="45" t="inlineStr">
        <is>
          <t>Expansión Política</t>
        </is>
      </c>
      <c r="Y40" s="45" t="inlineStr">
        <is>
          <t>https://politica.expansion.mx/mexico/2022/04/19/el-senado-aprueba-la-reforma-a-la-ley-minera-de-lopez-obrador</t>
        </is>
      </c>
      <c r="Z40" s="45" t="inlineStr">
        <is>
          <t>news_media</t>
        </is>
      </c>
      <c r="AA40" s="45" t="inlineStr">
        <is>
          <t>secondary_reported</t>
        </is>
      </c>
      <c r="AB40" s="45" t="inlineStr"/>
      <c r="AC40" s="45" t="inlineStr">
        <is>
          <t>MEX</t>
        </is>
      </c>
    </row>
    <row r="41" ht="15" customHeight="1" s="24">
      <c r="A41" s="45" t="inlineStr">
        <is>
          <t>PS-0040</t>
        </is>
      </c>
      <c r="B41" s="45" t="inlineStr">
        <is>
          <t>2022-04-19</t>
        </is>
      </c>
      <c r="C41" s="45" t="inlineStr">
        <is>
          <t>2022</t>
        </is>
      </c>
      <c r="D41" s="45" t="inlineStr">
        <is>
          <t>MEX</t>
        </is>
      </c>
      <c r="E41" s="45" t="inlineStr">
        <is>
          <t>Senado de la República</t>
        </is>
      </c>
      <c r="F41" s="45" t="inlineStr">
        <is>
          <t>Mexican Senate</t>
        </is>
      </c>
      <c r="G41" s="45" t="inlineStr">
        <is>
          <t>legislature_body</t>
        </is>
      </c>
      <c r="H41" s="45" t="inlineStr">
        <is>
          <t>LatAm legislature</t>
        </is>
      </c>
      <c r="I41" s="45" t="inlineStr">
        <is>
          <t>MEX</t>
        </is>
      </c>
      <c r="J41" s="45" t="inlineStr"/>
      <c r="K41" s="45" t="inlineStr">
        <is>
          <t>bill_or_law</t>
        </is>
      </c>
      <c r="L41" s="45" t="inlineStr">
        <is>
          <t>Senate vote on lithium Mining Law reform</t>
        </is>
      </c>
      <c r="M41" s="45" t="inlineStr">
        <is>
          <t>lithium</t>
        </is>
      </c>
      <c r="N41" s="45" t="inlineStr">
        <is>
          <t>253090;282520;283691</t>
        </is>
      </c>
      <c r="O41" s="45" t="inlineStr">
        <is>
          <t>state_control_nationalization;sovereignty</t>
        </is>
      </c>
      <c r="P41" s="45" t="inlineStr">
        <is>
          <t>none</t>
        </is>
      </c>
      <c r="Q41" s="45" t="inlineStr">
        <is>
          <t>not_mentioned</t>
        </is>
      </c>
      <c r="R41" s="45" t="inlineStr">
        <is>
          <t>not_mentioned</t>
        </is>
      </c>
      <c r="S41" s="45" t="inlineStr">
        <is>
          <t>LitioMx</t>
        </is>
      </c>
      <c r="T41" s="45" t="inlineStr">
        <is>
          <t>The Senate approved in general the Mining Law reform reserving lithium exploration and exploitation to the state, by 87 votes to 20 with 16 abstentions.</t>
        </is>
      </c>
      <c r="U41" s="45" t="inlineStr"/>
      <c r="V41" s="45" t="inlineStr"/>
      <c r="W41" s="45" t="inlineStr">
        <is>
          <t>es</t>
        </is>
      </c>
      <c r="X41" s="45" t="inlineStr">
        <is>
          <t>Expansión Política</t>
        </is>
      </c>
      <c r="Y41" s="45" t="inlineStr">
        <is>
          <t>https://politica.expansion.mx/mexico/2022/04/19/el-senado-aprueba-la-reforma-a-la-ley-minera-de-lopez-obrador</t>
        </is>
      </c>
      <c r="Z41" s="45" t="inlineStr">
        <is>
          <t>news_media</t>
        </is>
      </c>
      <c r="AA41" s="45" t="inlineStr">
        <is>
          <t>secondary_reported</t>
        </is>
      </c>
      <c r="AB41" s="45" t="inlineStr">
        <is>
          <t>In particular: 76 for, 45 against.</t>
        </is>
      </c>
      <c r="AC41" s="45" t="inlineStr">
        <is>
          <t>MEX</t>
        </is>
      </c>
    </row>
    <row r="42" ht="15" customHeight="1" s="24">
      <c r="A42" s="45" t="inlineStr">
        <is>
          <t>PS-0041</t>
        </is>
      </c>
      <c r="B42" s="45" t="inlineStr">
        <is>
          <t>2022-05</t>
        </is>
      </c>
      <c r="C42" s="45" t="inlineStr">
        <is>
          <t>2022</t>
        </is>
      </c>
      <c r="D42" s="45" t="inlineStr">
        <is>
          <t>BRA</t>
        </is>
      </c>
      <c r="E42" s="45" t="inlineStr">
        <is>
          <t>Jair Bolsonaro</t>
        </is>
      </c>
      <c r="F42" s="45" t="inlineStr">
        <is>
          <t>President of Brazil</t>
        </is>
      </c>
      <c r="G42" s="45" t="inlineStr">
        <is>
          <t>head_of_state</t>
        </is>
      </c>
      <c r="H42" s="45" t="inlineStr">
        <is>
          <t>LatAm executive</t>
        </is>
      </c>
      <c r="I42" s="45" t="inlineStr">
        <is>
          <t>BRA</t>
        </is>
      </c>
      <c r="J42" s="45" t="inlineStr">
        <is>
          <t>PL</t>
        </is>
      </c>
      <c r="K42" s="45" t="inlineStr">
        <is>
          <t>speech</t>
        </is>
      </c>
      <c r="L42" s="45" t="inlineStr">
        <is>
          <t>Meeting with Elon Musk, São Paulo state</t>
        </is>
      </c>
      <c r="M42" s="45" t="inlineStr">
        <is>
          <t>niobium</t>
        </is>
      </c>
      <c r="N42" s="45" t="inlineStr">
        <is>
          <t>261590;720293</t>
        </is>
      </c>
      <c r="O42" s="45" t="inlineStr">
        <is>
          <t>foreign_investment;technology_transfer</t>
        </is>
      </c>
      <c r="P42" s="45" t="inlineStr">
        <is>
          <t>USA</t>
        </is>
      </c>
      <c r="Q42" s="45" t="inlineStr">
        <is>
          <t>not_mentioned</t>
        </is>
      </c>
      <c r="R42" s="45" t="inlineStr">
        <is>
          <t>positive</t>
        </is>
      </c>
      <c r="S42" s="45" t="inlineStr">
        <is>
          <t>Tesla</t>
        </is>
      </c>
      <c r="T42" s="45" t="inlineStr">
        <is>
          <t>Bolsonaro reportedly offered niobium to Elon Musk during their 2022 meeting, citing Brazil's 98% share of world reserves and studies on niobium batteries that Tesla could use.</t>
        </is>
      </c>
      <c r="U42" s="45" t="inlineStr"/>
      <c r="V42" s="45" t="inlineStr"/>
      <c r="W42" s="45" t="inlineStr">
        <is>
          <t>pt</t>
        </is>
      </c>
      <c r="X42" s="45" t="inlineStr">
        <is>
          <t>Portal Tela</t>
        </is>
      </c>
      <c r="Y42" s="45" t="inlineStr">
        <is>
          <t>https://www.portaltela.com/noticias/economia/2025/07/25/bolsonaro-oferece-mineral-estrategico-a-elon-musk-atraindo-interesse-de-trump/</t>
        </is>
      </c>
      <c r="Z42" s="45" t="inlineStr">
        <is>
          <t>news_media</t>
        </is>
      </c>
      <c r="AA42" s="45" t="inlineStr">
        <is>
          <t>secondary_reported</t>
        </is>
      </c>
      <c r="AB42" s="45" t="inlineStr">
        <is>
          <t>Paraphrase only; month from known Musk visit (May 2022), source says only 2022</t>
        </is>
      </c>
      <c r="AC42" s="45" t="inlineStr">
        <is>
          <t>BRA</t>
        </is>
      </c>
    </row>
    <row r="43" ht="15" customHeight="1" s="24">
      <c r="A43" s="45" t="inlineStr">
        <is>
          <t>PS-0042</t>
        </is>
      </c>
      <c r="B43" s="45" t="inlineStr">
        <is>
          <t>2022-05-19</t>
        </is>
      </c>
      <c r="C43" s="45" t="inlineStr">
        <is>
          <t>2022</t>
        </is>
      </c>
      <c r="D43" s="45" t="inlineStr">
        <is>
          <t>PER</t>
        </is>
      </c>
      <c r="E43" s="45" t="inlineStr">
        <is>
          <t>Aníbal Torres</t>
        </is>
      </c>
      <c r="F43" s="45" t="inlineStr">
        <is>
          <t>President of the Council of Ministers of Peru</t>
        </is>
      </c>
      <c r="G43" s="45" t="inlineStr">
        <is>
          <t>minister_cabinet</t>
        </is>
      </c>
      <c r="H43" s="45" t="inlineStr">
        <is>
          <t>LatAm executive</t>
        </is>
      </c>
      <c r="I43" s="45" t="inlineStr">
        <is>
          <t>PER</t>
        </is>
      </c>
      <c r="J43" s="45" t="inlineStr"/>
      <c r="K43" s="45" t="inlineStr">
        <is>
          <t>speech</t>
        </is>
      </c>
      <c r="L43" s="45" t="inlineStr">
        <is>
          <t>Dialogue with communities in Pumamarca, Apurímac; state of emergency over Las Bambas</t>
        </is>
      </c>
      <c r="M43" s="45" t="inlineStr">
        <is>
          <t>copper</t>
        </is>
      </c>
      <c r="N43" s="45" t="inlineStr">
        <is>
          <t>260300;740200;740311</t>
        </is>
      </c>
      <c r="O43" s="45" t="inlineStr">
        <is>
          <t>labor_social_conflict;indigenous_community_rights</t>
        </is>
      </c>
      <c r="P43" s="45" t="inlineStr">
        <is>
          <t>none</t>
        </is>
      </c>
      <c r="Q43" s="45" t="inlineStr">
        <is>
          <t>not_mentioned</t>
        </is>
      </c>
      <c r="R43" s="45" t="inlineStr">
        <is>
          <t>not_mentioned</t>
        </is>
      </c>
      <c r="S43" s="45" t="inlineStr">
        <is>
          <t>Las Bambas; MMG</t>
        </is>
      </c>
      <c r="T43" s="45" t="inlineStr">
        <is>
          <t>Torres told community members that the state of emergency in Challhuahuacho and Coyllurqui would be lifted only once they abandoned forceful actions against Las Bambas and engaged in peaceful dialogue.</t>
        </is>
      </c>
      <c r="U43" s="45" t="inlineStr">
        <is>
          <t>El estado de emergencia se levanta simultáneamente con el levantamiento de las actitudes de fuerza y restableciendo la paz social.</t>
        </is>
      </c>
      <c r="V43" s="45" t="inlineStr">
        <is>
          <t>The state of emergency is lifted simultaneously with the lifting of forceful actions and the restoration of social peace.</t>
        </is>
      </c>
      <c r="W43" s="45" t="inlineStr">
        <is>
          <t>es</t>
        </is>
      </c>
      <c r="X43" s="45" t="inlineStr">
        <is>
          <t>Panamericana</t>
        </is>
      </c>
      <c r="Y43" s="45" t="inlineStr">
        <is>
          <t>https://panamericana.pe/nacionales/349610-bambas-premier-asegura-emergencia-levantara-deponga-actitudes-fuerza</t>
        </is>
      </c>
      <c r="Z43" s="45" t="inlineStr">
        <is>
          <t>news_media</t>
        </is>
      </c>
      <c r="AA43" s="45" t="inlineStr">
        <is>
          <t>secondary_reported</t>
        </is>
      </c>
      <c r="AB43" s="45" t="inlineStr"/>
      <c r="AC43" s="45" t="inlineStr">
        <is>
          <t>PER</t>
        </is>
      </c>
    </row>
    <row r="44" ht="15" customHeight="1" s="24">
      <c r="A44" s="45" t="inlineStr">
        <is>
          <t>PS-0043</t>
        </is>
      </c>
      <c r="B44" s="45" t="inlineStr">
        <is>
          <t>2022-06</t>
        </is>
      </c>
      <c r="C44" s="45" t="inlineStr">
        <is>
          <t>2022</t>
        </is>
      </c>
      <c r="D44" s="45" t="inlineStr">
        <is>
          <t>CHL</t>
        </is>
      </c>
      <c r="E44" s="45" t="inlineStr">
        <is>
          <t>Marcela Hernando</t>
        </is>
      </c>
      <c r="F44" s="45" t="inlineStr">
        <is>
          <t>Minister of Mining</t>
        </is>
      </c>
      <c r="G44" s="45" t="inlineStr">
        <is>
          <t>minister_cabinet</t>
        </is>
      </c>
      <c r="H44" s="45" t="inlineStr">
        <is>
          <t>LatAm executive</t>
        </is>
      </c>
      <c r="I44" s="45" t="inlineStr">
        <is>
          <t>CHL</t>
        </is>
      </c>
      <c r="J44" s="45" t="inlineStr">
        <is>
          <t>Partido Radical</t>
        </is>
      </c>
      <c r="K44" s="45" t="inlineStr">
        <is>
          <t>official_statement</t>
        </is>
      </c>
      <c r="L44" s="45" t="inlineStr">
        <is>
          <t>Government reaction to Supreme Court annulment of lithium tender</t>
        </is>
      </c>
      <c r="M44" s="45" t="inlineStr">
        <is>
          <t>lithium</t>
        </is>
      </c>
      <c r="N44" s="45" t="inlineStr">
        <is>
          <t>253090;282520;283691</t>
        </is>
      </c>
      <c r="O44" s="45" t="inlineStr">
        <is>
          <t>indigenous_community_rights;state_control_nationalization</t>
        </is>
      </c>
      <c r="P44" s="45" t="inlineStr">
        <is>
          <t>none</t>
        </is>
      </c>
      <c r="Q44" s="45" t="inlineStr">
        <is>
          <t>not_mentioned</t>
        </is>
      </c>
      <c r="R44" s="45" t="inlineStr">
        <is>
          <t>not_mentioned</t>
        </is>
      </c>
      <c r="S44" s="45" t="inlineStr"/>
      <c r="T44" s="45" t="inlineStr">
        <is>
          <t>Mining minister said the Boric government would abide by the ruling, that it had warned the tender was badly designed, and that lithium would be developed through public-private partnerships with community dialogue.</t>
        </is>
      </c>
      <c r="U44" s="45" t="inlineStr">
        <is>
          <t>ya habíamos advertido que la licitación estaba mal hecha</t>
        </is>
      </c>
      <c r="V44" s="45" t="inlineStr">
        <is>
          <t>we had already warned that the tender was badly done</t>
        </is>
      </c>
      <c r="W44" s="45" t="inlineStr">
        <is>
          <t>es</t>
        </is>
      </c>
      <c r="X44" s="45" t="inlineStr">
        <is>
          <t>CNN Chile</t>
        </is>
      </c>
      <c r="Y44" s="45" t="inlineStr">
        <is>
          <t>https://www.cnnchile.com/sin-categoria/gobierno-fin-licitacion-litio-pinera-corte-suprema/</t>
        </is>
      </c>
      <c r="Z44" s="45" t="inlineStr">
        <is>
          <t>news_media</t>
        </is>
      </c>
      <c r="AA44" s="45" t="inlineStr">
        <is>
          <t>secondary_reported</t>
        </is>
      </c>
      <c r="AB44" s="45" t="inlineStr">
        <is>
          <t>Exact day not stated in source; early June 2022</t>
        </is>
      </c>
      <c r="AC44" s="45" t="inlineStr">
        <is>
          <t>CHL</t>
        </is>
      </c>
    </row>
    <row r="45" ht="15" customHeight="1" s="24">
      <c r="A45" s="45" t="inlineStr">
        <is>
          <t>PS-0044</t>
        </is>
      </c>
      <c r="B45" s="45" t="inlineStr">
        <is>
          <t>2022-06-01</t>
        </is>
      </c>
      <c r="C45" s="45" t="inlineStr">
        <is>
          <t>2022</t>
        </is>
      </c>
      <c r="D45" s="45" t="inlineStr">
        <is>
          <t>CHL</t>
        </is>
      </c>
      <c r="E45" s="45" t="inlineStr">
        <is>
          <t>Supreme Court of Chile (Third Chamber)</t>
        </is>
      </c>
      <c r="F45" s="45" t="inlineStr">
        <is>
          <t>Supreme Court</t>
        </is>
      </c>
      <c r="G45" s="45" t="inlineStr">
        <is>
          <t>judiciary</t>
        </is>
      </c>
      <c r="H45" s="45" t="inlineStr">
        <is>
          <t>LatAm judiciary</t>
        </is>
      </c>
      <c r="I45" s="45" t="inlineStr">
        <is>
          <t>CHL</t>
        </is>
      </c>
      <c r="J45" s="45" t="inlineStr"/>
      <c r="K45" s="45" t="inlineStr">
        <is>
          <t>court_ruling</t>
        </is>
      </c>
      <c r="L45" s="45" t="inlineStr">
        <is>
          <t>Ruling on appeal by Colla communities against 2021 lithium tender</t>
        </is>
      </c>
      <c r="M45" s="45" t="inlineStr">
        <is>
          <t>lithium</t>
        </is>
      </c>
      <c r="N45" s="45" t="inlineStr">
        <is>
          <t>253090;282520;283691</t>
        </is>
      </c>
      <c r="O45" s="45" t="inlineStr">
        <is>
          <t>indigenous_community_rights;corruption_governance</t>
        </is>
      </c>
      <c r="P45" s="45" t="inlineStr">
        <is>
          <t>none</t>
        </is>
      </c>
      <c r="Q45" s="45" t="inlineStr">
        <is>
          <t>not_mentioned</t>
        </is>
      </c>
      <c r="R45" s="45" t="inlineStr">
        <is>
          <t>not_mentioned</t>
        </is>
      </c>
      <c r="S45" s="45" t="inlineStr">
        <is>
          <t>BYD Chile SpA; Servicios y Operaciones Mineras del Norte</t>
        </is>
      </c>
      <c r="T45" s="45" t="inlineStr">
        <is>
          <t>The Supreme Court annulled the Piñera-era lithium tender awarding 80,000 t each to BYD and Servicios y Operaciones Mineras del Norte, finding no specific area was set, which prevented prior indigenous consultation.</t>
        </is>
      </c>
      <c r="U45" s="45" t="inlineStr">
        <is>
          <t>no se cumplió con el requisito de fijar un área específica</t>
        </is>
      </c>
      <c r="V45" s="45" t="inlineStr">
        <is>
          <t>the requirement to set a specific area was not met</t>
        </is>
      </c>
      <c r="W45" s="45" t="inlineStr">
        <is>
          <t>es</t>
        </is>
      </c>
      <c r="X45" s="45" t="inlineStr">
        <is>
          <t>24 Horas (TVN)</t>
        </is>
      </c>
      <c r="Y45" s="45" t="inlineStr">
        <is>
          <t>https://www.24horas.cl/regiones/atacama/corte-suprema-deja-sin-efecto-licitacion-del-litio-hecha-durante-gobierno-de-pinera-5329930</t>
        </is>
      </c>
      <c r="Z45" s="45" t="inlineStr">
        <is>
          <t>news_media</t>
        </is>
      </c>
      <c r="AA45" s="45" t="inlineStr">
        <is>
          <t>secondary_reported</t>
        </is>
      </c>
      <c r="AB45" s="45" t="inlineStr">
        <is>
          <t>Ruling reported 1 June 2022, article 2 June</t>
        </is>
      </c>
      <c r="AC45" s="45" t="inlineStr">
        <is>
          <t>CHL</t>
        </is>
      </c>
    </row>
    <row r="46" ht="15" customHeight="1" s="24">
      <c r="A46" s="45" t="inlineStr">
        <is>
          <t>PS-0045</t>
        </is>
      </c>
      <c r="B46" s="45" t="inlineStr">
        <is>
          <t>2022-06-03</t>
        </is>
      </c>
      <c r="C46" s="45" t="inlineStr">
        <is>
          <t>2022</t>
        </is>
      </c>
      <c r="D46" s="45" t="inlineStr">
        <is>
          <t>PER</t>
        </is>
      </c>
      <c r="E46" s="45" t="inlineStr">
        <is>
          <t>Margot Palacios</t>
        </is>
      </c>
      <c r="F46" s="45" t="inlineStr">
        <is>
          <t>Congresswoman (Perú Libre)</t>
        </is>
      </c>
      <c r="G46" s="45" t="inlineStr">
        <is>
          <t>legislator</t>
        </is>
      </c>
      <c r="H46" s="45" t="inlineStr">
        <is>
          <t>LatAm legislature</t>
        </is>
      </c>
      <c r="I46" s="45" t="inlineStr">
        <is>
          <t>PER</t>
        </is>
      </c>
      <c r="J46" s="45" t="inlineStr">
        <is>
          <t>Perú Libre</t>
        </is>
      </c>
      <c r="K46" s="45" t="inlineStr">
        <is>
          <t>bill_or_law</t>
        </is>
      </c>
      <c r="L46" s="45" t="inlineStr">
        <is>
          <t>Bill PL 2259 to nationalize copper exploitation</t>
        </is>
      </c>
      <c r="M46" s="45" t="inlineStr">
        <is>
          <t>copper</t>
        </is>
      </c>
      <c r="N46" s="45" t="inlineStr">
        <is>
          <t>260300;740200;740311</t>
        </is>
      </c>
      <c r="O46" s="45" t="inlineStr">
        <is>
          <t>state_control_nationalization</t>
        </is>
      </c>
      <c r="P46" s="45" t="inlineStr">
        <is>
          <t>CHN</t>
        </is>
      </c>
      <c r="Q46" s="45" t="inlineStr">
        <is>
          <t>not_mentioned</t>
        </is>
      </c>
      <c r="R46" s="45" t="inlineStr">
        <is>
          <t>not_mentioned</t>
        </is>
      </c>
      <c r="S46" s="45" t="inlineStr">
        <is>
          <t>Las Bambas; MMG</t>
        </is>
      </c>
      <c r="T46" s="45" t="inlineStr">
        <is>
          <t>Palacios filed bill 2259 to create a National Copper Corporation with exclusive rights over copper exploration, extraction and initial processing, including a state company to operate the MMG-controlled Las Bambas mine.</t>
        </is>
      </c>
      <c r="U46" s="45" t="inlineStr">
        <is>
          <t>crear una empresa nacional para operar la mina cuprífera Las Bambas</t>
        </is>
      </c>
      <c r="V46" s="45" t="inlineStr">
        <is>
          <t>create a national company to operate the Las Bambas copper mine</t>
        </is>
      </c>
      <c r="W46" s="45" t="inlineStr">
        <is>
          <t>es</t>
        </is>
      </c>
      <c r="X46" s="45" t="inlineStr">
        <is>
          <t>Forbes Perú</t>
        </is>
      </c>
      <c r="Y46" s="45" t="inlineStr">
        <is>
          <t>https://forbes.pe/actualidad/2022-06-03/oficialismo-presenta-un-proyecto-para-nacionalizar-la-explotacion-del-cobre/</t>
        </is>
      </c>
      <c r="Z46" s="45" t="inlineStr">
        <is>
          <t>news_media</t>
        </is>
      </c>
      <c r="AA46" s="45" t="inlineStr">
        <is>
          <t>secondary_reported</t>
        </is>
      </c>
      <c r="AB46" s="45" t="inlineStr">
        <is>
          <t>Quote may be Forbes' paraphrase of the bill's objective</t>
        </is>
      </c>
      <c r="AC46" s="45" t="inlineStr">
        <is>
          <t>PER</t>
        </is>
      </c>
    </row>
    <row r="47" ht="15" customHeight="1" s="24">
      <c r="A47" s="45" t="inlineStr">
        <is>
          <t>PS-0046</t>
        </is>
      </c>
      <c r="B47" s="45" t="inlineStr">
        <is>
          <t>2022-07-14</t>
        </is>
      </c>
      <c r="C47" s="45" t="inlineStr">
        <is>
          <t>2022</t>
        </is>
      </c>
      <c r="D47" s="45" t="inlineStr">
        <is>
          <t>REG</t>
        </is>
      </c>
      <c r="E47" s="45" t="inlineStr">
        <is>
          <t>Laura Richardson</t>
        </is>
      </c>
      <c r="F47" s="45" t="inlineStr">
        <is>
          <t>Commander, U.S. Southern Command</t>
        </is>
      </c>
      <c r="G47" s="45" t="inlineStr">
        <is>
          <t>us_central_gov</t>
        </is>
      </c>
      <c r="H47" s="45" t="inlineStr">
        <is>
          <t>United States</t>
        </is>
      </c>
      <c r="I47" s="45" t="inlineStr">
        <is>
          <t>USA</t>
        </is>
      </c>
      <c r="J47" s="45" t="inlineStr">
        <is>
          <t>U.S. Department of Defense</t>
        </is>
      </c>
      <c r="K47" s="45" t="inlineStr">
        <is>
          <t>speech</t>
        </is>
      </c>
      <c r="L47" s="45" t="inlineStr">
        <is>
          <t>Concordia Americas Summit (Miami)</t>
        </is>
      </c>
      <c r="M47" s="45" t="inlineStr">
        <is>
          <t>lithium;rare_earths</t>
        </is>
      </c>
      <c r="N47" s="45" t="inlineStr">
        <is>
          <t>253090;282520;283691;284690</t>
        </is>
      </c>
      <c r="O47" s="45" t="inlineStr">
        <is>
          <t>geopolitics_security</t>
        </is>
      </c>
      <c r="P47" s="45" t="inlineStr">
        <is>
          <t>none</t>
        </is>
      </c>
      <c r="Q47" s="45" t="inlineStr">
        <is>
          <t>not_mentioned</t>
        </is>
      </c>
      <c r="R47" s="45" t="inlineStr">
        <is>
          <t>positive</t>
        </is>
      </c>
      <c r="S47" s="45" t="inlineStr"/>
      <c r="T47" s="45" t="inlineStr">
        <is>
          <t>Richardson described the region as rich in resources, rare earth minerals and lithium, noting the lithium triangle lies in the hemisphere.</t>
        </is>
      </c>
      <c r="U47" s="45" t="inlineStr">
        <is>
          <t>This region is so rich in resources, rare earth minerals, lithium — the lithium triangle is in this region.</t>
        </is>
      </c>
      <c r="V47" s="45" t="inlineStr">
        <is>
          <t>This region is so rich in resources, rare earth minerals, lithium — the lithium triangle is in this region.</t>
        </is>
      </c>
      <c r="W47" s="45" t="inlineStr">
        <is>
          <t>en</t>
        </is>
      </c>
      <c r="X47" s="45" t="inlineStr">
        <is>
          <t>Ludditus (blog compiling livestream quotes)</t>
        </is>
      </c>
      <c r="Y47" s="45" t="inlineStr">
        <is>
          <t>https://ludditus.com/?p=75497</t>
        </is>
      </c>
      <c r="Z47" s="45" t="inlineStr">
        <is>
          <t>think_tank_or_ngo</t>
        </is>
      </c>
      <c r="AA47" s="45" t="inlineStr">
        <is>
          <t>unverified</t>
        </is>
      </c>
      <c r="AB47" s="45" t="inlineStr">
        <is>
          <t>Quote transcribed by a blog from Concordia livestream; not checked against video</t>
        </is>
      </c>
      <c r="AC47" s="45" t="inlineStr">
        <is>
          <t>USA_gov</t>
        </is>
      </c>
    </row>
    <row r="48" ht="15" customHeight="1" s="24">
      <c r="A48" s="45" t="inlineStr">
        <is>
          <t>PS-0047</t>
        </is>
      </c>
      <c r="B48" s="45" t="inlineStr">
        <is>
          <t>2022-09-01</t>
        </is>
      </c>
      <c r="C48" s="45" t="inlineStr">
        <is>
          <t>2022</t>
        </is>
      </c>
      <c r="D48" s="45" t="inlineStr">
        <is>
          <t>MEX</t>
        </is>
      </c>
      <c r="E48" s="45" t="inlineStr">
        <is>
          <t>Alfonso Durazo</t>
        </is>
      </c>
      <c r="F48" s="45" t="inlineStr">
        <is>
          <t>Governor of Sonora; coordinator of Litio para México</t>
        </is>
      </c>
      <c r="G48" s="45" t="inlineStr">
        <is>
          <t>subnational_gov</t>
        </is>
      </c>
      <c r="H48" s="45" t="inlineStr">
        <is>
          <t>LatAm executive</t>
        </is>
      </c>
      <c r="I48" s="45" t="inlineStr">
        <is>
          <t>MEX</t>
        </is>
      </c>
      <c r="J48" s="45" t="inlineStr">
        <is>
          <t>Morena</t>
        </is>
      </c>
      <c r="K48" s="45" t="inlineStr">
        <is>
          <t>interview</t>
        </is>
      </c>
      <c r="L48" s="45" t="inlineStr">
        <is>
          <t>Appointment as coordinator of LitioMx</t>
        </is>
      </c>
      <c r="M48" s="45" t="inlineStr">
        <is>
          <t>lithium</t>
        </is>
      </c>
      <c r="N48" s="45" t="inlineStr">
        <is>
          <t>253090;282520;283691</t>
        </is>
      </c>
      <c r="O48" s="45" t="inlineStr">
        <is>
          <t>state_control_nationalization;labor_social_conflict;value_added_industrialization</t>
        </is>
      </c>
      <c r="P48" s="45" t="inlineStr">
        <is>
          <t>none</t>
        </is>
      </c>
      <c r="Q48" s="45" t="inlineStr">
        <is>
          <t>not_mentioned</t>
        </is>
      </c>
      <c r="R48" s="45" t="inlineStr">
        <is>
          <t>not_mentioned</t>
        </is>
      </c>
      <c r="S48" s="45" t="inlineStr">
        <is>
          <t>LitioMx</t>
        </is>
      </c>
      <c r="T48" s="45" t="inlineStr">
        <is>
          <t>Durazo said that if lithium exploitation becomes a profitable business its benefits must be shared with local people, and that the Sonora government would hold a stake in LitioMx.</t>
        </is>
      </c>
      <c r="U48" s="45" t="inlineStr">
        <is>
          <t>esos beneficios tienen que ser compartidos con la gente local, si no, para mí francamente no tendría ningún sentido</t>
        </is>
      </c>
      <c r="V48" s="45" t="inlineStr">
        <is>
          <t>those benefits have to be shared with local people; otherwise, frankly, it would make no sense to me</t>
        </is>
      </c>
      <c r="W48" s="45" t="inlineStr">
        <is>
          <t>es</t>
        </is>
      </c>
      <c r="X48" s="45" t="inlineStr">
        <is>
          <t>Expansión Política</t>
        </is>
      </c>
      <c r="Y48" s="45" t="inlineStr">
        <is>
          <t>https://politica.expansion.mx/estados/2022/09/01/durazo-coordinador-de-litio-para-mexico-cuidare-los-intereses-de-la-gente</t>
        </is>
      </c>
      <c r="Z48" s="45" t="inlineStr">
        <is>
          <t>news_media</t>
        </is>
      </c>
      <c r="AA48" s="45" t="inlineStr">
        <is>
          <t>secondary_reported</t>
        </is>
      </c>
      <c r="AB48" s="45" t="inlineStr"/>
      <c r="AC48" s="45" t="inlineStr">
        <is>
          <t>MEX</t>
        </is>
      </c>
    </row>
    <row r="49" ht="15" customHeight="1" s="24">
      <c r="A49" s="45" t="inlineStr">
        <is>
          <t>PS-0048</t>
        </is>
      </c>
      <c r="B49" s="45" t="inlineStr">
        <is>
          <t>2022-09-02</t>
        </is>
      </c>
      <c r="C49" s="45" t="inlineStr">
        <is>
          <t>2022</t>
        </is>
      </c>
      <c r="D49" s="45" t="inlineStr">
        <is>
          <t>COL</t>
        </is>
      </c>
      <c r="E49" s="45" t="inlineStr">
        <is>
          <t>Gustavo Petro</t>
        </is>
      </c>
      <c r="F49" s="45" t="inlineStr">
        <is>
          <t>President of Colombia</t>
        </is>
      </c>
      <c r="G49" s="45" t="inlineStr">
        <is>
          <t>head_of_state</t>
        </is>
      </c>
      <c r="H49" s="45" t="inlineStr">
        <is>
          <t>LatAm executive</t>
        </is>
      </c>
      <c r="I49" s="45" t="inlineStr">
        <is>
          <t>COL</t>
        </is>
      </c>
      <c r="J49" s="45" t="inlineStr">
        <is>
          <t>Pacto Histórico</t>
        </is>
      </c>
      <c r="K49" s="45" t="inlineStr">
        <is>
          <t>speech</t>
        </is>
      </c>
      <c r="L49" s="45" t="inlineStr">
        <is>
          <t>Closing of national mining congress, Cartagena</t>
        </is>
      </c>
      <c r="M49" s="45" t="inlineStr">
        <is>
          <t>critical_minerals_general;mining_general</t>
        </is>
      </c>
      <c r="N49" s="45" t="inlineStr"/>
      <c r="O49" s="45" t="inlineStr">
        <is>
          <t>energy_transition;royalties_taxation</t>
        </is>
      </c>
      <c r="P49" s="45" t="inlineStr">
        <is>
          <t>none</t>
        </is>
      </c>
      <c r="Q49" s="45" t="inlineStr">
        <is>
          <t>not_mentioned</t>
        </is>
      </c>
      <c r="R49" s="45" t="inlineStr">
        <is>
          <t>not_mentioned</t>
        </is>
      </c>
      <c r="S49" s="45" t="inlineStr"/>
      <c r="T49" s="45" t="inlineStr">
        <is>
          <t>Petro told the mining industry that exploration should shift toward minerals for clean energy and fertilizers, and defended taxing coal and oil export windfall profits as world demand for hydrocarbons declines.</t>
        </is>
      </c>
      <c r="U49" s="45" t="inlineStr">
        <is>
          <t>En las áreas en donde se puede explorar busquemos los minerales para las energías limpias. Busquemos los minerales para fertilizar las tierras</t>
        </is>
      </c>
      <c r="V49" s="45" t="inlineStr">
        <is>
          <t>In the areas where exploration is possible, let us look for minerals for clean energy. Let us look for minerals to fertilize the land</t>
        </is>
      </c>
      <c r="W49" s="45" t="inlineStr">
        <is>
          <t>es</t>
        </is>
      </c>
      <c r="X49" s="45" t="inlineStr">
        <is>
          <t>Forbes Perú (EFE)</t>
        </is>
      </c>
      <c r="Y49" s="45" t="inlineStr">
        <is>
          <t>https://forbes.pe/economia-y-finanzas/2022-09-02/colombia-petro-propone-buscar-minerales-para-transformacion-energetica/</t>
        </is>
      </c>
      <c r="Z49" s="45" t="inlineStr">
        <is>
          <t>news_media</t>
        </is>
      </c>
      <c r="AA49" s="45" t="inlineStr">
        <is>
          <t>secondary_reported</t>
        </is>
      </c>
      <c r="AB49" s="45" t="inlineStr">
        <is>
          <t>Also reported by Mining Weekly 2022-09-04.</t>
        </is>
      </c>
      <c r="AC49" s="45" t="inlineStr">
        <is>
          <t>COL_ECU_PAN</t>
        </is>
      </c>
    </row>
    <row r="50" ht="15" customHeight="1" s="24">
      <c r="A50" s="45" t="inlineStr">
        <is>
          <t>PS-0049</t>
        </is>
      </c>
      <c r="B50" s="45" t="inlineStr">
        <is>
          <t>2022-09-14</t>
        </is>
      </c>
      <c r="C50" s="45" t="inlineStr">
        <is>
          <t>2022</t>
        </is>
      </c>
      <c r="D50" s="45" t="inlineStr">
        <is>
          <t>ECU</t>
        </is>
      </c>
      <c r="E50" s="45" t="inlineStr">
        <is>
          <t>Embassy of the People's Republic of China in Ecuador</t>
        </is>
      </c>
      <c r="F50" s="45" t="inlineStr">
        <is>
          <t>Embassy spokesperson</t>
        </is>
      </c>
      <c r="G50" s="45" t="inlineStr">
        <is>
          <t>china_embassy</t>
        </is>
      </c>
      <c r="H50" s="45" t="inlineStr">
        <is>
          <t>China</t>
        </is>
      </c>
      <c r="I50" s="45" t="inlineStr">
        <is>
          <t>CHN</t>
        </is>
      </c>
      <c r="J50" s="45" t="inlineStr"/>
      <c r="K50" s="45" t="inlineStr">
        <is>
          <t>official_statement</t>
        </is>
      </c>
      <c r="L50" s="45" t="inlineStr">
        <is>
          <t>Rebuttal of SOUTHCOM Commander Laura Richardson's remarks at the South American Defense Conference (Southdec)</t>
        </is>
      </c>
      <c r="M50" s="45" t="inlineStr">
        <is>
          <t>mining_general</t>
        </is>
      </c>
      <c r="N50" s="45" t="inlineStr"/>
      <c r="O50" s="45" t="inlineStr">
        <is>
          <t>environment_water;geopolitics_security;foreign_investment;diplomatic_relations</t>
        </is>
      </c>
      <c r="P50" s="45" t="inlineStr">
        <is>
          <t>USA;ECU</t>
        </is>
      </c>
      <c r="Q50" s="45" t="inlineStr">
        <is>
          <t>positive</t>
        </is>
      </c>
      <c r="R50" s="45" t="inlineStr">
        <is>
          <t>negative</t>
        </is>
      </c>
      <c r="S50" s="45" t="inlineStr"/>
      <c r="T50" s="45" t="inlineStr">
        <is>
          <t>The Chinese embassy in Ecuador called Gen. Laura Richardson's claim that large Chinese mining projects were eroding Ecuadorian water sources 'ridiculous', saying Chinese firms follow strict environmental standards and contribute to local development. It accused the US of double standards and of seeking to sow discord between China and Ecuador.</t>
        </is>
      </c>
      <c r="U50" s="45" t="inlineStr">
        <is>
          <t>sus difamaciones no muestran el mínimo respeto a Ecuador</t>
        </is>
      </c>
      <c r="V50" s="45" t="inlineStr">
        <is>
          <t>her defamations show not the slightest respect for Ecuador</t>
        </is>
      </c>
      <c r="W50" s="45" t="inlineStr">
        <is>
          <t>es</t>
        </is>
      </c>
      <c r="X50" s="45" t="inlineStr">
        <is>
          <t>Vistazo</t>
        </is>
      </c>
      <c r="Y50" s="45" t="inlineStr">
        <is>
          <t>https://www.vistazo.com/amp/actualidad/nacional/china-refuta-declaraciones-de-la-comandante-de-ee-uu-intentan-sembrar-discordia-con-ecuador-JX3099391</t>
        </is>
      </c>
      <c r="Z50" s="45" t="inlineStr">
        <is>
          <t>news_media</t>
        </is>
      </c>
      <c r="AA50" s="45" t="inlineStr">
        <is>
          <t>secondary_reported</t>
        </is>
      </c>
      <c r="AB50" s="45" t="inlineStr">
        <is>
          <t>Date per Vistazo report (Wednesday 14 Sep 2022); embassy statement itself not seen.</t>
        </is>
      </c>
      <c r="AC50" s="45" t="inlineStr">
        <is>
          <t>CHN_gov</t>
        </is>
      </c>
    </row>
    <row r="51" ht="15" customHeight="1" s="24">
      <c r="A51" s="45" t="inlineStr">
        <is>
          <t>PS-0050</t>
        </is>
      </c>
      <c r="B51" s="45" t="inlineStr">
        <is>
          <t>2022-09-20</t>
        </is>
      </c>
      <c r="C51" s="45" t="inlineStr">
        <is>
          <t>2022</t>
        </is>
      </c>
      <c r="D51" s="45" t="inlineStr">
        <is>
          <t>BOL</t>
        </is>
      </c>
      <c r="E51" s="45" t="inlineStr">
        <is>
          <t>Luis Arce</t>
        </is>
      </c>
      <c r="F51" s="45" t="inlineStr">
        <is>
          <t>President of Bolivia</t>
        </is>
      </c>
      <c r="G51" s="45" t="inlineStr">
        <is>
          <t>head_of_state</t>
        </is>
      </c>
      <c r="H51" s="45" t="inlineStr">
        <is>
          <t>LatAm executive</t>
        </is>
      </c>
      <c r="I51" s="45" t="inlineStr">
        <is>
          <t>BOL</t>
        </is>
      </c>
      <c r="J51" s="45" t="inlineStr">
        <is>
          <t>Movimiento al Socialismo (MAS)</t>
        </is>
      </c>
      <c r="K51" s="45" t="inlineStr">
        <is>
          <t>speech</t>
        </is>
      </c>
      <c r="L51" s="45" t="inlineStr">
        <is>
          <t>77th UN General Assembly, New York</t>
        </is>
      </c>
      <c r="M51" s="45" t="inlineStr">
        <is>
          <t>lithium</t>
        </is>
      </c>
      <c r="N51" s="45" t="inlineStr">
        <is>
          <t>253090;282520;283691</t>
        </is>
      </c>
      <c r="O51" s="45" t="inlineStr">
        <is>
          <t>sovereignty;geopolitics_security;value_added_industrialization</t>
        </is>
      </c>
      <c r="P51" s="45" t="inlineStr">
        <is>
          <t>none</t>
        </is>
      </c>
      <c r="Q51" s="45" t="inlineStr">
        <is>
          <t>not_mentioned</t>
        </is>
      </c>
      <c r="R51" s="45" t="inlineStr">
        <is>
          <t>not_mentioned</t>
        </is>
      </c>
      <c r="S51" s="45" t="inlineStr"/>
      <c r="T51" s="45" t="inlineStr">
        <is>
          <t>At the UN General Assembly, Arce reaffirmed sovereignty over natural resources such as lithium and rejected interference and destabilization attempts aimed at controlling lithium, urging UN action against countries that do not respect non-interference.</t>
        </is>
      </c>
      <c r="U51" s="45" t="inlineStr">
        <is>
          <t>Rechazamos todo tipo de injerencias y afanes de desestabilización de las democracia en nuestro país, con el afán de controlar el litio</t>
        </is>
      </c>
      <c r="V51" s="45" t="inlineStr">
        <is>
          <t>We reject all kinds of interference and attempts to destabilize democracy in our country with the aim of controlling lithium</t>
        </is>
      </c>
      <c r="W51" s="45" t="inlineStr">
        <is>
          <t>es</t>
        </is>
      </c>
      <c r="X51" s="45" t="inlineStr">
        <is>
          <t>Emol</t>
        </is>
      </c>
      <c r="Y51" s="45" t="inlineStr">
        <is>
          <t>https://www.emol.com/noticias/Internacional/2022/09/20/1073368/arce-onu-medidas-intervencion-litio.html</t>
        </is>
      </c>
      <c r="Z51" s="45" t="inlineStr">
        <is>
          <t>news_media</t>
        </is>
      </c>
      <c r="AA51" s="45" t="inlineStr">
        <is>
          <t>secondary_reported</t>
        </is>
      </c>
      <c r="AB51" s="45" t="inlineStr"/>
      <c r="AC51" s="45" t="inlineStr">
        <is>
          <t>BOL</t>
        </is>
      </c>
    </row>
    <row r="52" ht="15" customHeight="1" s="24">
      <c r="A52" s="45" t="inlineStr">
        <is>
          <t>PS-0051</t>
        </is>
      </c>
      <c r="B52" s="45" t="inlineStr">
        <is>
          <t>2022-09-21</t>
        </is>
      </c>
      <c r="C52" s="45" t="inlineStr">
        <is>
          <t>2022</t>
        </is>
      </c>
      <c r="D52" s="45" t="inlineStr">
        <is>
          <t>ARG</t>
        </is>
      </c>
      <c r="E52" s="45" t="inlineStr">
        <is>
          <t>Sabino Vaca Narvaja</t>
        </is>
      </c>
      <c r="F52" s="45" t="inlineStr">
        <is>
          <t>Argentine Ambassador to China</t>
        </is>
      </c>
      <c r="G52" s="45" t="inlineStr">
        <is>
          <t>other_executive</t>
        </is>
      </c>
      <c r="H52" s="45" t="inlineStr">
        <is>
          <t>LatAm executive</t>
        </is>
      </c>
      <c r="I52" s="45" t="inlineStr">
        <is>
          <t>ARG</t>
        </is>
      </c>
      <c r="J52" s="45" t="inlineStr">
        <is>
          <t>Frente de Todos</t>
        </is>
      </c>
      <c r="K52" s="45" t="inlineStr">
        <is>
          <t>speech</t>
        </is>
      </c>
      <c r="L52" s="45" t="inlineStr">
        <is>
          <t>China Mining fair opening, Tianjin</t>
        </is>
      </c>
      <c r="M52" s="45" t="inlineStr">
        <is>
          <t>mining_general;lithium</t>
        </is>
      </c>
      <c r="N52" s="45" t="inlineStr">
        <is>
          <t>253090;282520;283691</t>
        </is>
      </c>
      <c r="O52" s="45" t="inlineStr">
        <is>
          <t>foreign_investment;diplomatic_relations</t>
        </is>
      </c>
      <c r="P52" s="45" t="inlineStr">
        <is>
          <t>CHN</t>
        </is>
      </c>
      <c r="Q52" s="45" t="inlineStr">
        <is>
          <t>positive</t>
        </is>
      </c>
      <c r="R52" s="45" t="inlineStr">
        <is>
          <t>not_mentioned</t>
        </is>
      </c>
      <c r="S52" s="45" t="inlineStr"/>
      <c r="T52" s="45" t="inlineStr">
        <is>
          <t>Vaca Narvaja, the only foreign speaker at the ceremony, promoted Argentina as a land of mining opportunity with clear rules and said China will play a key role in Argentine mining development.</t>
        </is>
      </c>
      <c r="U52" s="45" t="inlineStr">
        <is>
          <t>China jugará un papel clave en el desarrollo minero argentino</t>
        </is>
      </c>
      <c r="V52" s="45" t="inlineStr">
        <is>
          <t>China will play a key role in Argentine mining development</t>
        </is>
      </c>
      <c r="W52" s="45" t="inlineStr">
        <is>
          <t>es</t>
        </is>
      </c>
      <c r="X52" s="45" t="inlineStr">
        <is>
          <t>Tiempo Argentino</t>
        </is>
      </c>
      <c r="Y52" s="45" t="inlineStr">
        <is>
          <t>https://www.tiempoar.com.ar/ta_article/argentina-en-busca-de-inversiones-chinas-para-grandes-proyectos-mineros/</t>
        </is>
      </c>
      <c r="Z52" s="45" t="inlineStr">
        <is>
          <t>news_media</t>
        </is>
      </c>
      <c r="AA52" s="45" t="inlineStr">
        <is>
          <t>secondary_reported</t>
        </is>
      </c>
      <c r="AB52" s="45" t="inlineStr"/>
      <c r="AC52" s="45" t="inlineStr">
        <is>
          <t>ARG</t>
        </is>
      </c>
    </row>
    <row r="53" ht="15" customHeight="1" s="24">
      <c r="A53" s="45" t="inlineStr">
        <is>
          <t>PS-0052</t>
        </is>
      </c>
      <c r="B53" s="45" t="inlineStr">
        <is>
          <t>2022-09-22</t>
        </is>
      </c>
      <c r="C53" s="45" t="inlineStr">
        <is>
          <t>2022</t>
        </is>
      </c>
      <c r="D53" s="45" t="inlineStr">
        <is>
          <t>ARG</t>
        </is>
      </c>
      <c r="E53" s="45" t="inlineStr">
        <is>
          <t>Alberto Fernández</t>
        </is>
      </c>
      <c r="F53" s="45" t="inlineStr">
        <is>
          <t>President of Argentina</t>
        </is>
      </c>
      <c r="G53" s="45" t="inlineStr">
        <is>
          <t>head_of_state</t>
        </is>
      </c>
      <c r="H53" s="45" t="inlineStr">
        <is>
          <t>LatAm executive</t>
        </is>
      </c>
      <c r="I53" s="45" t="inlineStr">
        <is>
          <t>ARG</t>
        </is>
      </c>
      <c r="J53" s="45" t="inlineStr">
        <is>
          <t>Frente de Todos</t>
        </is>
      </c>
      <c r="K53" s="45" t="inlineStr">
        <is>
          <t>speech</t>
        </is>
      </c>
      <c r="L53" s="45" t="inlineStr">
        <is>
          <t>Talk at The New School, New York</t>
        </is>
      </c>
      <c r="M53" s="45" t="inlineStr">
        <is>
          <t>lithium</t>
        </is>
      </c>
      <c r="N53" s="45" t="inlineStr">
        <is>
          <t>253090;282520;283691</t>
        </is>
      </c>
      <c r="O53" s="45" t="inlineStr">
        <is>
          <t>state_control_nationalization;sovereignty</t>
        </is>
      </c>
      <c r="P53" s="45" t="inlineStr">
        <is>
          <t>CHL;BOL</t>
        </is>
      </c>
      <c r="Q53" s="45" t="inlineStr">
        <is>
          <t>not_mentioned</t>
        </is>
      </c>
      <c r="R53" s="45" t="inlineStr">
        <is>
          <t>not_mentioned</t>
        </is>
      </c>
      <c r="S53" s="45" t="inlineStr"/>
      <c r="T53" s="45" t="inlineStr">
        <is>
          <t>Fernández said lithium should be considered a strategic resource while respecting that it belongs to the provinces under Argentina's federal system, contrasting Chile's and Bolivia's models.</t>
        </is>
      </c>
      <c r="U53" s="45" t="inlineStr">
        <is>
          <t>Debemos considerar el litio como un recurso estratégico</t>
        </is>
      </c>
      <c r="V53" s="45" t="inlineStr">
        <is>
          <t>We must consider lithium a strategic resource</t>
        </is>
      </c>
      <c r="W53" s="45" t="inlineStr">
        <is>
          <t>es</t>
        </is>
      </c>
      <c r="X53" s="45" t="inlineStr">
        <is>
          <t>Reporte Minero</t>
        </is>
      </c>
      <c r="Y53" s="45" t="inlineStr">
        <is>
          <t>https://www.reporteminero.cl/noticia/noticias/2022/09/presidente-alberto-fernandez-propuso-declarar-litio-recurso-estrategico</t>
        </is>
      </c>
      <c r="Z53" s="45" t="inlineStr">
        <is>
          <t>news_media</t>
        </is>
      </c>
      <c r="AA53" s="45" t="inlineStr">
        <is>
          <t>secondary_reported</t>
        </is>
      </c>
      <c r="AB53" s="45" t="inlineStr"/>
      <c r="AC53" s="45" t="inlineStr">
        <is>
          <t>ARG</t>
        </is>
      </c>
    </row>
    <row r="54" ht="15" customHeight="1" s="24">
      <c r="A54" s="45" t="inlineStr">
        <is>
          <t>PS-0053</t>
        </is>
      </c>
      <c r="B54" s="45" t="inlineStr">
        <is>
          <t>2022-09-23</t>
        </is>
      </c>
      <c r="C54" s="45" t="inlineStr">
        <is>
          <t>2022</t>
        </is>
      </c>
      <c r="D54" s="45" t="inlineStr">
        <is>
          <t>BOL</t>
        </is>
      </c>
      <c r="E54" s="45" t="inlineStr">
        <is>
          <t>Evo Morales</t>
        </is>
      </c>
      <c r="F54" s="45" t="inlineStr">
        <is>
          <t>Former President of Bolivia; MAS leader</t>
        </is>
      </c>
      <c r="G54" s="45" t="inlineStr">
        <is>
          <t>other</t>
        </is>
      </c>
      <c r="H54" s="45" t="inlineStr">
        <is>
          <t>Other (business, civil society, third countries)</t>
        </is>
      </c>
      <c r="I54" s="45" t="inlineStr">
        <is>
          <t>BOL</t>
        </is>
      </c>
      <c r="J54" s="45" t="inlineStr">
        <is>
          <t>Movimiento al Socialismo (MAS)</t>
        </is>
      </c>
      <c r="K54" s="45" t="inlineStr">
        <is>
          <t>social_media_post</t>
        </is>
      </c>
      <c r="L54" s="45" t="inlineStr">
        <is>
          <t>Claims about UK role in 2019 crisis</t>
        </is>
      </c>
      <c r="M54" s="45" t="inlineStr">
        <is>
          <t>lithium</t>
        </is>
      </c>
      <c r="N54" s="45" t="inlineStr">
        <is>
          <t>253090;282520;283691</t>
        </is>
      </c>
      <c r="O54" s="45" t="inlineStr">
        <is>
          <t>sovereignty;geopolitics_security;diplomatic_relations</t>
        </is>
      </c>
      <c r="P54" s="45" t="inlineStr">
        <is>
          <t>GBR</t>
        </is>
      </c>
      <c r="Q54" s="45" t="inlineStr">
        <is>
          <t>not_mentioned</t>
        </is>
      </c>
      <c r="R54" s="45" t="inlineStr">
        <is>
          <t>not_mentioned</t>
        </is>
      </c>
      <c r="S54" s="45" t="inlineStr">
        <is>
          <t>British Embassy in La Paz</t>
        </is>
      </c>
      <c r="T54" s="45" t="inlineStr">
        <is>
          <t>Morales tweeted that evidence showed the 2019 'coup' was financed by the United Kingdom and its ambassador Jeff Glekin to take control of Bolivian lithium.</t>
        </is>
      </c>
      <c r="U54" s="45" t="inlineStr">
        <is>
          <t>Ante la evidencia de que el golpe de Estado fue financiado por el Reino Unido y su embajador @jeffglekin para adueñarse del litio boliviano</t>
        </is>
      </c>
      <c r="V54" s="45" t="inlineStr">
        <is>
          <t>Given the evidence that the coup d'état was financed by the United Kingdom and its ambassador @jeffglekin to take over Bolivian lithium</t>
        </is>
      </c>
      <c r="W54" s="45" t="inlineStr">
        <is>
          <t>es</t>
        </is>
      </c>
      <c r="X54" s="45" t="inlineStr">
        <is>
          <t>Correo del Sur</t>
        </is>
      </c>
      <c r="Y54" s="45" t="inlineStr">
        <is>
          <t>https://correodelsur.com/politica/20220923/evo-dice-que-reino-unido-financio-un-golpe-en-2019-para-aduenarse-del-litio-boliviano.html</t>
        </is>
      </c>
      <c r="Z54" s="45" t="inlineStr">
        <is>
          <t>news_media</t>
        </is>
      </c>
      <c r="AA54" s="45" t="inlineStr">
        <is>
          <t>secondary_reported</t>
        </is>
      </c>
      <c r="AB54" s="45" t="inlineStr"/>
      <c r="AC54" s="45" t="inlineStr">
        <is>
          <t>BOL</t>
        </is>
      </c>
    </row>
    <row r="55" ht="15" customHeight="1" s="24">
      <c r="A55" s="45" t="inlineStr">
        <is>
          <t>PS-0054</t>
        </is>
      </c>
      <c r="B55" s="45" t="inlineStr">
        <is>
          <t>2022-09-30</t>
        </is>
      </c>
      <c r="C55" s="45" t="inlineStr">
        <is>
          <t>2022</t>
        </is>
      </c>
      <c r="D55" s="45" t="inlineStr">
        <is>
          <t>ARG</t>
        </is>
      </c>
      <c r="E55" s="45" t="inlineStr">
        <is>
          <t>Gerardo Morales</t>
        </is>
      </c>
      <c r="F55" s="45" t="inlineStr">
        <is>
          <t>Governor of Jujuy</t>
        </is>
      </c>
      <c r="G55" s="45" t="inlineStr">
        <is>
          <t>subnational_gov</t>
        </is>
      </c>
      <c r="H55" s="45" t="inlineStr">
        <is>
          <t>LatAm executive</t>
        </is>
      </c>
      <c r="I55" s="45" t="inlineStr">
        <is>
          <t>ARG</t>
        </is>
      </c>
      <c r="J55" s="45" t="inlineStr">
        <is>
          <t>UCR</t>
        </is>
      </c>
      <c r="K55" s="45" t="inlineStr">
        <is>
          <t>speech</t>
        </is>
      </c>
      <c r="L55" s="45" t="inlineStr">
        <is>
          <t>Presentation to US State Department and Department of Energy with governors Sáenz and Jalil</t>
        </is>
      </c>
      <c r="M55" s="45" t="inlineStr">
        <is>
          <t>lithium</t>
        </is>
      </c>
      <c r="N55" s="45" t="inlineStr">
        <is>
          <t>253090;282520;283691</t>
        </is>
      </c>
      <c r="O55" s="45" t="inlineStr">
        <is>
          <t>foreign_investment;energy_transition;diplomatic_relations</t>
        </is>
      </c>
      <c r="P55" s="45" t="inlineStr">
        <is>
          <t>USA</t>
        </is>
      </c>
      <c r="Q55" s="45" t="inlineStr">
        <is>
          <t>not_mentioned</t>
        </is>
      </c>
      <c r="R55" s="45" t="inlineStr">
        <is>
          <t>positive</t>
        </is>
      </c>
      <c r="S55" s="45" t="inlineStr"/>
      <c r="T55" s="45" t="inlineStr">
        <is>
          <t>Morales told US officials it is very important to deepen ties with the US and hoped more US companies would invest in the lithium provinces, calling lithium a strategic and critical mineral for the energy transition.</t>
        </is>
      </c>
      <c r="U55" s="45" t="inlineStr">
        <is>
          <t>Para nosotros es sumamente importante profundizar la relación bilateral con Estados Unidos y esperar así que más empresas norteamericanas inviertan en nuestras provincias</t>
        </is>
      </c>
      <c r="V55" s="45" t="inlineStr">
        <is>
          <t>For us it is extremely important to deepen the bilateral relationship with the United States and thus hope more American companies invest in our provinces</t>
        </is>
      </c>
      <c r="W55" s="45" t="inlineStr">
        <is>
          <t>es</t>
        </is>
      </c>
      <c r="X55" s="45" t="inlineStr">
        <is>
          <t>TodoJujuy</t>
        </is>
      </c>
      <c r="Y55" s="45" t="inlineStr">
        <is>
          <t>https://www.todojujuy.com/jujuy/gerardo-morales-expuso-el-litio-y-los-proyectos-mineros-n225633</t>
        </is>
      </c>
      <c r="Z55" s="45" t="inlineStr">
        <is>
          <t>news_media</t>
        </is>
      </c>
      <c r="AA55" s="45" t="inlineStr">
        <is>
          <t>secondary_reported</t>
        </is>
      </c>
      <c r="AB55" s="45" t="inlineStr"/>
      <c r="AC55" s="45" t="inlineStr">
        <is>
          <t>ARG</t>
        </is>
      </c>
    </row>
    <row r="56" ht="15" customHeight="1" s="24">
      <c r="A56" s="45" t="inlineStr">
        <is>
          <t>PS-0055</t>
        </is>
      </c>
      <c r="B56" s="45" t="inlineStr">
        <is>
          <t>2022-10-24</t>
        </is>
      </c>
      <c r="C56" s="45" t="inlineStr">
        <is>
          <t>2022</t>
        </is>
      </c>
      <c r="D56" s="45" t="inlineStr">
        <is>
          <t>PER</t>
        </is>
      </c>
      <c r="E56" s="45" t="inlineStr">
        <is>
          <t>Song Yang</t>
        </is>
      </c>
      <c r="F56" s="45" t="inlineStr">
        <is>
          <t>Chinese Ambassador to Peru</t>
        </is>
      </c>
      <c r="G56" s="45" t="inlineStr">
        <is>
          <t>china_embassy</t>
        </is>
      </c>
      <c r="H56" s="45" t="inlineStr">
        <is>
          <t>China</t>
        </is>
      </c>
      <c r="I56" s="45" t="inlineStr">
        <is>
          <t>CHN</t>
        </is>
      </c>
      <c r="J56" s="45" t="inlineStr">
        <is>
          <t>CCP</t>
        </is>
      </c>
      <c r="K56" s="45" t="inlineStr">
        <is>
          <t>interview</t>
        </is>
      </c>
      <c r="L56" s="45" t="inlineStr">
        <is>
          <t>Interview with El Peruano on bilateral relations</t>
        </is>
      </c>
      <c r="M56" s="45" t="inlineStr">
        <is>
          <t>mining_general;copper</t>
        </is>
      </c>
      <c r="N56" s="45" t="inlineStr">
        <is>
          <t>260300;740200;740311</t>
        </is>
      </c>
      <c r="O56" s="45" t="inlineStr">
        <is>
          <t>foreign_investment;infrastructure_ports;diplomatic_relations</t>
        </is>
      </c>
      <c r="P56" s="45" t="inlineStr">
        <is>
          <t>CHN</t>
        </is>
      </c>
      <c r="Q56" s="45" t="inlineStr">
        <is>
          <t>positive</t>
        </is>
      </c>
      <c r="R56" s="45" t="inlineStr">
        <is>
          <t>not_mentioned</t>
        </is>
      </c>
      <c r="S56" s="45" t="inlineStr">
        <is>
          <t>Puerto de Chancay; Chinese mining companies</t>
        </is>
      </c>
      <c r="T56" s="45" t="inlineStr">
        <is>
          <t>Song Yang said more than 10 Chinese mining companies had invested over US$23.1 billion in Peru, paying taxes and creating jobs, and presented Chancay port as a future integrated maritime hub for Latin America.</t>
        </is>
      </c>
      <c r="U56" s="45" t="inlineStr">
        <is>
          <t>Más de 10 empresas mineras chinas han invertido en el Perú, con una inversión total de más de 23.1 mil millones de dólares.</t>
        </is>
      </c>
      <c r="V56" s="45" t="inlineStr">
        <is>
          <t>More than 10 Chinese mining companies have invested in Peru, with total investment of over 23.1 billion dollars.</t>
        </is>
      </c>
      <c r="W56" s="45" t="inlineStr">
        <is>
          <t>es</t>
        </is>
      </c>
      <c r="X56" s="45" t="inlineStr">
        <is>
          <t>El Peruano</t>
        </is>
      </c>
      <c r="Y56" s="45" t="inlineStr">
        <is>
          <t>https://elperuano.pe/noticia/195514-embajador-song-yang-el-peru-y-china-estan-en-un-momento-crucial-de-transformacion-y-crecimiento</t>
        </is>
      </c>
      <c r="Z56" s="45" t="inlineStr">
        <is>
          <t>primary_official</t>
        </is>
      </c>
      <c r="AA56" s="45" t="inlineStr">
        <is>
          <t>primary_verified</t>
        </is>
      </c>
      <c r="AB56" s="45" t="inlineStr">
        <is>
          <t>El Peruano is the state gazette/newspaper</t>
        </is>
      </c>
      <c r="AC56" s="45" t="inlineStr">
        <is>
          <t>PER</t>
        </is>
      </c>
    </row>
    <row r="57" ht="15" customHeight="1" s="24">
      <c r="A57" s="45" t="inlineStr">
        <is>
          <t>PS-0056</t>
        </is>
      </c>
      <c r="B57" s="45" t="inlineStr">
        <is>
          <t>2022-11-04</t>
        </is>
      </c>
      <c r="C57" s="45" t="inlineStr">
        <is>
          <t>2022</t>
        </is>
      </c>
      <c r="D57" s="45" t="inlineStr">
        <is>
          <t>ARG</t>
        </is>
      </c>
      <c r="E57" s="45" t="inlineStr">
        <is>
          <t>Sabino Vaca Narvaja</t>
        </is>
      </c>
      <c r="F57" s="45" t="inlineStr">
        <is>
          <t>Argentine Ambassador to China</t>
        </is>
      </c>
      <c r="G57" s="45" t="inlineStr">
        <is>
          <t>other_executive</t>
        </is>
      </c>
      <c r="H57" s="45" t="inlineStr">
        <is>
          <t>LatAm executive</t>
        </is>
      </c>
      <c r="I57" s="45" t="inlineStr">
        <is>
          <t>ARG</t>
        </is>
      </c>
      <c r="J57" s="45" t="inlineStr">
        <is>
          <t>Frente de Todos</t>
        </is>
      </c>
      <c r="K57" s="45" t="inlineStr">
        <is>
          <t>speech</t>
        </is>
      </c>
      <c r="L57" s="45" t="inlineStr">
        <is>
          <t>China International Import Expo, Shanghai; Tibet Summit lithium announcement</t>
        </is>
      </c>
      <c r="M57" s="45" t="inlineStr">
        <is>
          <t>lithium</t>
        </is>
      </c>
      <c r="N57" s="45" t="inlineStr">
        <is>
          <t>253090;282520;283691</t>
        </is>
      </c>
      <c r="O57" s="45" t="inlineStr">
        <is>
          <t>foreign_investment;value_added_industrialization</t>
        </is>
      </c>
      <c r="P57" s="45" t="inlineStr">
        <is>
          <t>CHN</t>
        </is>
      </c>
      <c r="Q57" s="45" t="inlineStr">
        <is>
          <t>positive</t>
        </is>
      </c>
      <c r="R57" s="45" t="inlineStr">
        <is>
          <t>not_mentioned</t>
        </is>
      </c>
      <c r="S57" s="45" t="inlineStr">
        <is>
          <t>Tibet Summit Resources; Salar de Diablillos; Salar de Arizaro</t>
        </is>
      </c>
      <c r="T57" s="45" t="inlineStr">
        <is>
          <t>At the CIIE, where Tibet Summit announced over US$2bn of lithium investment in Salta, Vaca Narvaja said China dominates the entire lithium chain and Argentina should exploit its privileged position hand in hand with China.</t>
        </is>
      </c>
      <c r="U57" s="45" t="inlineStr">
        <is>
          <t>Nuestro país tiene una posición privilegiada y debemos, explotarla al máximo de la mano de China</t>
        </is>
      </c>
      <c r="V57" s="45" t="inlineStr">
        <is>
          <t>Our country has a privileged position and we must exploit it to the fullest hand in hand with China</t>
        </is>
      </c>
      <c r="W57" s="45" t="inlineStr">
        <is>
          <t>es</t>
        </is>
      </c>
      <c r="X57" s="45" t="inlineStr">
        <is>
          <t>La Voz de San Justo</t>
        </is>
      </c>
      <c r="Y57" s="45" t="inlineStr">
        <is>
          <t>https://www.lavozdesanjusto.com.ar/una-empresa-china-anuncio-inversiones-en-litio-por-us2200-millones-128580</t>
        </is>
      </c>
      <c r="Z57" s="45" t="inlineStr">
        <is>
          <t>news_media</t>
        </is>
      </c>
      <c r="AA57" s="45" t="inlineStr">
        <is>
          <t>secondary_reported</t>
        </is>
      </c>
      <c r="AB57" s="45" t="inlineStr">
        <is>
          <t>Also reported by Cancillería (fetch timed out).</t>
        </is>
      </c>
      <c r="AC57" s="45" t="inlineStr">
        <is>
          <t>ARG</t>
        </is>
      </c>
    </row>
    <row r="58" ht="15" customHeight="1" s="24">
      <c r="A58" s="45" t="inlineStr">
        <is>
          <t>PS-0057</t>
        </is>
      </c>
      <c r="B58" s="45" t="inlineStr">
        <is>
          <t>2022-12-16</t>
        </is>
      </c>
      <c r="C58" s="45" t="inlineStr">
        <is>
          <t>2022</t>
        </is>
      </c>
      <c r="D58" s="45" t="inlineStr">
        <is>
          <t>PAN</t>
        </is>
      </c>
      <c r="E58" s="45" t="inlineStr">
        <is>
          <t>Government of Panama</t>
        </is>
      </c>
      <c r="F58" s="45" t="inlineStr">
        <is>
          <t>Executive (Cortizo administration)</t>
        </is>
      </c>
      <c r="G58" s="45" t="inlineStr">
        <is>
          <t>other_executive</t>
        </is>
      </c>
      <c r="H58" s="45" t="inlineStr">
        <is>
          <t>LatAm executive</t>
        </is>
      </c>
      <c r="I58" s="45" t="inlineStr">
        <is>
          <t>PAN</t>
        </is>
      </c>
      <c r="J58" s="45" t="inlineStr">
        <is>
          <t>PRD</t>
        </is>
      </c>
      <c r="K58" s="45" t="inlineStr">
        <is>
          <t>official_statement</t>
        </is>
      </c>
      <c r="L58" s="45" t="inlineStr">
        <is>
          <t>Breakdown of Cobre Panamá contract negotiations</t>
        </is>
      </c>
      <c r="M58" s="45" t="inlineStr">
        <is>
          <t>copper</t>
        </is>
      </c>
      <c r="N58" s="45" t="inlineStr">
        <is>
          <t>260300;740200;740311</t>
        </is>
      </c>
      <c r="O58" s="45" t="inlineStr">
        <is>
          <t>royalties_taxation;foreign_investment;sovereignty</t>
        </is>
      </c>
      <c r="P58" s="45" t="inlineStr">
        <is>
          <t>CAN</t>
        </is>
      </c>
      <c r="Q58" s="45" t="inlineStr">
        <is>
          <t>not_mentioned</t>
        </is>
      </c>
      <c r="R58" s="45" t="inlineStr">
        <is>
          <t>not_mentioned</t>
        </is>
      </c>
      <c r="S58" s="45" t="inlineStr">
        <is>
          <t>Cobre Panamá; First Quantum; Minera Panamá</t>
        </is>
      </c>
      <c r="T58" s="45" t="inlineStr">
        <is>
          <t>Panama's government halted talks with First Quantum and announced it would order suspension of Cobre Panamá operations, seeking a new contract with at least USD 375 million a year in taxes and royalties.</t>
        </is>
      </c>
      <c r="U58" s="45" t="inlineStr"/>
      <c r="V58" s="45" t="inlineStr"/>
      <c r="W58" s="45" t="inlineStr">
        <is>
          <t>en</t>
        </is>
      </c>
      <c r="X58" s="45" t="inlineStr">
        <is>
          <t>First Quantum Minerals (company release)</t>
        </is>
      </c>
      <c r="Y58" s="45" t="inlineStr">
        <is>
          <t>https://www.first-quantum.com/news/first-quantum-minerals-responds-to-latest-developments-in-panama/</t>
        </is>
      </c>
      <c r="Z58" s="45" t="inlineStr">
        <is>
          <t>news_media</t>
        </is>
      </c>
      <c r="AA58" s="45" t="inlineStr">
        <is>
          <t>secondary_reported</t>
        </is>
      </c>
      <c r="AB58" s="45" t="inlineStr">
        <is>
          <t>Government position as described by the company; source is corporate.</t>
        </is>
      </c>
      <c r="AC58" s="45" t="inlineStr">
        <is>
          <t>COL_ECU_PAN</t>
        </is>
      </c>
    </row>
    <row r="59" ht="15" customHeight="1" s="24">
      <c r="A59" s="45" t="inlineStr">
        <is>
          <t>PS-0058</t>
        </is>
      </c>
      <c r="B59" s="45" t="inlineStr">
        <is>
          <t>2023-01-16</t>
        </is>
      </c>
      <c r="C59" s="45" t="inlineStr">
        <is>
          <t>2023</t>
        </is>
      </c>
      <c r="D59" s="45" t="inlineStr">
        <is>
          <t>COL</t>
        </is>
      </c>
      <c r="E59" s="45" t="inlineStr">
        <is>
          <t>Gustavo Petro</t>
        </is>
      </c>
      <c r="F59" s="45" t="inlineStr">
        <is>
          <t>President of Colombia</t>
        </is>
      </c>
      <c r="G59" s="45" t="inlineStr">
        <is>
          <t>head_of_state</t>
        </is>
      </c>
      <c r="H59" s="45" t="inlineStr">
        <is>
          <t>LatAm executive</t>
        </is>
      </c>
      <c r="I59" s="45" t="inlineStr">
        <is>
          <t>COL</t>
        </is>
      </c>
      <c r="J59" s="45" t="inlineStr">
        <is>
          <t>Pacto Histórico</t>
        </is>
      </c>
      <c r="K59" s="45" t="inlineStr">
        <is>
          <t>speech</t>
        </is>
      </c>
      <c r="L59" s="45" t="inlineStr">
        <is>
          <t>Public event in Jericó, Antioquia</t>
        </is>
      </c>
      <c r="M59" s="45" t="inlineStr">
        <is>
          <t>copper</t>
        </is>
      </c>
      <c r="N59" s="45" t="inlineStr">
        <is>
          <t>260300;740200;740311</t>
        </is>
      </c>
      <c r="O59" s="45" t="inlineStr">
        <is>
          <t>environment_water;labor_social_conflict</t>
        </is>
      </c>
      <c r="P59" s="45" t="inlineStr">
        <is>
          <t>none</t>
        </is>
      </c>
      <c r="Q59" s="45" t="inlineStr">
        <is>
          <t>not_mentioned</t>
        </is>
      </c>
      <c r="R59" s="45" t="inlineStr">
        <is>
          <t>not_mentioned</t>
        </is>
      </c>
      <c r="S59" s="45" t="inlineStr">
        <is>
          <t>Quebradona; AngloGold Ashanti</t>
        </is>
      </c>
      <c r="T59" s="45" t="inlineStr">
        <is>
          <t>Petro announced a ban on mining in Jericó, where AngloGold Ashanti's Quebradona copper project awaits licensing, said all mining titles would be reviewed against water protection, and announced a reform of the Mining Code.</t>
        </is>
      </c>
      <c r="U59" s="45" t="inlineStr">
        <is>
          <t>Entonces, nosotros escogemos el agua</t>
        </is>
      </c>
      <c r="V59" s="45" t="inlineStr">
        <is>
          <t>So we choose water</t>
        </is>
      </c>
      <c r="W59" s="45" t="inlineStr">
        <is>
          <t>es</t>
        </is>
      </c>
      <c r="X59" s="45" t="inlineStr">
        <is>
          <t>Valora Analitik</t>
        </is>
      </c>
      <c r="Y59" s="45" t="inlineStr">
        <is>
          <t>https://www.valoraanalitik.com/colombia-prohibir-mineria-en-jerico-petro-dejo-por-fuera-a-400-promineros/</t>
        </is>
      </c>
      <c r="Z59" s="45" t="inlineStr">
        <is>
          <t>news_media</t>
        </is>
      </c>
      <c r="AA59" s="45" t="inlineStr">
        <is>
          <t>secondary_reported</t>
        </is>
      </c>
      <c r="AB59" s="45" t="inlineStr"/>
      <c r="AC59" s="45" t="inlineStr">
        <is>
          <t>COL_ECU_PAN</t>
        </is>
      </c>
    </row>
    <row r="60" ht="15" customHeight="1" s="24">
      <c r="A60" s="45" t="inlineStr">
        <is>
          <t>PS-0059</t>
        </is>
      </c>
      <c r="B60" s="45" t="inlineStr">
        <is>
          <t>2023-01-19</t>
        </is>
      </c>
      <c r="C60" s="45" t="inlineStr">
        <is>
          <t>2023</t>
        </is>
      </c>
      <c r="D60" s="45" t="inlineStr">
        <is>
          <t>REG</t>
        </is>
      </c>
      <c r="E60" s="45" t="inlineStr">
        <is>
          <t>Laura Richardson</t>
        </is>
      </c>
      <c r="F60" s="45" t="inlineStr">
        <is>
          <t>Commander, U.S. Southern Command</t>
        </is>
      </c>
      <c r="G60" s="45" t="inlineStr">
        <is>
          <t>us_central_gov</t>
        </is>
      </c>
      <c r="H60" s="45" t="inlineStr">
        <is>
          <t>United States</t>
        </is>
      </c>
      <c r="I60" s="45" t="inlineStr">
        <is>
          <t>USA</t>
        </is>
      </c>
      <c r="J60" s="45" t="inlineStr">
        <is>
          <t>U.S. Department of Defense</t>
        </is>
      </c>
      <c r="K60" s="45" t="inlineStr">
        <is>
          <t>interview</t>
        </is>
      </c>
      <c r="L60" s="45" t="inlineStr">
        <is>
          <t>Atlantic Council video conversation</t>
        </is>
      </c>
      <c r="M60" s="45" t="inlineStr">
        <is>
          <t>lithium;rare_earths;copper</t>
        </is>
      </c>
      <c r="N60" s="45" t="inlineStr">
        <is>
          <t>253090;260300;282520;283691;284690;740200;740311</t>
        </is>
      </c>
      <c r="O60" s="45" t="inlineStr">
        <is>
          <t>geopolitics_security</t>
        </is>
      </c>
      <c r="P60" s="45" t="inlineStr">
        <is>
          <t>CHN;RUS;ARG;BOL;CHL</t>
        </is>
      </c>
      <c r="Q60" s="45" t="inlineStr">
        <is>
          <t>negative</t>
        </is>
      </c>
      <c r="R60" s="45" t="inlineStr">
        <is>
          <t>positive</t>
        </is>
      </c>
      <c r="S60" s="45" t="inlineStr"/>
      <c r="T60" s="45" t="inlineStr">
        <is>
          <t>SOUTHCOM commander said Latin America matters to US security because of its resources, citing the 'lithium triangle' of Argentina, Bolivia and Chile with about 60% of world lithium, plus rare earth elements, oil and fresh water, and said the US must step up its game against adversaries.</t>
        </is>
      </c>
      <c r="U60" s="45" t="inlineStr">
        <is>
          <t>Why this region matters with all its rich resource and rare earth elements, you've got the lithium triangle which is needed for technology today.</t>
        </is>
      </c>
      <c r="V60" s="45" t="inlineStr">
        <is>
          <t>Why this region matters with all its rich resource and rare earth elements, you've got the lithium triangle which is needed for technology today.</t>
        </is>
      </c>
      <c r="W60" s="45" t="inlineStr">
        <is>
          <t>en</t>
        </is>
      </c>
      <c r="X60" s="45" t="inlineStr">
        <is>
          <t>Buenos Aires Herald</t>
        </is>
      </c>
      <c r="Y60" s="45" t="inlineStr">
        <is>
          <t>https://www.buenosairesherald.com/world/international-relations/defense-ministry-held-meetings-with-us-southern-command</t>
        </is>
      </c>
      <c r="Z60" s="45" t="inlineStr">
        <is>
          <t>news_media</t>
        </is>
      </c>
      <c r="AA60" s="45" t="inlineStr">
        <is>
          <t>secondary_reported</t>
        </is>
      </c>
      <c r="AB60" s="45" t="inlineStr">
        <is>
          <t>Quote as reported by Buenos Aires Herald; Spanish coverage (Conclusión https://www.conclusion.com.ar/?p=985547) adds '60% of the world's lithium is in the lithium triangle'.</t>
        </is>
      </c>
      <c r="AC60" s="45" t="inlineStr">
        <is>
          <t>USA_gov</t>
        </is>
      </c>
    </row>
    <row r="61" ht="15" customHeight="1" s="24">
      <c r="A61" s="45" t="inlineStr">
        <is>
          <t>PS-0060</t>
        </is>
      </c>
      <c r="B61" s="45" t="inlineStr">
        <is>
          <t>2023-01-20</t>
        </is>
      </c>
      <c r="C61" s="45" t="inlineStr">
        <is>
          <t>2023</t>
        </is>
      </c>
      <c r="D61" s="45" t="inlineStr">
        <is>
          <t>BOL</t>
        </is>
      </c>
      <c r="E61" s="45" t="inlineStr">
        <is>
          <t>Luis Arce</t>
        </is>
      </c>
      <c r="F61" s="45" t="inlineStr">
        <is>
          <t>President of Bolivia</t>
        </is>
      </c>
      <c r="G61" s="45" t="inlineStr">
        <is>
          <t>head_of_state</t>
        </is>
      </c>
      <c r="H61" s="45" t="inlineStr">
        <is>
          <t>LatAm executive</t>
        </is>
      </c>
      <c r="I61" s="45" t="inlineStr">
        <is>
          <t>BOL</t>
        </is>
      </c>
      <c r="J61" s="45" t="inlineStr">
        <is>
          <t>Movimiento al Socialismo (MAS)</t>
        </is>
      </c>
      <c r="K61" s="45" t="inlineStr">
        <is>
          <t>speech</t>
        </is>
      </c>
      <c r="L61" s="45" t="inlineStr">
        <is>
          <t>Signing of DLE agreement between YLB and CBC consortium, La Paz</t>
        </is>
      </c>
      <c r="M61" s="45" t="inlineStr">
        <is>
          <t>lithium</t>
        </is>
      </c>
      <c r="N61" s="45" t="inlineStr">
        <is>
          <t>253090;282520;283691</t>
        </is>
      </c>
      <c r="O61" s="45" t="inlineStr">
        <is>
          <t>foreign_investment;value_added_industrialization;technology_transfer</t>
        </is>
      </c>
      <c r="P61" s="45" t="inlineStr">
        <is>
          <t>CHN</t>
        </is>
      </c>
      <c r="Q61" s="45" t="inlineStr">
        <is>
          <t>positive</t>
        </is>
      </c>
      <c r="R61" s="45" t="inlineStr">
        <is>
          <t>not_mentioned</t>
        </is>
      </c>
      <c r="S61" s="45" t="inlineStr">
        <is>
          <t>YLB; CBC; CATL; BRUNP; CMOC; Salar de Uyuni; Salar de Coipasa</t>
        </is>
      </c>
      <c r="T61" s="45" t="inlineStr">
        <is>
          <t>Arce announced a US$1bn+ agreement with the Chinese CBC consortium (CATL, BRUNP, CMOC) to apply direct lithium extraction in Potosí and Oruro, targeting lithium battery exports by early 2025.</t>
        </is>
      </c>
      <c r="U61" s="45" t="inlineStr">
        <is>
          <t>Hoy hemos decidido darle un giro con industria con la extracción directa de litio</t>
        </is>
      </c>
      <c r="V61" s="45" t="inlineStr">
        <is>
          <t>Today we have decided to make a turn toward industry with direct lithium extraction</t>
        </is>
      </c>
      <c r="W61" s="45" t="inlineStr">
        <is>
          <t>es</t>
        </is>
      </c>
      <c r="X61" s="45" t="inlineStr">
        <is>
          <t>Correo del Sur</t>
        </is>
      </c>
      <c r="Y61" s="45" t="inlineStr">
        <is>
          <t>https://correodelsur.com/economia/20230120_bolivia-firma-convenio-con-consorcio-chino-para-la-industrializacion-del-litio.html</t>
        </is>
      </c>
      <c r="Z61" s="45" t="inlineStr">
        <is>
          <t>news_media</t>
        </is>
      </c>
      <c r="AA61" s="45" t="inlineStr">
        <is>
          <t>secondary_reported</t>
        </is>
      </c>
      <c r="AB61" s="45" t="inlineStr"/>
      <c r="AC61" s="45" t="inlineStr">
        <is>
          <t>BOL</t>
        </is>
      </c>
    </row>
    <row r="62" ht="15" customHeight="1" s="24">
      <c r="A62" s="45" t="inlineStr">
        <is>
          <t>PS-0061</t>
        </is>
      </c>
      <c r="B62" s="45" t="inlineStr">
        <is>
          <t>2023-01-22</t>
        </is>
      </c>
      <c r="C62" s="45" t="inlineStr">
        <is>
          <t>2023</t>
        </is>
      </c>
      <c r="D62" s="45" t="inlineStr">
        <is>
          <t>BOL</t>
        </is>
      </c>
      <c r="E62" s="45" t="inlineStr">
        <is>
          <t>Franklin Molina</t>
        </is>
      </c>
      <c r="F62" s="45" t="inlineStr">
        <is>
          <t>Minister of Hydrocarbons and Energy</t>
        </is>
      </c>
      <c r="G62" s="45" t="inlineStr">
        <is>
          <t>minister_cabinet</t>
        </is>
      </c>
      <c r="H62" s="45" t="inlineStr">
        <is>
          <t>LatAm executive</t>
        </is>
      </c>
      <c r="I62" s="45" t="inlineStr">
        <is>
          <t>BOL</t>
        </is>
      </c>
      <c r="J62" s="45" t="inlineStr">
        <is>
          <t>Movimiento al Socialismo (MAS)</t>
        </is>
      </c>
      <c r="K62" s="45" t="inlineStr">
        <is>
          <t>interview</t>
        </is>
      </c>
      <c r="L62" s="45" t="inlineStr">
        <is>
          <t>Interview on CBC lithium agreement</t>
        </is>
      </c>
      <c r="M62" s="45" t="inlineStr">
        <is>
          <t>lithium</t>
        </is>
      </c>
      <c r="N62" s="45" t="inlineStr">
        <is>
          <t>253090;282520;283691</t>
        </is>
      </c>
      <c r="O62" s="45" t="inlineStr">
        <is>
          <t>foreign_investment;state_control_nationalization;processing_refining;technology_transfer</t>
        </is>
      </c>
      <c r="P62" s="45" t="inlineStr">
        <is>
          <t>CHN</t>
        </is>
      </c>
      <c r="Q62" s="45" t="inlineStr">
        <is>
          <t>positive</t>
        </is>
      </c>
      <c r="R62" s="45" t="inlineStr">
        <is>
          <t>not_mentioned</t>
        </is>
      </c>
      <c r="S62" s="45" t="inlineStr">
        <is>
          <t>YLB; CBC; CATL</t>
        </is>
      </c>
      <c r="T62" s="45" t="inlineStr">
        <is>
          <t>Molina said the CBC deal involves joint investment in two lithium carbonate plants of 25,000 t each, with YLB retaining 100% ownership, and would generate over US$5bn in revenue.</t>
        </is>
      </c>
      <c r="U62" s="45" t="inlineStr">
        <is>
          <t>nos va a permitir generar ingresos importantísimos para el país, que superarían los 5.000 millones de dólares</t>
        </is>
      </c>
      <c r="V62" s="45" t="inlineStr">
        <is>
          <t>it will allow us to generate very important revenues for the country, exceeding 5 billion dollars</t>
        </is>
      </c>
      <c r="W62" s="45" t="inlineStr">
        <is>
          <t>es</t>
        </is>
      </c>
      <c r="X62" s="45" t="inlineStr">
        <is>
          <t>Correo del Sur</t>
        </is>
      </c>
      <c r="Y62" s="45" t="inlineStr">
        <is>
          <t>https://correodelsur.com/panorama/20230122/nos-va-a-permitir-generar-ingresos-que-superarian-los-us-5-000-millones.html</t>
        </is>
      </c>
      <c r="Z62" s="45" t="inlineStr">
        <is>
          <t>news_media</t>
        </is>
      </c>
      <c r="AA62" s="45" t="inlineStr">
        <is>
          <t>secondary_reported</t>
        </is>
      </c>
      <c r="AB62" s="45" t="inlineStr"/>
      <c r="AC62" s="45" t="inlineStr">
        <is>
          <t>BOL</t>
        </is>
      </c>
    </row>
    <row r="63" ht="15" customHeight="1" s="24">
      <c r="A63" s="45" t="inlineStr">
        <is>
          <t>PS-0062</t>
        </is>
      </c>
      <c r="B63" s="45" t="inlineStr">
        <is>
          <t>2023-01-23</t>
        </is>
      </c>
      <c r="C63" s="45" t="inlineStr">
        <is>
          <t>2023</t>
        </is>
      </c>
      <c r="D63" s="45" t="inlineStr">
        <is>
          <t>REG</t>
        </is>
      </c>
      <c r="E63" s="45" t="inlineStr">
        <is>
          <t>Laura Richardson</t>
        </is>
      </c>
      <c r="F63" s="45" t="inlineStr">
        <is>
          <t>Commander, US Southern Command</t>
        </is>
      </c>
      <c r="G63" s="45" t="inlineStr">
        <is>
          <t>us_central_gov</t>
        </is>
      </c>
      <c r="H63" s="45" t="inlineStr">
        <is>
          <t>United States</t>
        </is>
      </c>
      <c r="I63" s="45" t="inlineStr">
        <is>
          <t>USA</t>
        </is>
      </c>
      <c r="J63" s="45" t="inlineStr"/>
      <c r="K63" s="45" t="inlineStr">
        <is>
          <t>speech</t>
        </is>
      </c>
      <c r="L63" s="45" t="inlineStr">
        <is>
          <t>Atlantic Council event, Washington</t>
        </is>
      </c>
      <c r="M63" s="45" t="inlineStr">
        <is>
          <t>lithium;rare_earths</t>
        </is>
      </c>
      <c r="N63" s="45" t="inlineStr">
        <is>
          <t>253090;282520;283691;284690</t>
        </is>
      </c>
      <c r="O63" s="45" t="inlineStr">
        <is>
          <t>geopolitics_security</t>
        </is>
      </c>
      <c r="P63" s="45" t="inlineStr">
        <is>
          <t>ARG;BOL;CHL</t>
        </is>
      </c>
      <c r="Q63" s="45" t="inlineStr">
        <is>
          <t>not_mentioned</t>
        </is>
      </c>
      <c r="R63" s="45" t="inlineStr">
        <is>
          <t>not_mentioned</t>
        </is>
      </c>
      <c r="S63" s="45" t="inlineStr"/>
      <c r="T63" s="45" t="inlineStr">
        <is>
          <t>The SOUTHCOM commander highlighted that about 60% of the world's lithium lies in the 'lithium triangle' of Argentina, Bolivia and Chile, framing the region's resources as strategically important to the US.</t>
        </is>
      </c>
      <c r="U63" s="45" t="inlineStr"/>
      <c r="V63" s="45" t="inlineStr"/>
      <c r="W63" s="45" t="inlineStr">
        <is>
          <t>en</t>
        </is>
      </c>
      <c r="X63" s="45" t="inlineStr">
        <is>
          <t>Economía Sustentable</t>
        </is>
      </c>
      <c r="Y63" s="45" t="inlineStr">
        <is>
          <t>https://economiasustentable.com/noticias/las-criticas-que-recibio-la-jefa-del-comando-sur-tras-enumerar-los-intereses-de-estados-unidos-en-america-latina</t>
        </is>
      </c>
      <c r="Z63" s="45" t="inlineStr">
        <is>
          <t>news_media</t>
        </is>
      </c>
      <c r="AA63" s="45" t="inlineStr">
        <is>
          <t>secondary_reported</t>
        </is>
      </c>
      <c r="AB63" s="45" t="inlineStr">
        <is>
          <t>Quote as rendered by secondary source (may be back-translated); region-wide statement naming Bolivia. Quote cleared: only translated wording seen.</t>
        </is>
      </c>
      <c r="AC63" s="45" t="inlineStr">
        <is>
          <t>BOL</t>
        </is>
      </c>
    </row>
    <row r="64" ht="15" customHeight="1" s="24">
      <c r="A64" s="45" t="inlineStr">
        <is>
          <t>PS-0063</t>
        </is>
      </c>
      <c r="B64" s="45" t="inlineStr">
        <is>
          <t>2023-02-18</t>
        </is>
      </c>
      <c r="C64" s="45" t="inlineStr">
        <is>
          <t>2023</t>
        </is>
      </c>
      <c r="D64" s="45" t="inlineStr">
        <is>
          <t>MEX</t>
        </is>
      </c>
      <c r="E64" s="45" t="inlineStr">
        <is>
          <t>Andrés Manuel López Obrador</t>
        </is>
      </c>
      <c r="F64" s="45" t="inlineStr">
        <is>
          <t>President of Mexico</t>
        </is>
      </c>
      <c r="G64" s="45" t="inlineStr">
        <is>
          <t>head_of_state</t>
        </is>
      </c>
      <c r="H64" s="45" t="inlineStr">
        <is>
          <t>LatAm executive</t>
        </is>
      </c>
      <c r="I64" s="45" t="inlineStr">
        <is>
          <t>MEX</t>
        </is>
      </c>
      <c r="J64" s="45" t="inlineStr">
        <is>
          <t>Morena</t>
        </is>
      </c>
      <c r="K64" s="45" t="inlineStr">
        <is>
          <t>decree_or_regulation</t>
        </is>
      </c>
      <c r="L64" s="45" t="inlineStr">
        <is>
          <t>Signing of lithium nationalization decree, Bacadéhuachi, Sonora</t>
        </is>
      </c>
      <c r="M64" s="45" t="inlineStr">
        <is>
          <t>lithium</t>
        </is>
      </c>
      <c r="N64" s="45" t="inlineStr">
        <is>
          <t>253090;282520;283691</t>
        </is>
      </c>
      <c r="O64" s="45" t="inlineStr">
        <is>
          <t>state_control_nationalization;sovereignty;geopolitics_security</t>
        </is>
      </c>
      <c r="P64" s="45" t="inlineStr">
        <is>
          <t>RUS;CHN;USA</t>
        </is>
      </c>
      <c r="Q64" s="45" t="inlineStr">
        <is>
          <t>negative</t>
        </is>
      </c>
      <c r="R64" s="45" t="inlineStr">
        <is>
          <t>negative</t>
        </is>
      </c>
      <c r="S64" s="45" t="inlineStr">
        <is>
          <t>LitioMx</t>
        </is>
      </c>
      <c r="T64" s="45" t="inlineStr">
        <is>
          <t>In Bacadéhuachi, Sonora, AMLO signed a decree transferring lithium reserve areas to the Energy Ministry, saying lithium would be nationalized so that foreigners from Russia, China or the US could not exploit it.</t>
        </is>
      </c>
      <c r="U64" s="45" t="inlineStr">
        <is>
          <t>Vamos a nacionalizar el litio para que no lo puedan explotar los extranjeros ni de Rusia, ni de China, ni de Estados Unidos</t>
        </is>
      </c>
      <c r="V64" s="45" t="inlineStr">
        <is>
          <t>We are going to nationalize lithium so that foreigners from Russia, China or the United States cannot exploit it</t>
        </is>
      </c>
      <c r="W64" s="45" t="inlineStr">
        <is>
          <t>es</t>
        </is>
      </c>
      <c r="X64" s="45" t="inlineStr">
        <is>
          <t>N+</t>
        </is>
      </c>
      <c r="Y64" s="45" t="inlineStr">
        <is>
          <t>https://www.nmas.com.mx/nacional/amlo-firma-decreto-sobre-nacionalizacion-del-litio-en-sonora/</t>
        </is>
      </c>
      <c r="Z64" s="45" t="inlineStr">
        <is>
          <t>news_media</t>
        </is>
      </c>
      <c r="AA64" s="45" t="inlineStr">
        <is>
          <t>secondary_reported</t>
        </is>
      </c>
      <c r="AB64" s="45" t="inlineStr">
        <is>
          <t>Stance toward CHN/USA coded negative regarding their exploitation of Mexican lithium.</t>
        </is>
      </c>
      <c r="AC64" s="45" t="inlineStr">
        <is>
          <t>MEX</t>
        </is>
      </c>
    </row>
    <row r="65" ht="15" customHeight="1" s="24">
      <c r="A65" s="45" t="inlineStr">
        <is>
          <t>PS-0064</t>
        </is>
      </c>
      <c r="B65" s="45" t="inlineStr">
        <is>
          <t>2023-03</t>
        </is>
      </c>
      <c r="C65" s="45" t="inlineStr">
        <is>
          <t>2023</t>
        </is>
      </c>
      <c r="D65" s="45" t="inlineStr">
        <is>
          <t>ECU</t>
        </is>
      </c>
      <c r="E65" s="45" t="inlineStr">
        <is>
          <t>Corte Provincial de Justicia de Imbabura</t>
        </is>
      </c>
      <c r="F65" s="45" t="inlineStr">
        <is>
          <t>Provincial Court of Imbabura</t>
        </is>
      </c>
      <c r="G65" s="45" t="inlineStr">
        <is>
          <t>judiciary</t>
        </is>
      </c>
      <c r="H65" s="45" t="inlineStr">
        <is>
          <t>LatAm judiciary</t>
        </is>
      </c>
      <c r="I65" s="45" t="inlineStr">
        <is>
          <t>ECU</t>
        </is>
      </c>
      <c r="J65" s="45" t="inlineStr"/>
      <c r="K65" s="45" t="inlineStr">
        <is>
          <t>court_ruling</t>
        </is>
      </c>
      <c r="L65" s="45" t="inlineStr">
        <is>
          <t>Protection action against Llurimagua copper project</t>
        </is>
      </c>
      <c r="M65" s="45" t="inlineStr">
        <is>
          <t>copper</t>
        </is>
      </c>
      <c r="N65" s="45" t="inlineStr">
        <is>
          <t>260300;740200;740311</t>
        </is>
      </c>
      <c r="O65" s="45" t="inlineStr">
        <is>
          <t>environment_water;indigenous_community_rights</t>
        </is>
      </c>
      <c r="P65" s="45" t="inlineStr">
        <is>
          <t>CHL</t>
        </is>
      </c>
      <c r="Q65" s="45" t="inlineStr">
        <is>
          <t>not_mentioned</t>
        </is>
      </c>
      <c r="R65" s="45" t="inlineStr">
        <is>
          <t>not_mentioned</t>
        </is>
      </c>
      <c r="S65" s="45" t="inlineStr">
        <is>
          <t>Llurimagua; ENAMI; Codelco</t>
        </is>
      </c>
      <c r="T65" s="45" t="inlineStr">
        <is>
          <t>The Imbabura provincial court upheld a 2020 first-instance ruling, revoking the Llurimagua copper project's environmental license over violations of environmental rights and consultation obligations.</t>
        </is>
      </c>
      <c r="U65" s="45" t="inlineStr"/>
      <c r="V65" s="45" t="inlineStr"/>
      <c r="W65" s="45" t="inlineStr">
        <is>
          <t>es</t>
        </is>
      </c>
      <c r="X65" s="45" t="inlineStr">
        <is>
          <t>Primicias</t>
        </is>
      </c>
      <c r="Y65" s="45" t="inlineStr">
        <is>
          <t>https://www.primicias.ec/economia/licitacion-proyecto-cobre-llurimagua-mineria-consulta-ambiental-imbabura-118038/</t>
        </is>
      </c>
      <c r="Z65" s="45" t="inlineStr">
        <is>
          <t>news_media</t>
        </is>
      </c>
      <c r="AA65" s="45" t="inlineStr">
        <is>
          <t>secondary_reported</t>
        </is>
      </c>
      <c r="AB65" s="45" t="inlineStr">
        <is>
          <t>Reported retrospectively in 2026 article; day unknown.</t>
        </is>
      </c>
      <c r="AC65" s="45" t="inlineStr">
        <is>
          <t>COL_ECU_PAN</t>
        </is>
      </c>
    </row>
    <row r="66" ht="15" customHeight="1" s="24">
      <c r="A66" s="45" t="inlineStr">
        <is>
          <t>PS-0065</t>
        </is>
      </c>
      <c r="B66" s="45" t="inlineStr">
        <is>
          <t>2023-03-08</t>
        </is>
      </c>
      <c r="C66" s="45" t="inlineStr">
        <is>
          <t>2023</t>
        </is>
      </c>
      <c r="D66" s="45" t="inlineStr">
        <is>
          <t>REG</t>
        </is>
      </c>
      <c r="E66" s="45" t="inlineStr">
        <is>
          <t>Laura Richardson</t>
        </is>
      </c>
      <c r="F66" s="45" t="inlineStr">
        <is>
          <t>Commander, U.S. Southern Command</t>
        </is>
      </c>
      <c r="G66" s="45" t="inlineStr">
        <is>
          <t>us_central_gov</t>
        </is>
      </c>
      <c r="H66" s="45" t="inlineStr">
        <is>
          <t>United States</t>
        </is>
      </c>
      <c r="I66" s="45" t="inlineStr">
        <is>
          <t>USA</t>
        </is>
      </c>
      <c r="J66" s="45" t="inlineStr">
        <is>
          <t>U.S. Department of Defense</t>
        </is>
      </c>
      <c r="K66" s="45" t="inlineStr">
        <is>
          <t>report</t>
        </is>
      </c>
      <c r="L66" s="45" t="inlineStr">
        <is>
          <t>SOUTHCOM 2023 Posture Statement to Congress</t>
        </is>
      </c>
      <c r="M66" s="45" t="inlineStr">
        <is>
          <t>mining_general</t>
        </is>
      </c>
      <c r="N66" s="45" t="inlineStr"/>
      <c r="O66" s="45" t="inlineStr">
        <is>
          <t>geopolitics_security;foreign_investment;infrastructure_ports</t>
        </is>
      </c>
      <c r="P66" s="45" t="inlineStr">
        <is>
          <t>CHN</t>
        </is>
      </c>
      <c r="Q66" s="45" t="inlineStr">
        <is>
          <t>negative</t>
        </is>
      </c>
      <c r="R66" s="45" t="inlineStr">
        <is>
          <t>positive</t>
        </is>
      </c>
      <c r="S66" s="45" t="inlineStr"/>
      <c r="T66" s="45" t="inlineStr">
        <is>
          <t>The 2023 posture statement warned that the PRC has expanded its ability to extract resources, establish ports and manipulate governments through predatory investment in the region.</t>
        </is>
      </c>
      <c r="U66" s="45" t="inlineStr">
        <is>
          <t>The PRC has expanded its ability to extract resources, establish ports, manipulate governments through predatory investment practices</t>
        </is>
      </c>
      <c r="V66" s="45" t="inlineStr">
        <is>
          <t>The PRC has expanded its ability to extract resources, establish ports, manipulate governments through predatory investment practices</t>
        </is>
      </c>
      <c r="W66" s="45" t="inlineStr">
        <is>
          <t>en</t>
        </is>
      </c>
      <c r="X66" s="45" t="inlineStr">
        <is>
          <t>U.S. Southern Command</t>
        </is>
      </c>
      <c r="Y66" s="45" t="inlineStr">
        <is>
          <t>https://www.southcom.mil/Media/Special-Coverage/SOUTHCOMs-2023-Posture-Statement-to-Congress/</t>
        </is>
      </c>
      <c r="Z66" s="45" t="inlineStr">
        <is>
          <t>primary_official</t>
        </is>
      </c>
      <c r="AA66" s="45" t="inlineStr">
        <is>
          <t>primary_verified</t>
        </is>
      </c>
      <c r="AB66" s="45" t="inlineStr"/>
      <c r="AC66" s="45" t="inlineStr">
        <is>
          <t>USA_gov</t>
        </is>
      </c>
    </row>
    <row r="67" ht="15" customHeight="1" s="24">
      <c r="A67" s="45" t="inlineStr">
        <is>
          <t>PS-0066</t>
        </is>
      </c>
      <c r="B67" s="45" t="inlineStr">
        <is>
          <t>2023-03-08</t>
        </is>
      </c>
      <c r="C67" s="45" t="inlineStr">
        <is>
          <t>2023</t>
        </is>
      </c>
      <c r="D67" s="45" t="inlineStr">
        <is>
          <t>REG</t>
        </is>
      </c>
      <c r="E67" s="45" t="inlineStr">
        <is>
          <t>Laura Richardson</t>
        </is>
      </c>
      <c r="F67" s="45" t="inlineStr">
        <is>
          <t>Commander, U.S. Southern Command</t>
        </is>
      </c>
      <c r="G67" s="45" t="inlineStr">
        <is>
          <t>us_central_gov</t>
        </is>
      </c>
      <c r="H67" s="45" t="inlineStr">
        <is>
          <t>United States</t>
        </is>
      </c>
      <c r="I67" s="45" t="inlineStr">
        <is>
          <t>USA</t>
        </is>
      </c>
      <c r="J67" s="45" t="inlineStr">
        <is>
          <t>U.S. Department of Defense</t>
        </is>
      </c>
      <c r="K67" s="45" t="inlineStr">
        <is>
          <t>legislative_debate</t>
        </is>
      </c>
      <c r="L67" s="45" t="inlineStr">
        <is>
          <t>House Armed Services Committee hearing on SOUTHCOM posture</t>
        </is>
      </c>
      <c r="M67" s="45" t="inlineStr">
        <is>
          <t>lithium</t>
        </is>
      </c>
      <c r="N67" s="45" t="inlineStr">
        <is>
          <t>253090;282520;283691</t>
        </is>
      </c>
      <c r="O67" s="45" t="inlineStr">
        <is>
          <t>geopolitics_security;foreign_investment</t>
        </is>
      </c>
      <c r="P67" s="45" t="inlineStr">
        <is>
          <t>CHN;ARG;BOL;CHL</t>
        </is>
      </c>
      <c r="Q67" s="45" t="inlineStr">
        <is>
          <t>negative</t>
        </is>
      </c>
      <c r="R67" s="45" t="inlineStr">
        <is>
          <t>positive</t>
        </is>
      </c>
      <c r="S67" s="45" t="inlineStr"/>
      <c r="T67" s="45" t="inlineStr">
        <is>
          <t>Testifying to the House, Richardson said the region is full of resources exploited by adversaries who appear to invest but actually extract, and described China's lithium game in the region as very advanced and aggressive.</t>
        </is>
      </c>
      <c r="U67" s="45" t="inlineStr">
        <is>
          <t>la agresividad de China y su juego en el terreno con el litio, es muy avanzado y muy agresivo</t>
        </is>
      </c>
      <c r="V67" s="45" t="inlineStr">
        <is>
          <t>China's aggressiveness and its game on the ground with lithium is very advanced and very aggressive</t>
        </is>
      </c>
      <c r="W67" s="45" t="inlineStr">
        <is>
          <t>es</t>
        </is>
      </c>
      <c r="X67" s="45" t="inlineStr">
        <is>
          <t>El Observador (Uruguay)</t>
        </is>
      </c>
      <c r="Y67" s="45" t="inlineStr">
        <is>
          <t>https://www.elobservador.com.uy/nota/la-disputa-entre-china-y-estados-unidos-por-el-litio-en-america-latina-20234128128</t>
        </is>
      </c>
      <c r="Z67" s="45" t="inlineStr">
        <is>
          <t>news_media</t>
        </is>
      </c>
      <c r="AA67" s="45" t="inlineStr">
        <is>
          <t>secondary_reported</t>
        </is>
      </c>
      <c r="AB67" s="45" t="inlineStr">
        <is>
          <t>Spanish rendering of English testimony; also reported by El Ciudadano https://www.elciudadano.com/?p=942911 (dated 10 Mar 2023)</t>
        </is>
      </c>
      <c r="AC67" s="45" t="inlineStr">
        <is>
          <t>USA_gov</t>
        </is>
      </c>
    </row>
    <row r="68" ht="15" customHeight="1" s="24">
      <c r="A68" s="45" t="inlineStr">
        <is>
          <t>PS-0067</t>
        </is>
      </c>
      <c r="B68" s="45" t="inlineStr">
        <is>
          <t>2023-03-23</t>
        </is>
      </c>
      <c r="C68" s="45" t="inlineStr">
        <is>
          <t>2023</t>
        </is>
      </c>
      <c r="D68" s="45" t="inlineStr">
        <is>
          <t>REG</t>
        </is>
      </c>
      <c r="E68" s="45" t="inlineStr">
        <is>
          <t>Laura Richardson</t>
        </is>
      </c>
      <c r="F68" s="45" t="inlineStr">
        <is>
          <t>Commander, U.S. Southern Command</t>
        </is>
      </c>
      <c r="G68" s="45" t="inlineStr">
        <is>
          <t>us_central_gov</t>
        </is>
      </c>
      <c r="H68" s="45" t="inlineStr">
        <is>
          <t>United States</t>
        </is>
      </c>
      <c r="I68" s="45" t="inlineStr">
        <is>
          <t>USA</t>
        </is>
      </c>
      <c r="J68" s="45" t="inlineStr">
        <is>
          <t>U.S. Department of Defense</t>
        </is>
      </c>
      <c r="K68" s="45" t="inlineStr">
        <is>
          <t>legislative_debate</t>
        </is>
      </c>
      <c r="L68" s="45" t="inlineStr">
        <is>
          <t>Senate Armed Services Committee hearing on NORTHCOM/SOUTHCOM posture</t>
        </is>
      </c>
      <c r="M68" s="45" t="inlineStr">
        <is>
          <t>lithium</t>
        </is>
      </c>
      <c r="N68" s="45" t="inlineStr">
        <is>
          <t>253090;282520;283691</t>
        </is>
      </c>
      <c r="O68" s="45" t="inlineStr">
        <is>
          <t>geopolitics_security</t>
        </is>
      </c>
      <c r="P68" s="45" t="inlineStr">
        <is>
          <t>CHN</t>
        </is>
      </c>
      <c r="Q68" s="45" t="inlineStr">
        <is>
          <t>negative</t>
        </is>
      </c>
      <c r="R68" s="45" t="inlineStr">
        <is>
          <t>positive</t>
        </is>
      </c>
      <c r="S68" s="45" t="inlineStr"/>
      <c r="T68" s="45" t="inlineStr">
        <is>
          <t>Testifying to the Senate, Richardson said the PRC has expanded its ability to extract resources from the region and gets 75 percent of its lithium from South America.</t>
        </is>
      </c>
      <c r="U68" s="45" t="inlineStr">
        <is>
          <t>The PRC has expanded its ability to extract resources, and gets 36 percent of its food imports from the region and 75 percent of its lithium from South America.</t>
        </is>
      </c>
      <c r="V68" s="45" t="inlineStr">
        <is>
          <t>The PRC has expanded its ability to extract resources, and gets 36 percent of its food imports from the region and 75 percent of its lithium from South America.</t>
        </is>
      </c>
      <c r="W68" s="45" t="inlineStr">
        <is>
          <t>en</t>
        </is>
      </c>
      <c r="X68" s="45" t="inlineStr">
        <is>
          <t>Senate Armed Services Committee transcript</t>
        </is>
      </c>
      <c r="Y68" s="45" t="inlineStr">
        <is>
          <t>https://www.armed-services.senate.gov/download/transcript-3232023</t>
        </is>
      </c>
      <c r="Z68" s="45" t="inlineStr">
        <is>
          <t>legislative_record</t>
        </is>
      </c>
      <c r="AA68" s="45" t="inlineStr">
        <is>
          <t>primary_verified</t>
        </is>
      </c>
      <c r="AB68" s="45" t="inlineStr"/>
      <c r="AC68" s="45" t="inlineStr">
        <is>
          <t>USA_gov</t>
        </is>
      </c>
    </row>
    <row r="69" ht="15" customHeight="1" s="24">
      <c r="A69" s="45" t="inlineStr">
        <is>
          <t>PS-0068</t>
        </is>
      </c>
      <c r="B69" s="45" t="inlineStr">
        <is>
          <t>2023-03-24</t>
        </is>
      </c>
      <c r="C69" s="45" t="inlineStr">
        <is>
          <t>2023</t>
        </is>
      </c>
      <c r="D69" s="45" t="inlineStr">
        <is>
          <t>BOL</t>
        </is>
      </c>
      <c r="E69" s="45" t="inlineStr">
        <is>
          <t>Luis Arce</t>
        </is>
      </c>
      <c r="F69" s="45" t="inlineStr">
        <is>
          <t>President of Bolivia</t>
        </is>
      </c>
      <c r="G69" s="45" t="inlineStr">
        <is>
          <t>head_of_state</t>
        </is>
      </c>
      <c r="H69" s="45" t="inlineStr">
        <is>
          <t>LatAm executive</t>
        </is>
      </c>
      <c r="I69" s="45" t="inlineStr">
        <is>
          <t>BOL</t>
        </is>
      </c>
      <c r="J69" s="45" t="inlineStr">
        <is>
          <t>Movimiento al Socialismo (MAS)</t>
        </is>
      </c>
      <c r="K69" s="45" t="inlineStr">
        <is>
          <t>speech</t>
        </is>
      </c>
      <c r="L69" s="45" t="inlineStr">
        <is>
          <t>Speech in La Paz proposing joint Latin American lithium policy</t>
        </is>
      </c>
      <c r="M69" s="45" t="inlineStr">
        <is>
          <t>lithium</t>
        </is>
      </c>
      <c r="N69" s="45" t="inlineStr">
        <is>
          <t>253090;282520;283691</t>
        </is>
      </c>
      <c r="O69" s="45" t="inlineStr">
        <is>
          <t>geopolitics_security;sovereignty;trade_deals_offtake</t>
        </is>
      </c>
      <c r="P69" s="45" t="inlineStr">
        <is>
          <t>USA;ARG;CHL</t>
        </is>
      </c>
      <c r="Q69" s="45" t="inlineStr">
        <is>
          <t>not_mentioned</t>
        </is>
      </c>
      <c r="R69" s="45" t="inlineStr">
        <is>
          <t>negative</t>
        </is>
      </c>
      <c r="S69" s="45" t="inlineStr"/>
      <c r="T69" s="45" t="inlineStr">
        <is>
          <t>Arce called for a common, sovereign Latin American lithium market policy and said Bolivia did not want its lithium in the US Southern Command's crosshairs or used to destabilize elected governments.</t>
        </is>
      </c>
      <c r="U69" s="45" t="inlineStr"/>
      <c r="V69" s="45" t="inlineStr"/>
      <c r="W69" s="45" t="inlineStr">
        <is>
          <t>en</t>
        </is>
      </c>
      <c r="X69" s="45" t="inlineStr">
        <is>
          <t>Mining Weekly (Reuters)</t>
        </is>
      </c>
      <c r="Y69" s="45" t="inlineStr">
        <is>
          <t>https://www.miningweekly.com/article/bolivia-president-calls-for-joint-latin-america-lithium-policy-2023-03-24</t>
        </is>
      </c>
      <c r="Z69" s="45" t="inlineStr">
        <is>
          <t>news_media</t>
        </is>
      </c>
      <c r="AA69" s="45" t="inlineStr">
        <is>
          <t>secondary_reported</t>
        </is>
      </c>
      <c r="AB69" s="45" t="inlineStr">
        <is>
          <t>Quote is English translation by Reuters; Spanish original not seen. Quote cleared: only translated wording seen.</t>
        </is>
      </c>
      <c r="AC69" s="45" t="inlineStr">
        <is>
          <t>BOL</t>
        </is>
      </c>
    </row>
    <row r="70" ht="15" customHeight="1" s="24">
      <c r="A70" s="45" t="inlineStr">
        <is>
          <t>PS-0069</t>
        </is>
      </c>
      <c r="B70" s="45" t="inlineStr">
        <is>
          <t>2023-03-31</t>
        </is>
      </c>
      <c r="C70" s="45" t="inlineStr">
        <is>
          <t>2023</t>
        </is>
      </c>
      <c r="D70" s="45" t="inlineStr">
        <is>
          <t>REG</t>
        </is>
      </c>
      <c r="E70" s="45" t="inlineStr">
        <is>
          <t>U.S. Department of the Treasury</t>
        </is>
      </c>
      <c r="F70" s="45" t="inlineStr">
        <is>
          <t>Treasury (Sec. Janet Yellen)</t>
        </is>
      </c>
      <c r="G70" s="45" t="inlineStr">
        <is>
          <t>us_central_gov</t>
        </is>
      </c>
      <c r="H70" s="45" t="inlineStr">
        <is>
          <t>United States</t>
        </is>
      </c>
      <c r="I70" s="45" t="inlineStr">
        <is>
          <t>USA</t>
        </is>
      </c>
      <c r="J70" s="45" t="inlineStr">
        <is>
          <t>Biden administration</t>
        </is>
      </c>
      <c r="K70" s="45" t="inlineStr">
        <is>
          <t>decree_or_regulation</t>
        </is>
      </c>
      <c r="L70" s="45" t="inlineStr">
        <is>
          <t>Proposed guidance on IRA clean vehicle credit (Section 30D) critical minerals requirement</t>
        </is>
      </c>
      <c r="M70" s="45" t="inlineStr">
        <is>
          <t>critical_minerals_general;lithium;nickel;cobalt;graphite</t>
        </is>
      </c>
      <c r="N70" s="45" t="inlineStr">
        <is>
          <t>250490;253090;260400;282520;283691;720260</t>
        </is>
      </c>
      <c r="O70" s="45" t="inlineStr">
        <is>
          <t>tariffs_trade_policy;energy_transition;trade_deals_offtake</t>
        </is>
      </c>
      <c r="P70" s="45" t="inlineStr">
        <is>
          <t>CHL;COL;MEX;PAN;PER;other</t>
        </is>
      </c>
      <c r="Q70" s="45" t="inlineStr">
        <is>
          <t>not_mentioned</t>
        </is>
      </c>
      <c r="R70" s="45" t="inlineStr">
        <is>
          <t>positive</t>
        </is>
      </c>
      <c r="S70" s="45" t="inlineStr">
        <is>
          <t>Inflation Reduction Act</t>
        </is>
      </c>
      <c r="T70" s="45" t="inlineStr">
        <is>
          <t>Treasury's proposed IRA guidance listed free-trade-agreement countries, including Chile, Colombia, Mexico, Panama and Peru, whose extracted or processed critical minerals count toward the EV credit's rising sourcing thresholds (40% in 2023 to 80% from 2027).</t>
        </is>
      </c>
      <c r="U70" s="45" t="inlineStr"/>
      <c r="V70" s="45" t="inlineStr"/>
      <c r="W70" s="45" t="inlineStr">
        <is>
          <t>en</t>
        </is>
      </c>
      <c r="X70" s="45" t="inlineStr">
        <is>
          <t>U.S. Department of the Treasury</t>
        </is>
      </c>
      <c r="Y70" s="45" t="inlineStr">
        <is>
          <t>https://home.treasury.gov/news/press-releases/jy1379</t>
        </is>
      </c>
      <c r="Z70" s="45" t="inlineStr">
        <is>
          <t>primary_official</t>
        </is>
      </c>
      <c r="AA70" s="45" t="inlineStr">
        <is>
          <t>primary_verified</t>
        </is>
      </c>
      <c r="AB70" s="45" t="inlineStr">
        <is>
          <t>Argentina, Bolivia, Brazil not FTA partners (excluded unless new critical minerals agreement)</t>
        </is>
      </c>
      <c r="AC70" s="45" t="inlineStr">
        <is>
          <t>USA_gov</t>
        </is>
      </c>
    </row>
    <row r="71" ht="15" customHeight="1" s="24">
      <c r="A71" s="45" t="inlineStr">
        <is>
          <t>PS-0070</t>
        </is>
      </c>
      <c r="B71" s="45" t="inlineStr">
        <is>
          <t>2023-04-06</t>
        </is>
      </c>
      <c r="C71" s="45" t="inlineStr">
        <is>
          <t>2023</t>
        </is>
      </c>
      <c r="D71" s="45" t="inlineStr">
        <is>
          <t>ARG</t>
        </is>
      </c>
      <c r="E71" s="45" t="inlineStr">
        <is>
          <t>Sabino Vaca Narvaja</t>
        </is>
      </c>
      <c r="F71" s="45" t="inlineStr">
        <is>
          <t>Argentine Ambassador to China</t>
        </is>
      </c>
      <c r="G71" s="45" t="inlineStr">
        <is>
          <t>other_executive</t>
        </is>
      </c>
      <c r="H71" s="45" t="inlineStr">
        <is>
          <t>LatAm executive</t>
        </is>
      </c>
      <c r="I71" s="45" t="inlineStr">
        <is>
          <t>ARG</t>
        </is>
      </c>
      <c r="J71" s="45" t="inlineStr">
        <is>
          <t>Frente de Todos</t>
        </is>
      </c>
      <c r="K71" s="45" t="inlineStr">
        <is>
          <t>speech</t>
        </is>
      </c>
      <c r="L71" s="45" t="inlineStr">
        <is>
          <t>Tour of Fujian province with Catamarca governor Jalil</t>
        </is>
      </c>
      <c r="M71" s="45" t="inlineStr">
        <is>
          <t>lithium;mining_general</t>
        </is>
      </c>
      <c r="N71" s="45" t="inlineStr">
        <is>
          <t>253090;282520;283691</t>
        </is>
      </c>
      <c r="O71" s="45" t="inlineStr">
        <is>
          <t>foreign_investment;trade_deals_offtake</t>
        </is>
      </c>
      <c r="P71" s="45" t="inlineStr">
        <is>
          <t>CHN</t>
        </is>
      </c>
      <c r="Q71" s="45" t="inlineStr">
        <is>
          <t>positive</t>
        </is>
      </c>
      <c r="R71" s="45" t="inlineStr">
        <is>
          <t>not_mentioned</t>
        </is>
      </c>
      <c r="S71" s="45" t="inlineStr"/>
      <c r="T71" s="45" t="inlineStr">
        <is>
          <t>Vaca Narvaja said mining has the potential to solve Argentina's recurrent foreign-currency crises, noting a single lithium project could account for up to 5% of national exports.</t>
        </is>
      </c>
      <c r="U71" s="45" t="inlineStr">
        <is>
          <t>la minería tiene el potencial para solucionar nuestras recurrentes crisis de divisas</t>
        </is>
      </c>
      <c r="V71" s="45" t="inlineStr">
        <is>
          <t>mining has the potential to solve our recurrent foreign-currency crises</t>
        </is>
      </c>
      <c r="W71" s="45" t="inlineStr">
        <is>
          <t>es</t>
        </is>
      </c>
      <c r="X71" s="45" t="inlineStr">
        <is>
          <t>El Economista</t>
        </is>
      </c>
      <c r="Y71" s="45" t="inlineStr">
        <is>
          <t>https://eleconomista.com.ar/economia/vaca-narvaja-la-mineria-tiene-potencial-solucionar-recurrentes-crisis-divisas-n61228</t>
        </is>
      </c>
      <c r="Z71" s="45" t="inlineStr">
        <is>
          <t>news_media</t>
        </is>
      </c>
      <c r="AA71" s="45" t="inlineStr">
        <is>
          <t>secondary_reported</t>
        </is>
      </c>
      <c r="AB71" s="45" t="inlineStr">
        <is>
          <t>Trip followed Jalil's China visit seeking lithium investment (Zijin).</t>
        </is>
      </c>
      <c r="AC71" s="45" t="inlineStr">
        <is>
          <t>ARG</t>
        </is>
      </c>
    </row>
    <row r="72" ht="15" customHeight="1" s="24">
      <c r="A72" s="45" t="inlineStr">
        <is>
          <t>PS-0071</t>
        </is>
      </c>
      <c r="B72" s="45" t="inlineStr">
        <is>
          <t>2023-04-09</t>
        </is>
      </c>
      <c r="C72" s="45" t="inlineStr">
        <is>
          <t>2023</t>
        </is>
      </c>
      <c r="D72" s="45" t="inlineStr">
        <is>
          <t>CHL</t>
        </is>
      </c>
      <c r="E72" s="45" t="inlineStr">
        <is>
          <t>Bob Menendez</t>
        </is>
      </c>
      <c r="F72" s="45" t="inlineStr">
        <is>
          <t>U.S. Senator, Chair of Senate Foreign Relations Committee</t>
        </is>
      </c>
      <c r="G72" s="45" t="inlineStr">
        <is>
          <t>us_congress</t>
        </is>
      </c>
      <c r="H72" s="45" t="inlineStr">
        <is>
          <t>United States</t>
        </is>
      </c>
      <c r="I72" s="45" t="inlineStr">
        <is>
          <t>USA</t>
        </is>
      </c>
      <c r="J72" s="45" t="inlineStr">
        <is>
          <t>Democratic</t>
        </is>
      </c>
      <c r="K72" s="45" t="inlineStr">
        <is>
          <t>interview</t>
        </is>
      </c>
      <c r="L72" s="45" t="inlineStr">
        <is>
          <t>Visit to Chile, April 2023</t>
        </is>
      </c>
      <c r="M72" s="45" t="inlineStr">
        <is>
          <t>lithium</t>
        </is>
      </c>
      <c r="N72" s="45" t="inlineStr">
        <is>
          <t>253090;282520;283691</t>
        </is>
      </c>
      <c r="O72" s="45" t="inlineStr">
        <is>
          <t>geopolitics_security;environment_water</t>
        </is>
      </c>
      <c r="P72" s="45" t="inlineStr">
        <is>
          <t>CHN</t>
        </is>
      </c>
      <c r="Q72" s="45" t="inlineStr">
        <is>
          <t>negative</t>
        </is>
      </c>
      <c r="R72" s="45" t="inlineStr">
        <is>
          <t>positive</t>
        </is>
      </c>
      <c r="S72" s="45" t="inlineStr"/>
      <c r="T72" s="45" t="inlineStr">
        <is>
          <t>During a visit to Chile, Senator Menendez said China lacked environmental standards and sought the easiest way to extract lithium, contrasting it with US standards and China's state-controlled model.</t>
        </is>
      </c>
      <c r="U72" s="45" t="inlineStr"/>
      <c r="V72" s="45" t="inlineStr"/>
      <c r="W72" s="45" t="inlineStr">
        <is>
          <t>en</t>
        </is>
      </c>
      <c r="X72" s="45" t="inlineStr">
        <is>
          <t>Ex-Ante</t>
        </is>
      </c>
      <c r="Y72" s="45" t="inlineStr">
        <is>
          <t>https://www.ex-ante.cl/?p=138108</t>
        </is>
      </c>
      <c r="Z72" s="45" t="inlineStr">
        <is>
          <t>news_media</t>
        </is>
      </c>
      <c r="AA72" s="45" t="inlineStr">
        <is>
          <t>secondary_reported</t>
        </is>
      </c>
      <c r="AB72" s="45" t="inlineStr">
        <is>
          <t>Paraphrase; quotes reported in Spanish translation via Chinese ambassador rebuttal article</t>
        </is>
      </c>
      <c r="AC72" s="45" t="inlineStr">
        <is>
          <t>CHL</t>
        </is>
      </c>
    </row>
    <row r="73" ht="15" customHeight="1" s="24">
      <c r="A73" s="45" t="inlineStr">
        <is>
          <t>PS-0072</t>
        </is>
      </c>
      <c r="B73" s="45" t="inlineStr">
        <is>
          <t>2023-04-09</t>
        </is>
      </c>
      <c r="C73" s="45" t="inlineStr">
        <is>
          <t>2023</t>
        </is>
      </c>
      <c r="D73" s="45" t="inlineStr">
        <is>
          <t>CHL</t>
        </is>
      </c>
      <c r="E73" s="45" t="inlineStr">
        <is>
          <t>Niu Qingbao</t>
        </is>
      </c>
      <c r="F73" s="45" t="inlineStr">
        <is>
          <t>Chinese Ambassador to Chile</t>
        </is>
      </c>
      <c r="G73" s="45" t="inlineStr">
        <is>
          <t>china_embassy</t>
        </is>
      </c>
      <c r="H73" s="45" t="inlineStr">
        <is>
          <t>China</t>
        </is>
      </c>
      <c r="I73" s="45" t="inlineStr">
        <is>
          <t>CHN</t>
        </is>
      </c>
      <c r="J73" s="45" t="inlineStr">
        <is>
          <t>CCP</t>
        </is>
      </c>
      <c r="K73" s="45" t="inlineStr">
        <is>
          <t>op_ed</t>
        </is>
      </c>
      <c r="L73" s="45" t="inlineStr">
        <is>
          <t>Rebuttal to Senator Menendez's remarks on Chinese lithium extraction</t>
        </is>
      </c>
      <c r="M73" s="45" t="inlineStr">
        <is>
          <t>lithium</t>
        </is>
      </c>
      <c r="N73" s="45" t="inlineStr">
        <is>
          <t>253090;282520;283691</t>
        </is>
      </c>
      <c r="O73" s="45" t="inlineStr">
        <is>
          <t>geopolitics_security;environment_water;diplomatic_relations</t>
        </is>
      </c>
      <c r="P73" s="45" t="inlineStr">
        <is>
          <t>USA</t>
        </is>
      </c>
      <c r="Q73" s="45" t="inlineStr">
        <is>
          <t>positive</t>
        </is>
      </c>
      <c r="R73" s="45" t="inlineStr">
        <is>
          <t>negative</t>
        </is>
      </c>
      <c r="S73" s="45" t="inlineStr"/>
      <c r="T73" s="45" t="inlineStr">
        <is>
          <t>The Chinese ambassador published a rebuttal titled "Double standards are Mr. Bob Menendez's trademark", defending China as the largest clean-energy producer and accusing the US of coercing countries through coups, threats and sanctions.</t>
        </is>
      </c>
      <c r="U73" s="45" t="inlineStr"/>
      <c r="V73" s="45" t="inlineStr"/>
      <c r="W73" s="45" t="inlineStr">
        <is>
          <t>es</t>
        </is>
      </c>
      <c r="X73" s="45" t="inlineStr">
        <is>
          <t>Ex-Ante</t>
        </is>
      </c>
      <c r="Y73" s="45" t="inlineStr">
        <is>
          <t>https://www.ex-ante.cl/?p=138108</t>
        </is>
      </c>
      <c r="Z73" s="45" t="inlineStr">
        <is>
          <t>news_media</t>
        </is>
      </c>
      <c r="AA73" s="45" t="inlineStr">
        <is>
          <t>secondary_reported</t>
        </is>
      </c>
      <c r="AB73" s="45" t="inlineStr">
        <is>
          <t>Paraphrase; article date 9 Apr 2023</t>
        </is>
      </c>
      <c r="AC73" s="45" t="inlineStr">
        <is>
          <t>CHL</t>
        </is>
      </c>
    </row>
    <row r="74" ht="15" customHeight="1" s="24">
      <c r="A74" s="45" t="inlineStr">
        <is>
          <t>PS-0073</t>
        </is>
      </c>
      <c r="B74" s="45" t="inlineStr">
        <is>
          <t>2023-04-14</t>
        </is>
      </c>
      <c r="C74" s="45" t="inlineStr">
        <is>
          <t>2023</t>
        </is>
      </c>
      <c r="D74" s="45" t="inlineStr">
        <is>
          <t>BRA</t>
        </is>
      </c>
      <c r="E74" s="45" t="inlineStr">
        <is>
          <t>Xi Jinping</t>
        </is>
      </c>
      <c r="F74" s="45" t="inlineStr">
        <is>
          <t>President of the People's Republic of China</t>
        </is>
      </c>
      <c r="G74" s="45" t="inlineStr">
        <is>
          <t>head_of_state</t>
        </is>
      </c>
      <c r="H74" s="45" t="inlineStr">
        <is>
          <t>China</t>
        </is>
      </c>
      <c r="I74" s="45" t="inlineStr">
        <is>
          <t>CHN</t>
        </is>
      </c>
      <c r="J74" s="45" t="inlineStr">
        <is>
          <t>CCP</t>
        </is>
      </c>
      <c r="K74" s="45" t="inlineStr">
        <is>
          <t>joint_declaration_or_mou</t>
        </is>
      </c>
      <c r="L74" s="45" t="inlineStr">
        <is>
          <t>Lula state visit to Beijing; joint statement on deepening comprehensive strategic partnership</t>
        </is>
      </c>
      <c r="M74" s="45" t="inlineStr">
        <is>
          <t>mining_general</t>
        </is>
      </c>
      <c r="N74" s="45" t="inlineStr"/>
      <c r="O74" s="45" t="inlineStr">
        <is>
          <t>foreign_investment;energy_transition;diplomatic_relations</t>
        </is>
      </c>
      <c r="P74" s="45" t="inlineStr">
        <is>
          <t>BRA</t>
        </is>
      </c>
      <c r="Q74" s="45" t="inlineStr">
        <is>
          <t>positive</t>
        </is>
      </c>
      <c r="R74" s="45" t="inlineStr">
        <is>
          <t>not_mentioned</t>
        </is>
      </c>
      <c r="S74" s="45" t="inlineStr"/>
      <c r="T74" s="45" t="inlineStr">
        <is>
          <t>The China-Brazil joint statement issued during Lula's state visit says both sides will actively encourage their companies to invest in each other's countries, particularly in infrastructure, energy transition, logistics, energy, mining, agriculture, industry and high technology. It names no specific minerals.</t>
        </is>
      </c>
      <c r="U74" s="45" t="inlineStr">
        <is>
          <t>双方同意积极鼓励两国企业到对方国家开展投资，特别是在基础设施、能源转型、物流、能源、矿业、农业、工业以及高科技领域。</t>
        </is>
      </c>
      <c r="V74" s="45" t="inlineStr">
        <is>
          <t>The two sides agree to actively encourage their enterprises to invest in each other's countries, especially in infrastructure, energy transition, logistics, energy, mining, agriculture, industry and high-tech fields.</t>
        </is>
      </c>
      <c r="W74" s="45" t="inlineStr">
        <is>
          <t>zh</t>
        </is>
      </c>
      <c r="X74" s="45" t="inlineStr">
        <is>
          <t>Ministry of Foreign Affairs of the PRC</t>
        </is>
      </c>
      <c r="Y74" s="45" t="inlineStr">
        <is>
          <t>https://www.mfa.gov.cn/web/gjhdq_676201/gj_676203/nmz_680924/1206_680974/1207_680986/202304/t20230414_11059627.shtml</t>
        </is>
      </c>
      <c r="Z74" s="45" t="inlineStr">
        <is>
          <t>primary_official</t>
        </is>
      </c>
      <c r="AA74" s="45" t="inlineStr">
        <is>
          <t>primary_verified</t>
        </is>
      </c>
      <c r="AB74" s="45" t="inlineStr">
        <is>
          <t>Paragraph 21 of the joint statement. Joint China-Brazil text attributed to Xi as China's head of state, following the existing China-Peru joint statement record. Mining is one sector in a list; weak mineral content.</t>
        </is>
      </c>
      <c r="AC74" s="45" t="inlineStr">
        <is>
          <t>CHN_gov</t>
        </is>
      </c>
    </row>
    <row r="75" ht="15" customHeight="1" s="24">
      <c r="A75" s="45" t="inlineStr">
        <is>
          <t>PS-0074</t>
        </is>
      </c>
      <c r="B75" s="45" t="inlineStr">
        <is>
          <t>2023-04-17</t>
        </is>
      </c>
      <c r="C75" s="45" t="inlineStr">
        <is>
          <t>2023</t>
        </is>
      </c>
      <c r="D75" s="45" t="inlineStr">
        <is>
          <t>ARG</t>
        </is>
      </c>
      <c r="E75" s="45" t="inlineStr">
        <is>
          <t>Laura Richardson</t>
        </is>
      </c>
      <c r="F75" s="45" t="inlineStr">
        <is>
          <t>Commander, U.S. Southern Command</t>
        </is>
      </c>
      <c r="G75" s="45" t="inlineStr">
        <is>
          <t>us_central_gov</t>
        </is>
      </c>
      <c r="H75" s="45" t="inlineStr">
        <is>
          <t>United States</t>
        </is>
      </c>
      <c r="I75" s="45" t="inlineStr">
        <is>
          <t>USA</t>
        </is>
      </c>
      <c r="J75" s="45" t="inlineStr">
        <is>
          <t>U.S. Department of Defense</t>
        </is>
      </c>
      <c r="K75" s="45" t="inlineStr">
        <is>
          <t>official_statement</t>
        </is>
      </c>
      <c r="L75" s="45" t="inlineStr">
        <is>
          <t>SOUTHCOM commander visit to Argentina (Patagonia, Ushuaia)</t>
        </is>
      </c>
      <c r="M75" s="45" t="inlineStr">
        <is>
          <t>lithium</t>
        </is>
      </c>
      <c r="N75" s="45" t="inlineStr">
        <is>
          <t>253090;282520;283691</t>
        </is>
      </c>
      <c r="O75" s="45" t="inlineStr">
        <is>
          <t>geopolitics_security;diplomatic_relations</t>
        </is>
      </c>
      <c r="P75" s="45" t="inlineStr">
        <is>
          <t>CHN;ARG</t>
        </is>
      </c>
      <c r="Q75" s="45" t="inlineStr">
        <is>
          <t>negative</t>
        </is>
      </c>
      <c r="R75" s="45" t="inlineStr">
        <is>
          <t>positive</t>
        </is>
      </c>
      <c r="S75" s="45" t="inlineStr"/>
      <c r="T75" s="45" t="inlineStr">
        <is>
          <t>Richardson's visit to Argentina and the Southern Cone was reported as having lithium and concern over China on the agenda, following her earlier public emphasis on the lithium triangle as a US security interest.</t>
        </is>
      </c>
      <c r="U75" s="45" t="inlineStr"/>
      <c r="V75" s="45" t="inlineStr"/>
      <c r="W75" s="45" t="inlineStr">
        <is>
          <t>en</t>
        </is>
      </c>
      <c r="X75" s="45" t="inlineStr">
        <is>
          <t>Buenos Aires Times</t>
        </is>
      </c>
      <c r="Y75" s="45" t="inlineStr">
        <is>
          <t>https://batimes.com.ar/news/argentina/us-general-visits-southern-cone-with-patagonia-and-lithium-on-agenda.phtml</t>
        </is>
      </c>
      <c r="Z75" s="45" t="inlineStr">
        <is>
          <t>news_media</t>
        </is>
      </c>
      <c r="AA75" s="45" t="inlineStr">
        <is>
          <t>secondary_reported</t>
        </is>
      </c>
      <c r="AB75" s="45" t="inlineStr">
        <is>
          <t>Visit-level record; no direct quote on lithium during visit</t>
        </is>
      </c>
      <c r="AC75" s="45" t="inlineStr">
        <is>
          <t>USA_gov</t>
        </is>
      </c>
    </row>
    <row r="76" ht="15" customHeight="1" s="24">
      <c r="A76" s="45" t="inlineStr">
        <is>
          <t>PS-0075</t>
        </is>
      </c>
      <c r="B76" s="45" t="inlineStr">
        <is>
          <t>2023-04-20</t>
        </is>
      </c>
      <c r="C76" s="45" t="inlineStr">
        <is>
          <t>2023</t>
        </is>
      </c>
      <c r="D76" s="45" t="inlineStr">
        <is>
          <t>CHL</t>
        </is>
      </c>
      <c r="E76" s="45" t="inlineStr">
        <is>
          <t>Gabriel Boric</t>
        </is>
      </c>
      <c r="F76" s="45" t="inlineStr">
        <is>
          <t>President of Chile</t>
        </is>
      </c>
      <c r="G76" s="45" t="inlineStr">
        <is>
          <t>head_of_state</t>
        </is>
      </c>
      <c r="H76" s="45" t="inlineStr">
        <is>
          <t>LatAm executive</t>
        </is>
      </c>
      <c r="I76" s="45" t="inlineStr">
        <is>
          <t>CHL</t>
        </is>
      </c>
      <c r="J76" s="45" t="inlineStr">
        <is>
          <t>Convergencia Social / Frente Amplio</t>
        </is>
      </c>
      <c r="K76" s="45" t="inlineStr">
        <is>
          <t>speech</t>
        </is>
      </c>
      <c r="L76" s="45" t="inlineStr">
        <is>
          <t>National broadcast announcing the National Lithium Strategy</t>
        </is>
      </c>
      <c r="M76" s="45" t="inlineStr">
        <is>
          <t>lithium</t>
        </is>
      </c>
      <c r="N76" s="45" t="inlineStr">
        <is>
          <t>253090;282520;283691</t>
        </is>
      </c>
      <c r="O76" s="45" t="inlineStr">
        <is>
          <t>state_control_nationalization;value_added_industrialization;environment_water;indigenous_community_rights</t>
        </is>
      </c>
      <c r="P76" s="45" t="inlineStr">
        <is>
          <t>none</t>
        </is>
      </c>
      <c r="Q76" s="45" t="inlineStr">
        <is>
          <t>not_mentioned</t>
        </is>
      </c>
      <c r="R76" s="45" t="inlineStr">
        <is>
          <t>not_mentioned</t>
        </is>
      </c>
      <c r="S76" s="45" t="inlineStr">
        <is>
          <t>Empresa Nacional del Litio; Codelco</t>
        </is>
      </c>
      <c r="T76" s="45" t="inlineStr">
        <is>
          <t>Boric announced the National Lithium Strategy with the state as central actor, a future National Lithium Company seeking private partners, a salt-flat protection network and community involvement.</t>
        </is>
      </c>
      <c r="U76" s="45" t="inlineStr">
        <is>
          <t>nuestro desafío es que nuestro país se convierta en el principal productor de litio en el mundo</t>
        </is>
      </c>
      <c r="V76" s="45" t="inlineStr">
        <is>
          <t>our challenge is for our country to become the main lithium producer in the world</t>
        </is>
      </c>
      <c r="W76" s="45" t="inlineStr">
        <is>
          <t>es</t>
        </is>
      </c>
      <c r="X76" s="45" t="inlineStr">
        <is>
          <t>El Dínamo</t>
        </is>
      </c>
      <c r="Y76" s="45" t="inlineStr">
        <is>
          <t>https://www.eldinamo.cl/politica/2023/04/20/los-cinco-pilares-de-la-estrategia-nacional-del-litio-presentada-por-el-presidente-boric/</t>
        </is>
      </c>
      <c r="Z76" s="45" t="inlineStr">
        <is>
          <t>news_media</t>
        </is>
      </c>
      <c r="AA76" s="45" t="inlineStr">
        <is>
          <t>secondary_reported</t>
        </is>
      </c>
      <c r="AB76" s="45" t="inlineStr"/>
      <c r="AC76" s="45" t="inlineStr">
        <is>
          <t>CHL</t>
        </is>
      </c>
    </row>
    <row r="77" ht="15" customHeight="1" s="24">
      <c r="A77" s="45" t="inlineStr">
        <is>
          <t>PS-0076</t>
        </is>
      </c>
      <c r="B77" s="45" t="inlineStr">
        <is>
          <t>2023-04-20</t>
        </is>
      </c>
      <c r="C77" s="45" t="inlineStr">
        <is>
          <t>2023</t>
        </is>
      </c>
      <c r="D77" s="45" t="inlineStr">
        <is>
          <t>CHL</t>
        </is>
      </c>
      <c r="E77" s="45" t="inlineStr">
        <is>
          <t>Ricardo Díaz</t>
        </is>
      </c>
      <c r="F77" s="45" t="inlineStr">
        <is>
          <t>Governor of Antofagasta Region</t>
        </is>
      </c>
      <c r="G77" s="45" t="inlineStr">
        <is>
          <t>subnational_gov</t>
        </is>
      </c>
      <c r="H77" s="45" t="inlineStr">
        <is>
          <t>LatAm executive</t>
        </is>
      </c>
      <c r="I77" s="45" t="inlineStr">
        <is>
          <t>CHL</t>
        </is>
      </c>
      <c r="J77" s="45" t="inlineStr">
        <is>
          <t>Independent</t>
        </is>
      </c>
      <c r="K77" s="45" t="inlineStr">
        <is>
          <t>interview</t>
        </is>
      </c>
      <c r="L77" s="45" t="inlineStr">
        <is>
          <t>Reaction to National Lithium Strategy</t>
        </is>
      </c>
      <c r="M77" s="45" t="inlineStr">
        <is>
          <t>lithium</t>
        </is>
      </c>
      <c r="N77" s="45" t="inlineStr">
        <is>
          <t>253090;282520;283691</t>
        </is>
      </c>
      <c r="O77" s="45" t="inlineStr">
        <is>
          <t>value_added_industrialization;indigenous_community_rights</t>
        </is>
      </c>
      <c r="P77" s="45" t="inlineStr">
        <is>
          <t>none</t>
        </is>
      </c>
      <c r="Q77" s="45" t="inlineStr">
        <is>
          <t>not_mentioned</t>
        </is>
      </c>
      <c r="R77" s="45" t="inlineStr">
        <is>
          <t>not_mentioned</t>
        </is>
      </c>
      <c r="S77" s="45" t="inlineStr">
        <is>
          <t>Salar de Atacama</t>
        </is>
      </c>
      <c r="T77" s="45" t="inlineStr">
        <is>
          <t>Antofagasta governor welcomed the president's view that value could be added in the region but criticised the absence of indigenous communities and regional participation in the strategy's launch.</t>
        </is>
      </c>
      <c r="U77" s="45" t="inlineStr">
        <is>
          <t>El Presidente vio que se puede agregar valor acá en la región con personal de la región.</t>
        </is>
      </c>
      <c r="V77" s="45" t="inlineStr">
        <is>
          <t>The President saw that value can be added here in the region with people from the region.</t>
        </is>
      </c>
      <c r="W77" s="45" t="inlineStr">
        <is>
          <t>es</t>
        </is>
      </c>
      <c r="X77" s="45" t="inlineStr">
        <is>
          <t>El Desconcierto</t>
        </is>
      </c>
      <c r="Y77" s="45" t="inlineStr">
        <is>
          <t>https://eldesconcierto.cl/2023/04/21/gobernador-diaz-y-estrategia-nacional-del-litio-el-presidente-vio-que-se-puede-agregar-valor-aca-en-la-region</t>
        </is>
      </c>
      <c r="Z77" s="45" t="inlineStr">
        <is>
          <t>news_media</t>
        </is>
      </c>
      <c r="AA77" s="45" t="inlineStr">
        <is>
          <t>secondary_reported</t>
        </is>
      </c>
      <c r="AB77" s="45" t="inlineStr"/>
      <c r="AC77" s="45" t="inlineStr">
        <is>
          <t>CHL</t>
        </is>
      </c>
    </row>
    <row r="78" ht="15" customHeight="1" s="24">
      <c r="A78" s="45" t="inlineStr">
        <is>
          <t>PS-0077</t>
        </is>
      </c>
      <c r="B78" s="45" t="inlineStr">
        <is>
          <t>2023-04-20</t>
        </is>
      </c>
      <c r="C78" s="45" t="inlineStr">
        <is>
          <t>2023</t>
        </is>
      </c>
      <c r="D78" s="45" t="inlineStr">
        <is>
          <t>MEX</t>
        </is>
      </c>
      <c r="E78" s="45" t="inlineStr">
        <is>
          <t>Ildefonso Guajardo</t>
        </is>
      </c>
      <c r="F78" s="45" t="inlineStr">
        <is>
          <t>Federal Deputy (PRI)</t>
        </is>
      </c>
      <c r="G78" s="45" t="inlineStr">
        <is>
          <t>legislator</t>
        </is>
      </c>
      <c r="H78" s="45" t="inlineStr">
        <is>
          <t>LatAm legislature</t>
        </is>
      </c>
      <c r="I78" s="45" t="inlineStr">
        <is>
          <t>MEX</t>
        </is>
      </c>
      <c r="J78" s="45" t="inlineStr">
        <is>
          <t>PRI</t>
        </is>
      </c>
      <c r="K78" s="45" t="inlineStr">
        <is>
          <t>legislative_debate</t>
        </is>
      </c>
      <c r="L78" s="45" t="inlineStr">
        <is>
          <t>Chamber of Deputies debate on 2023 Mining Law reform</t>
        </is>
      </c>
      <c r="M78" s="45" t="inlineStr">
        <is>
          <t>mining_general</t>
        </is>
      </c>
      <c r="N78" s="45" t="inlineStr"/>
      <c r="O78" s="45" t="inlineStr">
        <is>
          <t>foreign_investment;state_control_nationalization</t>
        </is>
      </c>
      <c r="P78" s="45" t="inlineStr">
        <is>
          <t>none</t>
        </is>
      </c>
      <c r="Q78" s="45" t="inlineStr">
        <is>
          <t>not_mentioned</t>
        </is>
      </c>
      <c r="R78" s="45" t="inlineStr">
        <is>
          <t>not_mentioned</t>
        </is>
      </c>
      <c r="S78" s="45" t="inlineStr"/>
      <c r="T78" s="45" t="inlineStr">
        <is>
          <t>Former economy minister Guajardo opposed the reform, arguing that articles 10 and 10 bis would cause Mexican mining to lose its potential.</t>
        </is>
      </c>
      <c r="U78" s="45" t="inlineStr">
        <is>
          <t>con los artículos 10 y 10 bis de la reforma, la minería mexicana perderá su potencial</t>
        </is>
      </c>
      <c r="V78" s="45" t="inlineStr">
        <is>
          <t>with articles 10 and 10 bis of the reform, Mexican mining will lose its potential</t>
        </is>
      </c>
      <c r="W78" s="45" t="inlineStr">
        <is>
          <t>es</t>
        </is>
      </c>
      <c r="X78" s="45" t="inlineStr">
        <is>
          <t>Excélsior</t>
        </is>
      </c>
      <c r="Y78" s="45" t="inlineStr">
        <is>
          <t>https://www.excelsior.com.mx/nacional/reducen-periodo-de-concesiones-mineras-diputados-envian-reforma-al-senado/1582870</t>
        </is>
      </c>
      <c r="Z78" s="45" t="inlineStr">
        <is>
          <t>news_media</t>
        </is>
      </c>
      <c r="AA78" s="45" t="inlineStr">
        <is>
          <t>secondary_reported</t>
        </is>
      </c>
      <c r="AB78" s="45" t="inlineStr">
        <is>
          <t>Debate ran overnight 20-21 April 2023.</t>
        </is>
      </c>
      <c r="AC78" s="45" t="inlineStr">
        <is>
          <t>MEX</t>
        </is>
      </c>
    </row>
    <row r="79" ht="15" customHeight="1" s="24">
      <c r="A79" s="45" t="inlineStr">
        <is>
          <t>PS-0078</t>
        </is>
      </c>
      <c r="B79" s="45" t="inlineStr">
        <is>
          <t>2023-04-20</t>
        </is>
      </c>
      <c r="C79" s="45" t="inlineStr">
        <is>
          <t>2023</t>
        </is>
      </c>
      <c r="D79" s="45" t="inlineStr">
        <is>
          <t>MEX</t>
        </is>
      </c>
      <c r="E79" s="45" t="inlineStr">
        <is>
          <t>Manuel Rodríguez González</t>
        </is>
      </c>
      <c r="F79" s="45" t="inlineStr">
        <is>
          <t>Federal Deputy (Morena); President of the Energy Commission</t>
        </is>
      </c>
      <c r="G79" s="45" t="inlineStr">
        <is>
          <t>legislator</t>
        </is>
      </c>
      <c r="H79" s="45" t="inlineStr">
        <is>
          <t>LatAm legislature</t>
        </is>
      </c>
      <c r="I79" s="45" t="inlineStr">
        <is>
          <t>MEX</t>
        </is>
      </c>
      <c r="J79" s="45" t="inlineStr">
        <is>
          <t>Morena</t>
        </is>
      </c>
      <c r="K79" s="45" t="inlineStr">
        <is>
          <t>legislative_debate</t>
        </is>
      </c>
      <c r="L79" s="45" t="inlineStr">
        <is>
          <t>Chamber of Deputies debate on 2023 Mining Law and water concessions reform</t>
        </is>
      </c>
      <c r="M79" s="45" t="inlineStr">
        <is>
          <t>mining_general</t>
        </is>
      </c>
      <c r="N79" s="45" t="inlineStr"/>
      <c r="O79" s="45" t="inlineStr">
        <is>
          <t>state_control_nationalization;environment_water;sovereignty</t>
        </is>
      </c>
      <c r="P79" s="45" t="inlineStr">
        <is>
          <t>none</t>
        </is>
      </c>
      <c r="Q79" s="45" t="inlineStr">
        <is>
          <t>not_mentioned</t>
        </is>
      </c>
      <c r="R79" s="45" t="inlineStr">
        <is>
          <t>not_mentioned</t>
        </is>
      </c>
      <c r="S79" s="45" t="inlineStr"/>
      <c r="T79" s="45" t="inlineStr">
        <is>
          <t>Presenting the reform, Rodríguez said its central aim was to recover state stewardship over mineral and water resources; the bill shortened mining concessions and water concessions for mining.</t>
        </is>
      </c>
      <c r="U79" s="45" t="inlineStr">
        <is>
          <t>La esencia y objetivo central es recuperar la rectoría del Estado sobre los recursos minerales e hídricos del subsuelo mexicano</t>
        </is>
      </c>
      <c r="V79" s="45" t="inlineStr">
        <is>
          <t>The essence and central objective is to recover the State's stewardship over the mineral and water resources of the Mexican subsoil</t>
        </is>
      </c>
      <c r="W79" s="45" t="inlineStr">
        <is>
          <t>es</t>
        </is>
      </c>
      <c r="X79" s="45" t="inlineStr">
        <is>
          <t>Zeta Tijuana</t>
        </is>
      </c>
      <c r="Y79" s="45" t="inlineStr">
        <is>
          <t>https://zetatijuana.com/2023/04/sin-discusion-morena-pt-pvem-y-mc-aprueban-en-lo-general-reformas-para-disminuir-anos-a-concesiones-mineras/</t>
        </is>
      </c>
      <c r="Z79" s="45" t="inlineStr">
        <is>
          <t>news_media</t>
        </is>
      </c>
      <c r="AA79" s="45" t="inlineStr">
        <is>
          <t>secondary_reported</t>
        </is>
      </c>
      <c r="AB79" s="45" t="inlineStr">
        <is>
          <t>Debate ran overnight 20-21 April 2023.</t>
        </is>
      </c>
      <c r="AC79" s="45" t="inlineStr">
        <is>
          <t>MEX</t>
        </is>
      </c>
    </row>
    <row r="80" ht="15" customHeight="1" s="24">
      <c r="A80" s="45" t="inlineStr">
        <is>
          <t>PS-0079</t>
        </is>
      </c>
      <c r="B80" s="45" t="inlineStr">
        <is>
          <t>2023-04-21</t>
        </is>
      </c>
      <c r="C80" s="45" t="inlineStr">
        <is>
          <t>2023</t>
        </is>
      </c>
      <c r="D80" s="45" t="inlineStr">
        <is>
          <t>MEX</t>
        </is>
      </c>
      <c r="E80" s="45" t="inlineStr">
        <is>
          <t>Cámara de Diputados de México</t>
        </is>
      </c>
      <c r="F80" s="45" t="inlineStr">
        <is>
          <t>Chamber of Deputies</t>
        </is>
      </c>
      <c r="G80" s="45" t="inlineStr">
        <is>
          <t>legislature_body</t>
        </is>
      </c>
      <c r="H80" s="45" t="inlineStr">
        <is>
          <t>LatAm legislature</t>
        </is>
      </c>
      <c r="I80" s="45" t="inlineStr">
        <is>
          <t>MEX</t>
        </is>
      </c>
      <c r="J80" s="45" t="inlineStr"/>
      <c r="K80" s="45" t="inlineStr">
        <is>
          <t>bill_or_law</t>
        </is>
      </c>
      <c r="L80" s="45" t="inlineStr">
        <is>
          <t>Vote on 2023 Mining Law and water concessions reform</t>
        </is>
      </c>
      <c r="M80" s="45" t="inlineStr">
        <is>
          <t>mining_general</t>
        </is>
      </c>
      <c r="N80" s="45" t="inlineStr"/>
      <c r="O80" s="45" t="inlineStr">
        <is>
          <t>state_control_nationalization;environment_water</t>
        </is>
      </c>
      <c r="P80" s="45" t="inlineStr">
        <is>
          <t>none</t>
        </is>
      </c>
      <c r="Q80" s="45" t="inlineStr">
        <is>
          <t>not_mentioned</t>
        </is>
      </c>
      <c r="R80" s="45" t="inlineStr">
        <is>
          <t>not_mentioned</t>
        </is>
      </c>
      <c r="S80" s="45" t="inlineStr"/>
      <c r="T80" s="45" t="inlineStr">
        <is>
          <t>The Chamber of Deputies approved in general the AMLO-backed reform of the Mining Law, National Waters Law and environmental laws by 290 votes to 186 with 1 abstention; Morena, PT, PVEM and MC supported it while PAN, PRI and PRD opposed.</t>
        </is>
      </c>
      <c r="U80" s="45" t="inlineStr"/>
      <c r="V80" s="45" t="inlineStr"/>
      <c r="W80" s="45" t="inlineStr">
        <is>
          <t>es</t>
        </is>
      </c>
      <c r="X80" s="45" t="inlineStr">
        <is>
          <t>Excélsior</t>
        </is>
      </c>
      <c r="Y80" s="45" t="inlineStr">
        <is>
          <t>https://www.excelsior.com.mx/nacional/reducen-periodo-de-concesiones-mineras-diputados-envian-reforma-al-senado/1582870</t>
        </is>
      </c>
      <c r="Z80" s="45" t="inlineStr">
        <is>
          <t>news_media</t>
        </is>
      </c>
      <c r="AA80" s="45" t="inlineStr">
        <is>
          <t>secondary_reported</t>
        </is>
      </c>
      <c r="AB80" s="45" t="inlineStr">
        <is>
          <t>In particular: 251-209-1 (Infobae via Cámara síntesis).</t>
        </is>
      </c>
      <c r="AC80" s="45" t="inlineStr">
        <is>
          <t>MEX</t>
        </is>
      </c>
    </row>
    <row r="81" ht="15" customHeight="1" s="24">
      <c r="A81" s="45" t="inlineStr">
        <is>
          <t>PS-0080</t>
        </is>
      </c>
      <c r="B81" s="45" t="inlineStr">
        <is>
          <t>2023-04-22</t>
        </is>
      </c>
      <c r="C81" s="45" t="inlineStr">
        <is>
          <t>2023</t>
        </is>
      </c>
      <c r="D81" s="45" t="inlineStr">
        <is>
          <t>MEX</t>
        </is>
      </c>
      <c r="E81" s="45" t="inlineStr">
        <is>
          <t>Asociación de Ingenieros de Minas, Metalurgistas y Geólogos de México (AIMMGM)</t>
        </is>
      </c>
      <c r="F81" s="45" t="inlineStr">
        <is>
          <t>Mining professional association</t>
        </is>
      </c>
      <c r="G81" s="45" t="inlineStr">
        <is>
          <t>other</t>
        </is>
      </c>
      <c r="H81" s="45" t="inlineStr">
        <is>
          <t>Other (business, civil society, third countries)</t>
        </is>
      </c>
      <c r="I81" s="45" t="inlineStr">
        <is>
          <t>MEX</t>
        </is>
      </c>
      <c r="J81" s="45" t="inlineStr"/>
      <c r="K81" s="45" t="inlineStr">
        <is>
          <t>official_statement</t>
        </is>
      </c>
      <c r="L81" s="45" t="inlineStr">
        <is>
          <t>Reaction to Chamber approval of Mining Law reform</t>
        </is>
      </c>
      <c r="M81" s="45" t="inlineStr">
        <is>
          <t>mining_general</t>
        </is>
      </c>
      <c r="N81" s="45" t="inlineStr"/>
      <c r="O81" s="45" t="inlineStr">
        <is>
          <t>foreign_investment;corruption_governance</t>
        </is>
      </c>
      <c r="P81" s="45" t="inlineStr">
        <is>
          <t>none</t>
        </is>
      </c>
      <c r="Q81" s="45" t="inlineStr">
        <is>
          <t>not_mentioned</t>
        </is>
      </c>
      <c r="R81" s="45" t="inlineStr">
        <is>
          <t>not_mentioned</t>
        </is>
      </c>
      <c r="S81" s="45" t="inlineStr"/>
      <c r="T81" s="45" t="inlineStr">
        <is>
          <t>The mining engineers' association urged the Senate to hold an open parliament before ratifying the fast-tracked reform, warning of provisions on exploration, payments and restrictions affecting the industry.</t>
        </is>
      </c>
      <c r="U81" s="45" t="inlineStr">
        <is>
          <t>Antes de ratificar la reforma aprobada por la Cámara de Diputados, el Senado de la República debe convocar a un parlamento abierto</t>
        </is>
      </c>
      <c r="V81" s="45" t="inlineStr">
        <is>
          <t>Before ratifying the reform approved by the Chamber of Deputies, the Senate must convene an open parliament</t>
        </is>
      </c>
      <c r="W81" s="45" t="inlineStr">
        <is>
          <t>es</t>
        </is>
      </c>
      <c r="X81" s="45" t="inlineStr">
        <is>
          <t>Forbes México (via Cámara de Diputados síntesis)</t>
        </is>
      </c>
      <c r="Y81" s="45" t="inlineStr">
        <is>
          <t>https://comunicacion.diputados.gob.mx/sintesis/LINKSIN/22423_P_FORBES_0_MINEROSPIDEN_SENADOVOTERFLEYMINERA_3DIP.pdf</t>
        </is>
      </c>
      <c r="Z81" s="45" t="inlineStr">
        <is>
          <t>news_media</t>
        </is>
      </c>
      <c r="AA81" s="45" t="inlineStr">
        <is>
          <t>secondary_reported</t>
        </is>
      </c>
      <c r="AB81" s="45" t="inlineStr">
        <is>
          <t>Industry actor.</t>
        </is>
      </c>
      <c r="AC81" s="45" t="inlineStr">
        <is>
          <t>MEX</t>
        </is>
      </c>
    </row>
    <row r="82" ht="15" customHeight="1" s="24">
      <c r="A82" s="45" t="inlineStr">
        <is>
          <t>PS-0081</t>
        </is>
      </c>
      <c r="B82" s="45" t="inlineStr">
        <is>
          <t>2023-04-23</t>
        </is>
      </c>
      <c r="C82" s="45" t="inlineStr">
        <is>
          <t>2023</t>
        </is>
      </c>
      <c r="D82" s="45" t="inlineStr">
        <is>
          <t>MEX</t>
        </is>
      </c>
      <c r="E82" s="45" t="inlineStr">
        <is>
          <t>COPARMEX</t>
        </is>
      </c>
      <c r="F82" s="45" t="inlineStr">
        <is>
          <t>Employers' confederation</t>
        </is>
      </c>
      <c r="G82" s="45" t="inlineStr">
        <is>
          <t>other</t>
        </is>
      </c>
      <c r="H82" s="45" t="inlineStr">
        <is>
          <t>Other (business, civil society, third countries)</t>
        </is>
      </c>
      <c r="I82" s="45" t="inlineStr">
        <is>
          <t>MEX</t>
        </is>
      </c>
      <c r="J82" s="45" t="inlineStr"/>
      <c r="K82" s="45" t="inlineStr">
        <is>
          <t>official_statement</t>
        </is>
      </c>
      <c r="L82" s="45" t="inlineStr">
        <is>
          <t>Press release on Mining Law reform</t>
        </is>
      </c>
      <c r="M82" s="45" t="inlineStr">
        <is>
          <t>mining_general</t>
        </is>
      </c>
      <c r="N82" s="45" t="inlineStr"/>
      <c r="O82" s="45" t="inlineStr">
        <is>
          <t>foreign_investment;corruption_governance</t>
        </is>
      </c>
      <c r="P82" s="45" t="inlineStr">
        <is>
          <t>none</t>
        </is>
      </c>
      <c r="Q82" s="45" t="inlineStr">
        <is>
          <t>not_mentioned</t>
        </is>
      </c>
      <c r="R82" s="45" t="inlineStr">
        <is>
          <t>not_mentioned</t>
        </is>
      </c>
      <c r="S82" s="45" t="inlineStr"/>
      <c r="T82" s="45" t="inlineStr">
        <is>
          <t>COPARMEX asked the Senate not to fast-track the mining reform, calling for an open parliament with experts and firms, investment certainty, and postponing approval until September.</t>
        </is>
      </c>
      <c r="U82" s="45" t="inlineStr">
        <is>
          <t>es necesario escuchar a expertos y a las empresas mediante un parlamento abierto</t>
        </is>
      </c>
      <c r="V82" s="45" t="inlineStr">
        <is>
          <t>it is necessary to listen to experts and companies through an open parliament</t>
        </is>
      </c>
      <c r="W82" s="45" t="inlineStr">
        <is>
          <t>es</t>
        </is>
      </c>
      <c r="X82" s="45" t="inlineStr">
        <is>
          <t>COPARMEX</t>
        </is>
      </c>
      <c r="Y82" s="45" t="inlineStr">
        <is>
          <t>https://coparmex.org.mx/downloads/ENVIOS/CP_31_EN_LA_LEY_DE_MINERIA_ES_NECESARIO_ESCUCHAR_A_EXPERTOS_E_INDUSTRIA_SENADO_DEBE_EVITAR_APROBAR_FAST_TRACK.pdf</t>
        </is>
      </c>
      <c r="Z82" s="45" t="inlineStr">
        <is>
          <t>primary_official</t>
        </is>
      </c>
      <c r="AA82" s="45" t="inlineStr">
        <is>
          <t>primary_verified</t>
        </is>
      </c>
      <c r="AB82" s="45" t="inlineStr">
        <is>
          <t>Business association, not government.</t>
        </is>
      </c>
      <c r="AC82" s="45" t="inlineStr">
        <is>
          <t>MEX</t>
        </is>
      </c>
    </row>
    <row r="83" ht="15" customHeight="1" s="24">
      <c r="A83" s="45" t="inlineStr">
        <is>
          <t>PS-0082</t>
        </is>
      </c>
      <c r="B83" s="45" t="inlineStr">
        <is>
          <t>2023-04-26</t>
        </is>
      </c>
      <c r="C83" s="45" t="inlineStr">
        <is>
          <t>2023</t>
        </is>
      </c>
      <c r="D83" s="45" t="inlineStr">
        <is>
          <t>ARG</t>
        </is>
      </c>
      <c r="E83" s="45" t="inlineStr">
        <is>
          <t>Juan Carlos Alderete</t>
        </is>
      </c>
      <c r="F83" s="45" t="inlineStr">
        <is>
          <t>National Deputy (Frente de Todos - CCC)</t>
        </is>
      </c>
      <c r="G83" s="45" t="inlineStr">
        <is>
          <t>legislator</t>
        </is>
      </c>
      <c r="H83" s="45" t="inlineStr">
        <is>
          <t>LatAm legislature</t>
        </is>
      </c>
      <c r="I83" s="45" t="inlineStr">
        <is>
          <t>ARG</t>
        </is>
      </c>
      <c r="J83" s="45" t="inlineStr">
        <is>
          <t>Frente de Todos (Corriente Clasista y Combativa)</t>
        </is>
      </c>
      <c r="K83" s="45" t="inlineStr">
        <is>
          <t>bill_or_law</t>
        </is>
      </c>
      <c r="L83" s="45" t="inlineStr">
        <is>
          <t>Bill declaring lithium a strategic resource (with Dep. Verónica Caliva)</t>
        </is>
      </c>
      <c r="M83" s="45" t="inlineStr">
        <is>
          <t>lithium</t>
        </is>
      </c>
      <c r="N83" s="45" t="inlineStr">
        <is>
          <t>253090;282520;283691</t>
        </is>
      </c>
      <c r="O83" s="45" t="inlineStr">
        <is>
          <t>state_control_nationalization;sovereignty;value_added_industrialization;indigenous_community_rights</t>
        </is>
      </c>
      <c r="P83" s="45" t="inlineStr">
        <is>
          <t>none</t>
        </is>
      </c>
      <c r="Q83" s="45" t="inlineStr">
        <is>
          <t>not_mentioned</t>
        </is>
      </c>
      <c r="R83" s="45" t="inlineStr">
        <is>
          <t>not_mentioned</t>
        </is>
      </c>
      <c r="S83" s="45" t="inlineStr"/>
      <c r="T83" s="45" t="inlineStr">
        <is>
          <t>Alderete and Caliva promoted a bill declaring lithium a strategic natural resource, stressing sovereignty, industrialization, environmental protection and indigenous rights.</t>
        </is>
      </c>
      <c r="U83" s="45" t="inlineStr">
        <is>
          <t>Es imprescindible que tomemos la defensa de nuestra soberanía, y protejamos los intereses nacionales referidos a este recurso natural estratégico</t>
        </is>
      </c>
      <c r="V83" s="45" t="inlineStr">
        <is>
          <t>It is essential that we defend our sovereignty and protect national interests regarding this strategic natural resource</t>
        </is>
      </c>
      <c r="W83" s="45" t="inlineStr">
        <is>
          <t>es</t>
        </is>
      </c>
      <c r="X83" s="45" t="inlineStr">
        <is>
          <t>Diario de Cuyo</t>
        </is>
      </c>
      <c r="Y83" s="45" t="inlineStr">
        <is>
          <t>https://www.diariodecuyo.com.ar/argentina/Litio-planean-nacionalizar-el-recurso-20230426-0079.html</t>
        </is>
      </c>
      <c r="Z83" s="45" t="inlineStr">
        <is>
          <t>news_media</t>
        </is>
      </c>
      <c r="AA83" s="45" t="inlineStr">
        <is>
          <t>secondary_reported</t>
        </is>
      </c>
      <c r="AB83" s="45" t="inlineStr"/>
      <c r="AC83" s="45" t="inlineStr">
        <is>
          <t>ARG</t>
        </is>
      </c>
    </row>
    <row r="84" ht="15" customHeight="1" s="24">
      <c r="A84" s="45" t="inlineStr">
        <is>
          <t>PS-0083</t>
        </is>
      </c>
      <c r="B84" s="45" t="inlineStr">
        <is>
          <t>2023-04-28</t>
        </is>
      </c>
      <c r="C84" s="45" t="inlineStr">
        <is>
          <t>2023</t>
        </is>
      </c>
      <c r="D84" s="45" t="inlineStr">
        <is>
          <t>MEX</t>
        </is>
      </c>
      <c r="E84" s="45" t="inlineStr">
        <is>
          <t>Grupo México (Leonardo Contreras)</t>
        </is>
      </c>
      <c r="F84" s="45" t="inlineStr">
        <is>
          <t>Director of Administration and Finance, Mining Division, Grupo México</t>
        </is>
      </c>
      <c r="G84" s="45" t="inlineStr">
        <is>
          <t>other</t>
        </is>
      </c>
      <c r="H84" s="45" t="inlineStr">
        <is>
          <t>Other (business, civil society, third countries)</t>
        </is>
      </c>
      <c r="I84" s="45" t="inlineStr">
        <is>
          <t>MEX</t>
        </is>
      </c>
      <c r="J84" s="45" t="inlineStr"/>
      <c r="K84" s="45" t="inlineStr">
        <is>
          <t>press_conference</t>
        </is>
      </c>
      <c r="L84" s="45" t="inlineStr">
        <is>
          <t>Analyst/investor call during Senate debate on Mining Law reform</t>
        </is>
      </c>
      <c r="M84" s="45" t="inlineStr">
        <is>
          <t>copper;mining_general</t>
        </is>
      </c>
      <c r="N84" s="45" t="inlineStr">
        <is>
          <t>260300;740200;740311</t>
        </is>
      </c>
      <c r="O84" s="45" t="inlineStr">
        <is>
          <t>foreign_investment</t>
        </is>
      </c>
      <c r="P84" s="45" t="inlineStr">
        <is>
          <t>none</t>
        </is>
      </c>
      <c r="Q84" s="45" t="inlineStr">
        <is>
          <t>not_mentioned</t>
        </is>
      </c>
      <c r="R84" s="45" t="inlineStr">
        <is>
          <t>not_mentioned</t>
        </is>
      </c>
      <c r="S84" s="45" t="inlineStr">
        <is>
          <t>Grupo México</t>
        </is>
      </c>
      <c r="T84" s="45" t="inlineStr">
        <is>
          <t>A Grupo México executive told analysts the company saw no effect of the proposed Mining Law reform on its current business and was awaiting the outcome.</t>
        </is>
      </c>
      <c r="U84" s="45" t="inlineStr">
        <is>
          <t>No vemos ningún efecto en nuestro negocio actual, estamos esperando las resoluciones</t>
        </is>
      </c>
      <c r="V84" s="45" t="inlineStr">
        <is>
          <t>We see no effect on our current business, we are waiting for the resolutions</t>
        </is>
      </c>
      <c r="W84" s="45" t="inlineStr">
        <is>
          <t>es</t>
        </is>
      </c>
      <c r="X84" s="45" t="inlineStr">
        <is>
          <t>Bloomberg (via Cámara de Diputados síntesis)</t>
        </is>
      </c>
      <c r="Y84" s="45" t="inlineStr">
        <is>
          <t>https://comunicacion.diputados.gob.mx/sintesis/LINKSIN/28423_P_BLOOMBERG_0_GRUPOMEXICO_REFORMALEYMINERA_3DIP.pdf</t>
        </is>
      </c>
      <c r="Z84" s="45" t="inlineStr">
        <is>
          <t>news_media</t>
        </is>
      </c>
      <c r="AA84" s="45" t="inlineStr">
        <is>
          <t>secondary_reported</t>
        </is>
      </c>
      <c r="AB84" s="45" t="inlineStr">
        <is>
          <t>Corporate actor.</t>
        </is>
      </c>
      <c r="AC84" s="45" t="inlineStr">
        <is>
          <t>MEX</t>
        </is>
      </c>
    </row>
    <row r="85" ht="15" customHeight="1" s="24">
      <c r="A85" s="45" t="inlineStr">
        <is>
          <t>PS-0084</t>
        </is>
      </c>
      <c r="B85" s="45" t="inlineStr">
        <is>
          <t>2023-04-29</t>
        </is>
      </c>
      <c r="C85" s="45" t="inlineStr">
        <is>
          <t>2023</t>
        </is>
      </c>
      <c r="D85" s="45" t="inlineStr">
        <is>
          <t>MEX</t>
        </is>
      </c>
      <c r="E85" s="45" t="inlineStr">
        <is>
          <t>Senado de la República</t>
        </is>
      </c>
      <c r="F85" s="45" t="inlineStr">
        <is>
          <t>Mexican Senate</t>
        </is>
      </c>
      <c r="G85" s="45" t="inlineStr">
        <is>
          <t>legislature_body</t>
        </is>
      </c>
      <c r="H85" s="45" t="inlineStr">
        <is>
          <t>LatAm legislature</t>
        </is>
      </c>
      <c r="I85" s="45" t="inlineStr">
        <is>
          <t>MEX</t>
        </is>
      </c>
      <c r="J85" s="45" t="inlineStr"/>
      <c r="K85" s="45" t="inlineStr">
        <is>
          <t>bill_or_law</t>
        </is>
      </c>
      <c r="L85" s="45" t="inlineStr">
        <is>
          <t>Senate vote on 2023 Mining Law and water concessions reform</t>
        </is>
      </c>
      <c r="M85" s="45" t="inlineStr">
        <is>
          <t>mining_general</t>
        </is>
      </c>
      <c r="N85" s="45" t="inlineStr"/>
      <c r="O85" s="45" t="inlineStr">
        <is>
          <t>state_control_nationalization;environment_water</t>
        </is>
      </c>
      <c r="P85" s="45" t="inlineStr">
        <is>
          <t>none</t>
        </is>
      </c>
      <c r="Q85" s="45" t="inlineStr">
        <is>
          <t>not_mentioned</t>
        </is>
      </c>
      <c r="R85" s="45" t="inlineStr">
        <is>
          <t>not_mentioned</t>
        </is>
      </c>
      <c r="S85" s="45" t="inlineStr"/>
      <c r="T85" s="45" t="inlineStr">
        <is>
          <t>The Senate approved the Mining Law, National Waters Law and environmental law reforms with 66 votes in a session held at an alternate venue without the opposition, sending them to the executive.</t>
        </is>
      </c>
      <c r="U85" s="45" t="inlineStr"/>
      <c r="V85" s="45" t="inlineStr"/>
      <c r="W85" s="45" t="inlineStr">
        <is>
          <t>es</t>
        </is>
      </c>
      <c r="X85" s="45" t="inlineStr">
        <is>
          <t>Bloomberg Línea</t>
        </is>
      </c>
      <c r="Y85" s="45" t="inlineStr">
        <is>
          <t>https://www.bloomberglinea.com/latinoamerica/mexico/senado-de-mexico-aprueba-cambios-a-ley-minera-y-del-mercado-de-valores/</t>
        </is>
      </c>
      <c r="Z85" s="45" t="inlineStr">
        <is>
          <t>news_media</t>
        </is>
      </c>
      <c r="AA85" s="45" t="inlineStr">
        <is>
          <t>secondary_reported</t>
        </is>
      </c>
      <c r="AB85" s="45" t="inlineStr">
        <is>
          <t>Session ran late 28 April into 29 April; date of report used.</t>
        </is>
      </c>
      <c r="AC85" s="45" t="inlineStr">
        <is>
          <t>MEX</t>
        </is>
      </c>
    </row>
    <row r="86" ht="15" customHeight="1" s="24">
      <c r="A86" s="45" t="inlineStr">
        <is>
          <t>PS-0085</t>
        </is>
      </c>
      <c r="B86" s="45" t="inlineStr">
        <is>
          <t>2023-05</t>
        </is>
      </c>
      <c r="C86" s="45" t="inlineStr">
        <is>
          <t>2023</t>
        </is>
      </c>
      <c r="D86" s="45" t="inlineStr">
        <is>
          <t>CHL</t>
        </is>
      </c>
      <c r="E86" s="45" t="inlineStr">
        <is>
          <t>Senate of Chile</t>
        </is>
      </c>
      <c r="F86" s="45" t="inlineStr">
        <is>
          <t>Senate (plenary)</t>
        </is>
      </c>
      <c r="G86" s="45" t="inlineStr">
        <is>
          <t>legislature_body</t>
        </is>
      </c>
      <c r="H86" s="45" t="inlineStr">
        <is>
          <t>LatAm legislature</t>
        </is>
      </c>
      <c r="I86" s="45" t="inlineStr">
        <is>
          <t>CHL</t>
        </is>
      </c>
      <c r="J86" s="45" t="inlineStr"/>
      <c r="K86" s="45" t="inlineStr">
        <is>
          <t>bill_or_law</t>
        </is>
      </c>
      <c r="L86" s="45" t="inlineStr">
        <is>
          <t>Senate vote on mining royalty bill (second constitutional stage)</t>
        </is>
      </c>
      <c r="M86" s="45" t="inlineStr">
        <is>
          <t>copper;lithium</t>
        </is>
      </c>
      <c r="N86" s="45" t="inlineStr">
        <is>
          <t>253090;260300;282520;283691;740200;740311</t>
        </is>
      </c>
      <c r="O86" s="45" t="inlineStr">
        <is>
          <t>royalties_taxation</t>
        </is>
      </c>
      <c r="P86" s="45" t="inlineStr">
        <is>
          <t>none</t>
        </is>
      </c>
      <c r="Q86" s="45" t="inlineStr">
        <is>
          <t>not_mentioned</t>
        </is>
      </c>
      <c r="R86" s="45" t="inlineStr">
        <is>
          <t>not_mentioned</t>
        </is>
      </c>
      <c r="S86" s="45" t="inlineStr"/>
      <c r="T86" s="45" t="inlineStr">
        <is>
          <t>The Senate approved the mining royalty bill on large copper and lithium producers 38-2 with one abstention, sending it to the Chamber for the third stage; Republican senators Rojo Edwards and Aravena voted against.</t>
        </is>
      </c>
      <c r="U86" s="45" t="inlineStr"/>
      <c r="V86" s="45" t="inlineStr"/>
      <c r="W86" s="45" t="inlineStr">
        <is>
          <t>es</t>
        </is>
      </c>
      <c r="X86" s="45" t="inlineStr">
        <is>
          <t>Radio Agricultura</t>
        </is>
      </c>
      <c r="Y86" s="45" t="inlineStr">
        <is>
          <t>https://www.radioagricultura.cl/economia/2023/05/11/senado-aprueba-proyecto-sobre-royalty-minero-y-lo-despacha-a-su-tercer-tramite-a-la-camara/</t>
        </is>
      </c>
      <c r="Z86" s="45" t="inlineStr">
        <is>
          <t>news_media</t>
        </is>
      </c>
      <c r="AA86" s="45" t="inlineStr">
        <is>
          <t>secondary_reported</t>
        </is>
      </c>
      <c r="AB86" s="45" t="inlineStr">
        <is>
          <t>Vote 10-11 May 2023; article dated 11 May</t>
        </is>
      </c>
      <c r="AC86" s="45" t="inlineStr">
        <is>
          <t>CHL</t>
        </is>
      </c>
    </row>
    <row r="87" ht="15" customHeight="1" s="24">
      <c r="A87" s="45" t="inlineStr">
        <is>
          <t>PS-0086</t>
        </is>
      </c>
      <c r="B87" s="45" t="inlineStr">
        <is>
          <t>2023-05-02</t>
        </is>
      </c>
      <c r="C87" s="45" t="inlineStr">
        <is>
          <t>2023</t>
        </is>
      </c>
      <c r="D87" s="45" t="inlineStr">
        <is>
          <t>MEX</t>
        </is>
      </c>
      <c r="E87" s="45" t="inlineStr">
        <is>
          <t>Andrés Guevara Cárdenas</t>
        </is>
      </c>
      <c r="F87" s="45" t="inlineStr">
        <is>
          <t>Local Deputy, Congress of Guerrero</t>
        </is>
      </c>
      <c r="G87" s="45" t="inlineStr">
        <is>
          <t>legislator</t>
        </is>
      </c>
      <c r="H87" s="45" t="inlineStr">
        <is>
          <t>LatAm legislature</t>
        </is>
      </c>
      <c r="I87" s="45" t="inlineStr">
        <is>
          <t>MEX</t>
        </is>
      </c>
      <c r="J87" s="45" t="inlineStr">
        <is>
          <t>Morena</t>
        </is>
      </c>
      <c r="K87" s="45" t="inlineStr">
        <is>
          <t>legislative_debate</t>
        </is>
      </c>
      <c r="L87" s="45" t="inlineStr">
        <is>
          <t>Guerrero state congress session commenting on federal Mining Law reform</t>
        </is>
      </c>
      <c r="M87" s="45" t="inlineStr">
        <is>
          <t>mining_general</t>
        </is>
      </c>
      <c r="N87" s="45" t="inlineStr"/>
      <c r="O87" s="45" t="inlineStr">
        <is>
          <t>environment_water;indigenous_community_rights;state_control_nationalization</t>
        </is>
      </c>
      <c r="P87" s="45" t="inlineStr">
        <is>
          <t>none</t>
        </is>
      </c>
      <c r="Q87" s="45" t="inlineStr">
        <is>
          <t>not_mentioned</t>
        </is>
      </c>
      <c r="R87" s="45" t="inlineStr">
        <is>
          <t>not_mentioned</t>
        </is>
      </c>
      <c r="S87" s="45" t="inlineStr"/>
      <c r="T87" s="45" t="inlineStr">
        <is>
          <t>In the Guerrero state congress, Guevara praised the federal mining reform as putting citizens, environment and national territory at the centre and respecting natural resources and communities.</t>
        </is>
      </c>
      <c r="U87" s="45" t="inlineStr">
        <is>
          <t>Hoy estamos ante una reforma que representa el respeto a nuestros recursos naturales y a la población de las comunidades</t>
        </is>
      </c>
      <c r="V87" s="45" t="inlineStr">
        <is>
          <t>Today we are facing a reform that represents respect for our natural resources and for the population of the communities</t>
        </is>
      </c>
      <c r="W87" s="45" t="inlineStr">
        <is>
          <t>es</t>
        </is>
      </c>
      <c r="X87" s="45" t="inlineStr">
        <is>
          <t>Congreso del Estado de Guerrero</t>
        </is>
      </c>
      <c r="Y87" s="45" t="inlineStr">
        <is>
          <t>https://congresogro.gob.mx/63/sesiones/intervenciones/2023-05-02-1-23-87967.pdf</t>
        </is>
      </c>
      <c r="Z87" s="45" t="inlineStr">
        <is>
          <t>legislative_record</t>
        </is>
      </c>
      <c r="AA87" s="45" t="inlineStr">
        <is>
          <t>primary_verified</t>
        </is>
      </c>
      <c r="AB87" s="45" t="inlineStr">
        <is>
          <t>Party affiliation inferred from content of the intervention; verify.</t>
        </is>
      </c>
      <c r="AC87" s="45" t="inlineStr">
        <is>
          <t>MEX</t>
        </is>
      </c>
    </row>
    <row r="88" ht="15" customHeight="1" s="24">
      <c r="A88" s="45" t="inlineStr">
        <is>
          <t>PS-0087</t>
        </is>
      </c>
      <c r="B88" s="45" t="inlineStr">
        <is>
          <t>2023-05-03</t>
        </is>
      </c>
      <c r="C88" s="45" t="inlineStr">
        <is>
          <t>2023</t>
        </is>
      </c>
      <c r="D88" s="45" t="inlineStr">
        <is>
          <t>ARG</t>
        </is>
      </c>
      <c r="E88" s="45" t="inlineStr">
        <is>
          <t>Marc Stanley</t>
        </is>
      </c>
      <c r="F88" s="45" t="inlineStr">
        <is>
          <t>US Ambassador to Argentina</t>
        </is>
      </c>
      <c r="G88" s="45" t="inlineStr">
        <is>
          <t>us_embassy</t>
        </is>
      </c>
      <c r="H88" s="45" t="inlineStr">
        <is>
          <t>United States</t>
        </is>
      </c>
      <c r="I88" s="45" t="inlineStr">
        <is>
          <t>USA</t>
        </is>
      </c>
      <c r="J88" s="45" t="inlineStr">
        <is>
          <t>Democratic</t>
        </is>
      </c>
      <c r="K88" s="45" t="inlineStr">
        <is>
          <t>speech</t>
        </is>
      </c>
      <c r="L88" s="45" t="inlineStr">
        <is>
          <t>Event at Inter-American Dialogue, Washington</t>
        </is>
      </c>
      <c r="M88" s="45" t="inlineStr">
        <is>
          <t>lithium</t>
        </is>
      </c>
      <c r="N88" s="45" t="inlineStr">
        <is>
          <t>253090;282520;283691</t>
        </is>
      </c>
      <c r="O88" s="45" t="inlineStr">
        <is>
          <t>geopolitics_security;trade_deals_offtake</t>
        </is>
      </c>
      <c r="P88" s="45" t="inlineStr">
        <is>
          <t>CHN</t>
        </is>
      </c>
      <c r="Q88" s="45" t="inlineStr">
        <is>
          <t>negative</t>
        </is>
      </c>
      <c r="R88" s="45" t="inlineStr">
        <is>
          <t>positive</t>
        </is>
      </c>
      <c r="S88" s="45" t="inlineStr"/>
      <c r="T88" s="45" t="inlineStr">
        <is>
          <t>Stanley said the US needs more tools to compete with China in the region, citing a lithium trade initiative among planned US-Argentina efforts.</t>
        </is>
      </c>
      <c r="U88" s="45" t="inlineStr"/>
      <c r="V88" s="45" t="inlineStr"/>
      <c r="W88" s="45" t="inlineStr">
        <is>
          <t>es</t>
        </is>
      </c>
      <c r="X88" s="45" t="inlineStr">
        <is>
          <t>Inter-American Dialogue (reprinting Clarín)</t>
        </is>
      </c>
      <c r="Y88" s="45" t="inlineStr">
        <is>
          <t>https://thedialogue.org/analysis/ee-uu-le-mando-un-mensaje-a-la-argentina-y-mostro-preocupacion-por-el-avance-de-china-en-la-region/</t>
        </is>
      </c>
      <c r="Z88" s="45" t="inlineStr">
        <is>
          <t>think_tank_or_ngo</t>
        </is>
      </c>
      <c r="AA88" s="45" t="inlineStr">
        <is>
          <t>secondary_reported</t>
        </is>
      </c>
      <c r="AB88" s="45" t="inlineStr">
        <is>
          <t>Only partial quote ('más herramientas') available; paraphrased.</t>
        </is>
      </c>
      <c r="AC88" s="45" t="inlineStr">
        <is>
          <t>ARG</t>
        </is>
      </c>
    </row>
    <row r="89" ht="15" customHeight="1" s="24">
      <c r="A89" s="45" t="inlineStr">
        <is>
          <t>PS-0088</t>
        </is>
      </c>
      <c r="B89" s="45" t="inlineStr">
        <is>
          <t>2023-05-04</t>
        </is>
      </c>
      <c r="C89" s="45" t="inlineStr">
        <is>
          <t>2023</t>
        </is>
      </c>
      <c r="D89" s="45" t="inlineStr">
        <is>
          <t>MEX</t>
        </is>
      </c>
      <c r="E89" s="45" t="inlineStr">
        <is>
          <t>Andrés Manuel López Obrador</t>
        </is>
      </c>
      <c r="F89" s="45" t="inlineStr">
        <is>
          <t>President of Mexico</t>
        </is>
      </c>
      <c r="G89" s="45" t="inlineStr">
        <is>
          <t>head_of_state</t>
        </is>
      </c>
      <c r="H89" s="45" t="inlineStr">
        <is>
          <t>LatAm executive</t>
        </is>
      </c>
      <c r="I89" s="45" t="inlineStr">
        <is>
          <t>MEX</t>
        </is>
      </c>
      <c r="J89" s="45" t="inlineStr">
        <is>
          <t>Morena</t>
        </is>
      </c>
      <c r="K89" s="45" t="inlineStr">
        <is>
          <t>press_conference</t>
        </is>
      </c>
      <c r="L89" s="45" t="inlineStr">
        <is>
          <t>Mañanera after Congress approved 2023 Mining Law reform</t>
        </is>
      </c>
      <c r="M89" s="45" t="inlineStr">
        <is>
          <t>mining_general</t>
        </is>
      </c>
      <c r="N89" s="45" t="inlineStr"/>
      <c r="O89" s="45" t="inlineStr">
        <is>
          <t>state_control_nationalization;environment_water</t>
        </is>
      </c>
      <c r="P89" s="45" t="inlineStr">
        <is>
          <t>none</t>
        </is>
      </c>
      <c r="Q89" s="45" t="inlineStr">
        <is>
          <t>not_mentioned</t>
        </is>
      </c>
      <c r="R89" s="45" t="inlineStr">
        <is>
          <t>not_mentioned</t>
        </is>
      </c>
      <c r="S89" s="45" t="inlineStr">
        <is>
          <t>Cerro de San Pedro</t>
        </is>
      </c>
      <c r="T89" s="45" t="inlineStr">
        <is>
          <t>AMLO said the newly approved Mining Law would apply to future concessions and that his government would not grant any new concessions, recalling environmental damage from gold mining at Cerro de San Pedro.</t>
        </is>
      </c>
      <c r="U89" s="45" t="inlineStr">
        <is>
          <t>una ley para aplicarse en el futuro cuando se entreguen concesiones, si es que van a entregar concesiones, en el caso de nosotros no vamos a entregar concesiones</t>
        </is>
      </c>
      <c r="V89" s="45" t="inlineStr">
        <is>
          <t>a law to be applied in the future when concessions are granted, if they are granted; in our case we will not grant concessions</t>
        </is>
      </c>
      <c r="W89" s="45" t="inlineStr">
        <is>
          <t>es</t>
        </is>
      </c>
      <c r="X89" s="45" t="inlineStr">
        <is>
          <t>N+</t>
        </is>
      </c>
      <c r="Y89" s="45" t="inlineStr">
        <is>
          <t>https://www.nmas.com.mx/nacional/ley-minera-2023-amlo-advierte-que-solo-afectara-a-las-nuevas-concesiones/</t>
        </is>
      </c>
      <c r="Z89" s="45" t="inlineStr">
        <is>
          <t>news_media</t>
        </is>
      </c>
      <c r="AA89" s="45" t="inlineStr">
        <is>
          <t>secondary_reported</t>
        </is>
      </c>
      <c r="AB89" s="45" t="inlineStr"/>
      <c r="AC89" s="45" t="inlineStr">
        <is>
          <t>MEX</t>
        </is>
      </c>
    </row>
    <row r="90" ht="15" customHeight="1" s="24">
      <c r="A90" s="45" t="inlineStr">
        <is>
          <t>PS-0089</t>
        </is>
      </c>
      <c r="B90" s="45" t="inlineStr">
        <is>
          <t>2023-05-08</t>
        </is>
      </c>
      <c r="C90" s="45" t="inlineStr">
        <is>
          <t>2023</t>
        </is>
      </c>
      <c r="D90" s="45" t="inlineStr">
        <is>
          <t>MEX</t>
        </is>
      </c>
      <c r="E90" s="45" t="inlineStr">
        <is>
          <t>Andrés Manuel López Obrador</t>
        </is>
      </c>
      <c r="F90" s="45" t="inlineStr">
        <is>
          <t>President of Mexico</t>
        </is>
      </c>
      <c r="G90" s="45" t="inlineStr">
        <is>
          <t>head_of_state</t>
        </is>
      </c>
      <c r="H90" s="45" t="inlineStr">
        <is>
          <t>LatAm executive</t>
        </is>
      </c>
      <c r="I90" s="45" t="inlineStr">
        <is>
          <t>MEX</t>
        </is>
      </c>
      <c r="J90" s="45" t="inlineStr">
        <is>
          <t>Morena</t>
        </is>
      </c>
      <c r="K90" s="45" t="inlineStr">
        <is>
          <t>bill_or_law</t>
        </is>
      </c>
      <c r="L90" s="45" t="inlineStr">
        <is>
          <t>Promulgation of Mining Law reform in Diario Oficial</t>
        </is>
      </c>
      <c r="M90" s="45" t="inlineStr">
        <is>
          <t>mining_general</t>
        </is>
      </c>
      <c r="N90" s="45" t="inlineStr"/>
      <c r="O90" s="45" t="inlineStr">
        <is>
          <t>state_control_nationalization;environment_water;royalties_taxation</t>
        </is>
      </c>
      <c r="P90" s="45" t="inlineStr">
        <is>
          <t>none</t>
        </is>
      </c>
      <c r="Q90" s="45" t="inlineStr">
        <is>
          <t>not_mentioned</t>
        </is>
      </c>
      <c r="R90" s="45" t="inlineStr">
        <is>
          <t>not_mentioned</t>
        </is>
      </c>
      <c r="S90" s="45" t="inlineStr"/>
      <c r="T90" s="45" t="inlineStr">
        <is>
          <t>The reform package cutting mining concessions to up to 80 years and water concessions to 30 years was published in the official gazette; AMLO argued it did not harm investors, noting miners had earned record profits.</t>
        </is>
      </c>
      <c r="U90" s="45" t="inlineStr">
        <is>
          <t>han obtenido utilidades y en algunos casos, como nunca</t>
        </is>
      </c>
      <c r="V90" s="45" t="inlineStr">
        <is>
          <t>they have obtained profits, and in some cases like never before</t>
        </is>
      </c>
      <c r="W90" s="45" t="inlineStr">
        <is>
          <t>es</t>
        </is>
      </c>
      <c r="X90" s="45" t="inlineStr">
        <is>
          <t>Zeta Tijuana</t>
        </is>
      </c>
      <c r="Y90" s="45" t="inlineStr">
        <is>
          <t>https://zetatijuana.com/2023/05/gobierno-de-amlo-promulga-reformas-para-disminuir-anos-a-concesiones-mineras/</t>
        </is>
      </c>
      <c r="Z90" s="45" t="inlineStr">
        <is>
          <t>news_media</t>
        </is>
      </c>
      <c r="AA90" s="45" t="inlineStr">
        <is>
          <t>secondary_reported</t>
        </is>
      </c>
      <c r="AB90" s="45" t="inlineStr">
        <is>
          <t>Quote date approximate (reported with promulgation).</t>
        </is>
      </c>
      <c r="AC90" s="45" t="inlineStr">
        <is>
          <t>MEX</t>
        </is>
      </c>
    </row>
    <row r="91" ht="15" customHeight="1" s="24">
      <c r="A91" s="45" t="inlineStr">
        <is>
          <t>PS-0090</t>
        </is>
      </c>
      <c r="B91" s="45" t="inlineStr">
        <is>
          <t>2023-05-08</t>
        </is>
      </c>
      <c r="C91" s="45" t="inlineStr">
        <is>
          <t>2023</t>
        </is>
      </c>
      <c r="D91" s="45" t="inlineStr">
        <is>
          <t>MEX</t>
        </is>
      </c>
      <c r="E91" s="45" t="inlineStr">
        <is>
          <t>Raquel Buenrostro</t>
        </is>
      </c>
      <c r="F91" s="45" t="inlineStr">
        <is>
          <t>Secretary of Economy of Mexico</t>
        </is>
      </c>
      <c r="G91" s="45" t="inlineStr">
        <is>
          <t>minister_cabinet</t>
        </is>
      </c>
      <c r="H91" s="45" t="inlineStr">
        <is>
          <t>LatAm executive</t>
        </is>
      </c>
      <c r="I91" s="45" t="inlineStr">
        <is>
          <t>MEX</t>
        </is>
      </c>
      <c r="J91" s="45" t="inlineStr">
        <is>
          <t>Morena</t>
        </is>
      </c>
      <c r="K91" s="45" t="inlineStr">
        <is>
          <t>press_conference</t>
        </is>
      </c>
      <c r="L91" s="45" t="inlineStr">
        <is>
          <t>Explaining new Mining Law</t>
        </is>
      </c>
      <c r="M91" s="45" t="inlineStr">
        <is>
          <t>mining_general</t>
        </is>
      </c>
      <c r="N91" s="45" t="inlineStr"/>
      <c r="O91" s="45" t="inlineStr">
        <is>
          <t>environment_water;state_control_nationalization</t>
        </is>
      </c>
      <c r="P91" s="45" t="inlineStr">
        <is>
          <t>none</t>
        </is>
      </c>
      <c r="Q91" s="45" t="inlineStr">
        <is>
          <t>not_mentioned</t>
        </is>
      </c>
      <c r="R91" s="45" t="inlineStr">
        <is>
          <t>not_mentioned</t>
        </is>
      </c>
      <c r="S91" s="45" t="inlineStr"/>
      <c r="T91" s="45" t="inlineStr">
        <is>
          <t>Buenrostro said that under the new law concessions in water-scarce areas would only be granted with presidential authorization and that there would be no new concessions because people have priority over water.</t>
        </is>
      </c>
      <c r="U91" s="45" t="inlineStr">
        <is>
          <t>No habrá concesiones nuevas porque no hay agua y la prioridad la tiene la gente</t>
        </is>
      </c>
      <c r="V91" s="45" t="inlineStr">
        <is>
          <t>There will be no new concessions because there is no water and people have priority</t>
        </is>
      </c>
      <c r="W91" s="45" t="inlineStr">
        <is>
          <t>es</t>
        </is>
      </c>
      <c r="X91" s="45" t="inlineStr">
        <is>
          <t>El Financiero</t>
        </is>
      </c>
      <c r="Y91" s="45" t="inlineStr">
        <is>
          <t>https://www.elfinanciero.com.mx/economia/2023/05/08/ley-minera-solo-amlo-podra-autorizar-concesiones-en-zonas-sin-agua/</t>
        </is>
      </c>
      <c r="Z91" s="45" t="inlineStr">
        <is>
          <t>news_media</t>
        </is>
      </c>
      <c r="AA91" s="45" t="inlineStr">
        <is>
          <t>secondary_reported</t>
        </is>
      </c>
      <c r="AB91" s="45" t="inlineStr">
        <is>
          <t>Exact date of remark approximate (article date).</t>
        </is>
      </c>
      <c r="AC91" s="45" t="inlineStr">
        <is>
          <t>MEX</t>
        </is>
      </c>
    </row>
    <row r="92" ht="15" customHeight="1" s="24">
      <c r="A92" s="45" t="inlineStr">
        <is>
          <t>PS-0091</t>
        </is>
      </c>
      <c r="B92" s="45" t="inlineStr">
        <is>
          <t>2023-05-09</t>
        </is>
      </c>
      <c r="C92" s="45" t="inlineStr">
        <is>
          <t>2023</t>
        </is>
      </c>
      <c r="D92" s="45" t="inlineStr">
        <is>
          <t>BRA</t>
        </is>
      </c>
      <c r="E92" s="45" t="inlineStr">
        <is>
          <t>Romeu Zema</t>
        </is>
      </c>
      <c r="F92" s="45" t="inlineStr">
        <is>
          <t>Governor of Minas Gerais</t>
        </is>
      </c>
      <c r="G92" s="45" t="inlineStr">
        <is>
          <t>subnational_gov</t>
        </is>
      </c>
      <c r="H92" s="45" t="inlineStr">
        <is>
          <t>LatAm executive</t>
        </is>
      </c>
      <c r="I92" s="45" t="inlineStr">
        <is>
          <t>BRA</t>
        </is>
      </c>
      <c r="J92" s="45" t="inlineStr">
        <is>
          <t>Novo</t>
        </is>
      </c>
      <c r="K92" s="45" t="inlineStr">
        <is>
          <t>speech</t>
        </is>
      </c>
      <c r="L92" s="45" t="inlineStr">
        <is>
          <t>Launch of 'Vale do Lítio' project at Nasdaq, New York</t>
        </is>
      </c>
      <c r="M92" s="45" t="inlineStr">
        <is>
          <t>lithium</t>
        </is>
      </c>
      <c r="N92" s="45" t="inlineStr">
        <is>
          <t>253090;282520;283691</t>
        </is>
      </c>
      <c r="O92" s="45" t="inlineStr">
        <is>
          <t>foreign_investment;value_added_industrialization;environment_water;energy_transition</t>
        </is>
      </c>
      <c r="P92" s="45" t="inlineStr">
        <is>
          <t>USA</t>
        </is>
      </c>
      <c r="Q92" s="45" t="inlineStr">
        <is>
          <t>not_mentioned</t>
        </is>
      </c>
      <c r="R92" s="45" t="inlineStr">
        <is>
          <t>not_mentioned</t>
        </is>
      </c>
      <c r="S92" s="45" t="inlineStr">
        <is>
          <t>Vale do Lítio</t>
        </is>
      </c>
      <c r="T92" s="45" t="inlineStr">
        <is>
          <t>Launching the Lithium Valley initiative at Nasdaq, Zema said Minas Gerais would proceed in stages from extraction to processing and purification and had begun contacts with battery makers, pledging careful but solution-oriented environmental licensing.</t>
        </is>
      </c>
      <c r="U92" s="45" t="inlineStr">
        <is>
          <t>Estamos começando já acima do básico, não estamos vendendo o minério sem beneficiamento</t>
        </is>
      </c>
      <c r="V92" s="45" t="inlineStr">
        <is>
          <t>We are already starting above the basics; we are not selling the ore without processing</t>
        </is>
      </c>
      <c r="W92" s="45" t="inlineStr">
        <is>
          <t>pt</t>
        </is>
      </c>
      <c r="X92" s="45" t="inlineStr">
        <is>
          <t>Itatiaia</t>
        </is>
      </c>
      <c r="Y92" s="45" t="inlineStr">
        <is>
          <t>https://www.itatiaia.com.br/politica/governo-de-minas-lanca-vale-do-litio-na-nasdaq-e-busca-investidores-para-exploracao-no-vale-do-jequitinhonha/</t>
        </is>
      </c>
      <c r="Z92" s="45" t="inlineStr">
        <is>
          <t>news_media</t>
        </is>
      </c>
      <c r="AA92" s="45" t="inlineStr">
        <is>
          <t>secondary_reported</t>
        </is>
      </c>
      <c r="AB92" s="45" t="inlineStr"/>
      <c r="AC92" s="45" t="inlineStr">
        <is>
          <t>BRA</t>
        </is>
      </c>
    </row>
    <row r="93" ht="15" customHeight="1" s="24">
      <c r="A93" s="45" t="inlineStr">
        <is>
          <t>PS-0092</t>
        </is>
      </c>
      <c r="B93" s="45" t="inlineStr">
        <is>
          <t>2023-05-09</t>
        </is>
      </c>
      <c r="C93" s="45" t="inlineStr">
        <is>
          <t>2023</t>
        </is>
      </c>
      <c r="D93" s="45" t="inlineStr">
        <is>
          <t>MEX</t>
        </is>
      </c>
      <c r="E93" s="45" t="inlineStr">
        <is>
          <t>Pablo Taddei</t>
        </is>
      </c>
      <c r="F93" s="45" t="inlineStr">
        <is>
          <t>Director General of LitioMx</t>
        </is>
      </c>
      <c r="G93" s="45" t="inlineStr">
        <is>
          <t>state_company</t>
        </is>
      </c>
      <c r="H93" s="45" t="inlineStr">
        <is>
          <t>LatAm state company</t>
        </is>
      </c>
      <c r="I93" s="45" t="inlineStr">
        <is>
          <t>MEX</t>
        </is>
      </c>
      <c r="J93" s="45" t="inlineStr"/>
      <c r="K93" s="45" t="inlineStr">
        <is>
          <t>interview</t>
        </is>
      </c>
      <c r="L93" s="45" t="inlineStr">
        <is>
          <t>Interview on LitioMx plans</t>
        </is>
      </c>
      <c r="M93" s="45" t="inlineStr">
        <is>
          <t>lithium</t>
        </is>
      </c>
      <c r="N93" s="45" t="inlineStr">
        <is>
          <t>253090;282520;283691</t>
        </is>
      </c>
      <c r="O93" s="45" t="inlineStr">
        <is>
          <t>state_control_nationalization;foreign_investment;technology_transfer</t>
        </is>
      </c>
      <c r="P93" s="45" t="inlineStr">
        <is>
          <t>none</t>
        </is>
      </c>
      <c r="Q93" s="45" t="inlineStr">
        <is>
          <t>not_mentioned</t>
        </is>
      </c>
      <c r="R93" s="45" t="inlineStr">
        <is>
          <t>not_mentioned</t>
        </is>
      </c>
      <c r="S93" s="45" t="inlineStr">
        <is>
          <t>LitioMx</t>
        </is>
      </c>
      <c r="T93" s="45" t="inlineStr">
        <is>
          <t>Taddei said existing concessions would be respected, that the state's role vis-a-vis private participation had been misinterpreted, and that his duty was to obtain lithium in the most economically viable way.</t>
        </is>
      </c>
      <c r="U93" s="45" t="inlineStr">
        <is>
          <t>El Estado mexicano, aunque suene trillado, es respetuoso de la ley y eso ha sido una orden del presidente desde el inicio. Se respetarán las concesiones</t>
        </is>
      </c>
      <c r="V93" s="45" t="inlineStr">
        <is>
          <t>The Mexican state, trite as it sounds, respects the law and that has been the president's order from the start. Concessions will be respected</t>
        </is>
      </c>
      <c r="W93" s="45" t="inlineStr">
        <is>
          <t>es</t>
        </is>
      </c>
      <c r="X93" s="45" t="inlineStr">
        <is>
          <t>Expansión</t>
        </is>
      </c>
      <c r="Y93" s="45" t="inlineStr">
        <is>
          <t>https://expansion.mx/empresas/2023/05/09/primera-produccion-litio-sexenio-2028</t>
        </is>
      </c>
      <c r="Z93" s="45" t="inlineStr">
        <is>
          <t>news_media</t>
        </is>
      </c>
      <c r="AA93" s="45" t="inlineStr">
        <is>
          <t>secondary_reported</t>
        </is>
      </c>
      <c r="AB93" s="45" t="inlineStr">
        <is>
          <t>Article reports first production expected around 2028.</t>
        </is>
      </c>
      <c r="AC93" s="45" t="inlineStr">
        <is>
          <t>MEX</t>
        </is>
      </c>
    </row>
    <row r="94" ht="15" customHeight="1" s="24">
      <c r="A94" s="45" t="inlineStr">
        <is>
          <t>PS-0093</t>
        </is>
      </c>
      <c r="B94" s="45" t="inlineStr">
        <is>
          <t>2023-05-10</t>
        </is>
      </c>
      <c r="C94" s="45" t="inlineStr">
        <is>
          <t>2023</t>
        </is>
      </c>
      <c r="D94" s="45" t="inlineStr">
        <is>
          <t>BRA</t>
        </is>
      </c>
      <c r="E94" s="45" t="inlineStr">
        <is>
          <t>Alexandre Silveira</t>
        </is>
      </c>
      <c r="F94" s="45" t="inlineStr">
        <is>
          <t>Minister of Mines and Energy of Brazil</t>
        </is>
      </c>
      <c r="G94" s="45" t="inlineStr">
        <is>
          <t>minister_cabinet</t>
        </is>
      </c>
      <c r="H94" s="45" t="inlineStr">
        <is>
          <t>LatAm executive</t>
        </is>
      </c>
      <c r="I94" s="45" t="inlineStr">
        <is>
          <t>BRA</t>
        </is>
      </c>
      <c r="J94" s="45" t="inlineStr">
        <is>
          <t>PSD</t>
        </is>
      </c>
      <c r="K94" s="45" t="inlineStr">
        <is>
          <t>speech</t>
        </is>
      </c>
      <c r="L94" s="45" t="inlineStr">
        <is>
          <t>Event on Vale do Lítio / mining in Minas Gerais</t>
        </is>
      </c>
      <c r="M94" s="45" t="inlineStr">
        <is>
          <t>lithium;niobium;iron_ore</t>
        </is>
      </c>
      <c r="N94" s="45" t="inlineStr">
        <is>
          <t>253090;261590;282520;283691;720293</t>
        </is>
      </c>
      <c r="O94" s="45" t="inlineStr">
        <is>
          <t>energy_transition;foreign_investment</t>
        </is>
      </c>
      <c r="P94" s="45" t="inlineStr">
        <is>
          <t>none</t>
        </is>
      </c>
      <c r="Q94" s="45" t="inlineStr">
        <is>
          <t>not_mentioned</t>
        </is>
      </c>
      <c r="R94" s="45" t="inlineStr">
        <is>
          <t>not_mentioned</t>
        </is>
      </c>
      <c r="S94" s="45" t="inlineStr">
        <is>
          <t>Vale do Lítio</t>
        </is>
      </c>
      <c r="T94" s="45" t="inlineStr">
        <is>
          <t>Silveira stressed that Minas Gerais's economy depends on mining beyond iron ore, citing Jequitinhonha lithium, niobium and potash as strategic minerals for the energy transition, as his ministry engaged in Zema's Lithium Valley investor talks.</t>
        </is>
      </c>
      <c r="U94" s="45" t="inlineStr">
        <is>
          <t>Não é só a questão do minério de ferro. Os minerais estratégicos (também): o lítio do Vale do Jequitinhonha, o nióbio, o potássio</t>
        </is>
      </c>
      <c r="V94" s="45" t="inlineStr">
        <is>
          <t>It is not only about iron ore. Strategic minerals too: Jequitinhonha Valley lithium, niobium, potash</t>
        </is>
      </c>
      <c r="W94" s="45" t="inlineStr">
        <is>
          <t>pt</t>
        </is>
      </c>
      <c r="X94" s="45" t="inlineStr">
        <is>
          <t>Itatiaia</t>
        </is>
      </c>
      <c r="Y94" s="45" t="inlineStr">
        <is>
          <t>https://www.itatiaia.com.br/politica/o-papel-do-ministerio-de-alexandre-silveira-nas-conversas-sobre-o-vale-do-litio-em-minas/</t>
        </is>
      </c>
      <c r="Z94" s="45" t="inlineStr">
        <is>
          <t>news_media</t>
        </is>
      </c>
      <c r="AA94" s="45" t="inlineStr">
        <is>
          <t>secondary_reported</t>
        </is>
      </c>
      <c r="AB94" s="45" t="inlineStr">
        <is>
          <t>Date = article date; statement may be earlier</t>
        </is>
      </c>
      <c r="AC94" s="45" t="inlineStr">
        <is>
          <t>BRA</t>
        </is>
      </c>
    </row>
    <row r="95" ht="15" customHeight="1" s="24">
      <c r="A95" s="45" t="inlineStr">
        <is>
          <t>PS-0094</t>
        </is>
      </c>
      <c r="B95" s="45" t="inlineStr">
        <is>
          <t>2023-05-15</t>
        </is>
      </c>
      <c r="C95" s="45" t="inlineStr">
        <is>
          <t>2023</t>
        </is>
      </c>
      <c r="D95" s="45" t="inlineStr">
        <is>
          <t>CHL</t>
        </is>
      </c>
      <c r="E95" s="45" t="inlineStr">
        <is>
          <t>Bernadette Meehan</t>
        </is>
      </c>
      <c r="F95" s="45" t="inlineStr">
        <is>
          <t>U.S. Ambassador to Chile</t>
        </is>
      </c>
      <c r="G95" s="45" t="inlineStr">
        <is>
          <t>us_embassy</t>
        </is>
      </c>
      <c r="H95" s="45" t="inlineStr">
        <is>
          <t>United States</t>
        </is>
      </c>
      <c r="I95" s="45" t="inlineStr">
        <is>
          <t>USA</t>
        </is>
      </c>
      <c r="J95" s="45" t="inlineStr">
        <is>
          <t>U.S. Department of State</t>
        </is>
      </c>
      <c r="K95" s="45" t="inlineStr">
        <is>
          <t>interview</t>
        </is>
      </c>
      <c r="L95" s="45" t="inlineStr">
        <is>
          <t>Interview on National Lithium Strategy and US-China competition</t>
        </is>
      </c>
      <c r="M95" s="45" t="inlineStr">
        <is>
          <t>lithium</t>
        </is>
      </c>
      <c r="N95" s="45" t="inlineStr">
        <is>
          <t>253090;282520;283691</t>
        </is>
      </c>
      <c r="O95" s="45" t="inlineStr">
        <is>
          <t>foreign_investment;geopolitics_security;state_control_nationalization</t>
        </is>
      </c>
      <c r="P95" s="45" t="inlineStr">
        <is>
          <t>CHN</t>
        </is>
      </c>
      <c r="Q95" s="45" t="inlineStr">
        <is>
          <t>negative</t>
        </is>
      </c>
      <c r="R95" s="45" t="inlineStr">
        <is>
          <t>positive</t>
        </is>
      </c>
      <c r="S95" s="45" t="inlineStr"/>
      <c r="T95" s="45" t="inlineStr">
        <is>
          <t>The US ambassador said it was wrong to call Chile's lithium strategy a nationalisation, said US firms wanted to be part of the industry, denied the US forces Chile to choose sides and called for fair competition with state-backed firms.</t>
        </is>
      </c>
      <c r="U95" s="45" t="inlineStr">
        <is>
          <t>es un error decir que es una nacionalización de la industria</t>
        </is>
      </c>
      <c r="V95" s="45" t="inlineStr">
        <is>
          <t>it is a mistake to say it is a nationalisation of the industry</t>
        </is>
      </c>
      <c r="W95" s="45" t="inlineStr">
        <is>
          <t>es</t>
        </is>
      </c>
      <c r="X95" s="45" t="inlineStr">
        <is>
          <t>Redimin</t>
        </is>
      </c>
      <c r="Y95" s="45" t="inlineStr">
        <is>
          <t>https://www.redimin.cl/bernadette-meehan-embajadora-de-eeuu-en-chile-es-un-error-decir-que-la-estrategia-del-litio-es-la-nacionalizacion-de-la-industria/amp/</t>
        </is>
      </c>
      <c r="Z95" s="45" t="inlineStr">
        <is>
          <t>news_media</t>
        </is>
      </c>
      <c r="AA95" s="45" t="inlineStr">
        <is>
          <t>secondary_reported</t>
        </is>
      </c>
      <c r="AB95" s="45" t="inlineStr">
        <is>
          <t>stance_china negative inferred from remarks on state-backed firms and coercion (China implied)</t>
        </is>
      </c>
      <c r="AC95" s="45" t="inlineStr">
        <is>
          <t>CHL</t>
        </is>
      </c>
    </row>
    <row r="96" ht="15" customHeight="1" s="24">
      <c r="A96" s="45" t="inlineStr">
        <is>
          <t>PS-0095</t>
        </is>
      </c>
      <c r="B96" s="45" t="inlineStr">
        <is>
          <t>2023-05-16</t>
        </is>
      </c>
      <c r="C96" s="45" t="inlineStr">
        <is>
          <t>2023</t>
        </is>
      </c>
      <c r="D96" s="45" t="inlineStr">
        <is>
          <t>ARG</t>
        </is>
      </c>
      <c r="E96" s="45" t="inlineStr">
        <is>
          <t>Juan Carlos Alderete</t>
        </is>
      </c>
      <c r="F96" s="45" t="inlineStr">
        <is>
          <t>National Deputy (Frente de Todos - CCC)</t>
        </is>
      </c>
      <c r="G96" s="45" t="inlineStr">
        <is>
          <t>legislator</t>
        </is>
      </c>
      <c r="H96" s="45" t="inlineStr">
        <is>
          <t>LatAm legislature</t>
        </is>
      </c>
      <c r="I96" s="45" t="inlineStr">
        <is>
          <t>ARG</t>
        </is>
      </c>
      <c r="J96" s="45" t="inlineStr">
        <is>
          <t>Frente de Todos (Corriente Clasista y Combativa)</t>
        </is>
      </c>
      <c r="K96" s="45" t="inlineStr">
        <is>
          <t>interview</t>
        </is>
      </c>
      <c r="L96" s="45" t="inlineStr">
        <is>
          <t>Defending lithium strategic-resource bill</t>
        </is>
      </c>
      <c r="M96" s="45" t="inlineStr">
        <is>
          <t>lithium</t>
        </is>
      </c>
      <c r="N96" s="45" t="inlineStr">
        <is>
          <t>253090;282520;283691</t>
        </is>
      </c>
      <c r="O96" s="45" t="inlineStr">
        <is>
          <t>state_control_nationalization;sovereignty;value_added_industrialization</t>
        </is>
      </c>
      <c r="P96" s="45" t="inlineStr">
        <is>
          <t>none</t>
        </is>
      </c>
      <c r="Q96" s="45" t="inlineStr">
        <is>
          <t>not_mentioned</t>
        </is>
      </c>
      <c r="R96" s="45" t="inlineStr">
        <is>
          <t>not_mentioned</t>
        </is>
      </c>
      <c r="S96" s="45" t="inlineStr"/>
      <c r="T96" s="45" t="inlineStr">
        <is>
          <t>Alderete said his bill does not nationalize lithium but declares it strategic, keeping it provincial while the national state sets minimal regulation of companies and pushes industrialization.</t>
        </is>
      </c>
      <c r="U96" s="45" t="inlineStr">
        <is>
          <t>No es nacionalizar el litio, sino declararlo recurso estratégico, el litio seguirá siendo de las provincias</t>
        </is>
      </c>
      <c r="V96" s="45" t="inlineStr">
        <is>
          <t>It is not nationalizing lithium but declaring it a strategic resource; lithium will remain the provinces'</t>
        </is>
      </c>
      <c r="W96" s="45" t="inlineStr">
        <is>
          <t>es</t>
        </is>
      </c>
      <c r="X96" s="45" t="inlineStr">
        <is>
          <t>Bloomberg Línea</t>
        </is>
      </c>
      <c r="Y96" s="45" t="inlineStr">
        <is>
          <t>https://www.bloomberglinea.com/latinoamerica/argentina/litio-por-que-proyecto-del-frente-de-todos-no-es-nacionalizacion-segun-su-autor/</t>
        </is>
      </c>
      <c r="Z96" s="45" t="inlineStr">
        <is>
          <t>news_media</t>
        </is>
      </c>
      <c r="AA96" s="45" t="inlineStr">
        <is>
          <t>secondary_reported</t>
        </is>
      </c>
      <c r="AB96" s="45" t="inlineStr"/>
      <c r="AC96" s="45" t="inlineStr">
        <is>
          <t>ARG</t>
        </is>
      </c>
    </row>
    <row r="97" ht="15" customHeight="1" s="24">
      <c r="A97" s="45" t="inlineStr">
        <is>
          <t>PS-0096</t>
        </is>
      </c>
      <c r="B97" s="45" t="inlineStr">
        <is>
          <t>2023-06-20</t>
        </is>
      </c>
      <c r="C97" s="45" t="inlineStr">
        <is>
          <t>2023</t>
        </is>
      </c>
      <c r="D97" s="45" t="inlineStr">
        <is>
          <t>ARG</t>
        </is>
      </c>
      <c r="E97" s="45" t="inlineStr">
        <is>
          <t>Alberto Fernández</t>
        </is>
      </c>
      <c r="F97" s="45" t="inlineStr">
        <is>
          <t>President of Argentina</t>
        </is>
      </c>
      <c r="G97" s="45" t="inlineStr">
        <is>
          <t>head_of_state</t>
        </is>
      </c>
      <c r="H97" s="45" t="inlineStr">
        <is>
          <t>LatAm executive</t>
        </is>
      </c>
      <c r="I97" s="45" t="inlineStr">
        <is>
          <t>ARG</t>
        </is>
      </c>
      <c r="J97" s="45" t="inlineStr">
        <is>
          <t>Frente de Todos</t>
        </is>
      </c>
      <c r="K97" s="45" t="inlineStr">
        <is>
          <t>social_media_post</t>
        </is>
      </c>
      <c r="L97" s="45" t="inlineStr">
        <is>
          <t>Jujuy constitutional reform protests</t>
        </is>
      </c>
      <c r="M97" s="45" t="inlineStr">
        <is>
          <t>lithium</t>
        </is>
      </c>
      <c r="N97" s="45" t="inlineStr">
        <is>
          <t>253090;282520;283691</t>
        </is>
      </c>
      <c r="O97" s="45" t="inlineStr">
        <is>
          <t>indigenous_community_rights;labor_social_conflict</t>
        </is>
      </c>
      <c r="P97" s="45" t="inlineStr">
        <is>
          <t>none</t>
        </is>
      </c>
      <c r="Q97" s="45" t="inlineStr">
        <is>
          <t>not_mentioned</t>
        </is>
      </c>
      <c r="R97" s="45" t="inlineStr">
        <is>
          <t>not_mentioned</t>
        </is>
      </c>
      <c r="S97" s="45" t="inlineStr"/>
      <c r="T97" s="45" t="inlineStr">
        <is>
          <t>Fernández held Governor Morales solely responsible for the crisis in Jujuy, saying the constitutional reform ignores international agreements, does not listen to indigenous peoples and denies the right to protest.</t>
        </is>
      </c>
      <c r="U97" s="45" t="inlineStr">
        <is>
          <t>Usted es el único responsable de haber llevado a nuestra querida provincia de Jujuy a esta situación límite</t>
        </is>
      </c>
      <c r="V97" s="45" t="inlineStr">
        <is>
          <t>You are solely responsible for bringing our beloved province of Jujuy to this breaking point</t>
        </is>
      </c>
      <c r="W97" s="45" t="inlineStr">
        <is>
          <t>es</t>
        </is>
      </c>
      <c r="X97" s="45" t="inlineStr">
        <is>
          <t>Los Andes</t>
        </is>
      </c>
      <c r="Y97" s="45" t="inlineStr">
        <is>
          <t>https://www.losandes.com.ar/politica/alberto-fernandez-y-cristina-kirchner-le-respondieron-a-gerardo-morales-y-lo-responsabilizaron-por-la-violencia-que-se-vive-en-jujuy</t>
        </is>
      </c>
      <c r="Z97" s="45" t="inlineStr">
        <is>
          <t>news_media</t>
        </is>
      </c>
      <c r="AA97" s="45" t="inlineStr">
        <is>
          <t>secondary_reported</t>
        </is>
      </c>
      <c r="AB97" s="45" t="inlineStr">
        <is>
          <t>Statement does not explicitly mention lithium; coded lithium because the reform conflict centred on lithium/land rights of indigenous communities.</t>
        </is>
      </c>
      <c r="AC97" s="45" t="inlineStr">
        <is>
          <t>ARG</t>
        </is>
      </c>
    </row>
    <row r="98" ht="15" customHeight="1" s="24">
      <c r="A98" s="45" t="inlineStr">
        <is>
          <t>PS-0097</t>
        </is>
      </c>
      <c r="B98" s="45" t="inlineStr">
        <is>
          <t>2023-06-20</t>
        </is>
      </c>
      <c r="C98" s="45" t="inlineStr">
        <is>
          <t>2023</t>
        </is>
      </c>
      <c r="D98" s="45" t="inlineStr">
        <is>
          <t>ARG</t>
        </is>
      </c>
      <c r="E98" s="45" t="inlineStr">
        <is>
          <t>Gerardo Morales</t>
        </is>
      </c>
      <c r="F98" s="45" t="inlineStr">
        <is>
          <t>Governor of Jujuy</t>
        </is>
      </c>
      <c r="G98" s="45" t="inlineStr">
        <is>
          <t>subnational_gov</t>
        </is>
      </c>
      <c r="H98" s="45" t="inlineStr">
        <is>
          <t>LatAm executive</t>
        </is>
      </c>
      <c r="I98" s="45" t="inlineStr">
        <is>
          <t>ARG</t>
        </is>
      </c>
      <c r="J98" s="45" t="inlineStr">
        <is>
          <t>UCR</t>
        </is>
      </c>
      <c r="K98" s="45" t="inlineStr">
        <is>
          <t>official_statement</t>
        </is>
      </c>
      <c r="L98" s="45" t="inlineStr">
        <is>
          <t>Jujuy constitutional reform protests</t>
        </is>
      </c>
      <c r="M98" s="45" t="inlineStr">
        <is>
          <t>lithium</t>
        </is>
      </c>
      <c r="N98" s="45" t="inlineStr">
        <is>
          <t>253090;282520;283691</t>
        </is>
      </c>
      <c r="O98" s="45" t="inlineStr">
        <is>
          <t>labor_social_conflict;indigenous_community_rights</t>
        </is>
      </c>
      <c r="P98" s="45" t="inlineStr">
        <is>
          <t>none</t>
        </is>
      </c>
      <c r="Q98" s="45" t="inlineStr">
        <is>
          <t>not_mentioned</t>
        </is>
      </c>
      <c r="R98" s="45" t="inlineStr">
        <is>
          <t>not_mentioned</t>
        </is>
      </c>
      <c r="S98" s="45" t="inlineStr"/>
      <c r="T98" s="45" t="inlineStr">
        <is>
          <t>Morales blamed President Fernández and Vice President Kirchner for the extreme violence in Jujuy and criticized the sending of activists from elsewhere; he later described the events as an attempted coup.</t>
        </is>
      </c>
      <c r="U98" s="45" t="inlineStr">
        <is>
          <t>Hago responsable al Presidente y a la Vicepresidenta de la extrema violencia que se está viviendo en la provincia de Jujuy</t>
        </is>
      </c>
      <c r="V98" s="45" t="inlineStr">
        <is>
          <t>I hold the President and Vice President responsible for the extreme violence in the province of Jujuy</t>
        </is>
      </c>
      <c r="W98" s="45" t="inlineStr">
        <is>
          <t>es</t>
        </is>
      </c>
      <c r="X98" s="45" t="inlineStr">
        <is>
          <t>Los Andes</t>
        </is>
      </c>
      <c r="Y98" s="45" t="inlineStr">
        <is>
          <t>https://www.losandes.com.ar/politica/alberto-fernandez-y-cristina-kirchner-le-respondieron-a-gerardo-morales-y-lo-responsabilizaron-por-la-violencia-que-se-vive-en-jujuy</t>
        </is>
      </c>
      <c r="Z98" s="45" t="inlineStr">
        <is>
          <t>news_media</t>
        </is>
      </c>
      <c r="AA98" s="45" t="inlineStr">
        <is>
          <t>secondary_reported</t>
        </is>
      </c>
      <c r="AB98" s="45" t="inlineStr">
        <is>
          <t>No explicit lithium mention; context is the lithium-linked reform conflict.</t>
        </is>
      </c>
      <c r="AC98" s="45" t="inlineStr">
        <is>
          <t>ARG</t>
        </is>
      </c>
    </row>
    <row r="99" ht="15" customHeight="1" s="24">
      <c r="A99" s="45" t="inlineStr">
        <is>
          <t>PS-0098</t>
        </is>
      </c>
      <c r="B99" s="45" t="inlineStr">
        <is>
          <t>2023-06-30</t>
        </is>
      </c>
      <c r="C99" s="45" t="inlineStr">
        <is>
          <t>2023</t>
        </is>
      </c>
      <c r="D99" s="45" t="inlineStr">
        <is>
          <t>COL</t>
        </is>
      </c>
      <c r="E99" s="45" t="inlineStr">
        <is>
          <t>Gustavo Petro</t>
        </is>
      </c>
      <c r="F99" s="45" t="inlineStr">
        <is>
          <t>President of Colombia</t>
        </is>
      </c>
      <c r="G99" s="45" t="inlineStr">
        <is>
          <t>head_of_state</t>
        </is>
      </c>
      <c r="H99" s="45" t="inlineStr">
        <is>
          <t>LatAm executive</t>
        </is>
      </c>
      <c r="I99" s="45" t="inlineStr">
        <is>
          <t>COL</t>
        </is>
      </c>
      <c r="J99" s="45" t="inlineStr">
        <is>
          <t>Pacto Histórico</t>
        </is>
      </c>
      <c r="K99" s="45" t="inlineStr">
        <is>
          <t>speech</t>
        </is>
      </c>
      <c r="L99" s="45" t="inlineStr">
        <is>
          <t>Event in Albania, La Guajira (Cerrejón area)</t>
        </is>
      </c>
      <c r="M99" s="45" t="inlineStr">
        <is>
          <t>mining_general</t>
        </is>
      </c>
      <c r="N99" s="45" t="inlineStr"/>
      <c r="O99" s="45" t="inlineStr">
        <is>
          <t>energy_transition;environment_water;labor_social_conflict</t>
        </is>
      </c>
      <c r="P99" s="45" t="inlineStr">
        <is>
          <t>none</t>
        </is>
      </c>
      <c r="Q99" s="45" t="inlineStr">
        <is>
          <t>not_mentioned</t>
        </is>
      </c>
      <c r="R99" s="45" t="inlineStr">
        <is>
          <t>not_mentioned</t>
        </is>
      </c>
      <c r="S99" s="45" t="inlineStr">
        <is>
          <t>Cerrejón</t>
        </is>
      </c>
      <c r="T99" s="45" t="inlineStr">
        <is>
          <t>Petro said there could be no expansion of open-pit coal mining in Colombia, calling Cerrejón's expansion economically absurd given the expected collapse of world coal demand.</t>
        </is>
      </c>
      <c r="U99" s="45" t="inlineStr">
        <is>
          <t>No puede haber expansiones de explotación de carbón a cielo abierto en Colombia</t>
        </is>
      </c>
      <c r="V99" s="45" t="inlineStr">
        <is>
          <t>There can be no expansions of open-pit coal mining in Colombia</t>
        </is>
      </c>
      <c r="W99" s="45" t="inlineStr">
        <is>
          <t>es</t>
        </is>
      </c>
      <c r="X99" s="45" t="inlineStr">
        <is>
          <t>Blu Radio</t>
        </is>
      </c>
      <c r="Y99" s="45" t="inlineStr">
        <is>
          <t>https://www.bluradio.com/nacion/no-puede-haber-expansiones-de-explotacion-de-carbon-a-cielo-abierto-petro-rg10</t>
        </is>
      </c>
      <c r="Z99" s="45" t="inlineStr">
        <is>
          <t>news_media</t>
        </is>
      </c>
      <c r="AA99" s="45" t="inlineStr">
        <is>
          <t>secondary_reported</t>
        </is>
      </c>
      <c r="AB99" s="45" t="inlineStr">
        <is>
          <t>Coal is outside mineral vocabulary; coded mining_general. El Espectador reports same speech.</t>
        </is>
      </c>
      <c r="AC99" s="45" t="inlineStr">
        <is>
          <t>COL_ECU_PAN</t>
        </is>
      </c>
    </row>
    <row r="100" ht="15" customHeight="1" s="24">
      <c r="A100" s="45" t="inlineStr">
        <is>
          <t>PS-0099</t>
        </is>
      </c>
      <c r="B100" s="45" t="inlineStr">
        <is>
          <t>2023-07-26</t>
        </is>
      </c>
      <c r="C100" s="45" t="inlineStr">
        <is>
          <t>2023</t>
        </is>
      </c>
      <c r="D100" s="45" t="inlineStr">
        <is>
          <t>REG</t>
        </is>
      </c>
      <c r="E100" s="45" t="inlineStr">
        <is>
          <t>José W. Fernández</t>
        </is>
      </c>
      <c r="F100" s="45" t="inlineStr">
        <is>
          <t>U.S. Under Secretary of State for Economic Growth, Energy, and the Environment</t>
        </is>
      </c>
      <c r="G100" s="45" t="inlineStr">
        <is>
          <t>us_central_gov</t>
        </is>
      </c>
      <c r="H100" s="45" t="inlineStr">
        <is>
          <t>United States</t>
        </is>
      </c>
      <c r="I100" s="45" t="inlineStr">
        <is>
          <t>USA</t>
        </is>
      </c>
      <c r="J100" s="45" t="inlineStr">
        <is>
          <t>Biden administration</t>
        </is>
      </c>
      <c r="K100" s="45" t="inlineStr">
        <is>
          <t>legislative_debate</t>
        </is>
      </c>
      <c r="L100" s="45" t="inlineStr">
        <is>
          <t>Senate Foreign Relations Committee hearing 'U.S. Economic Security: Addressing Economic Coercion and Increasing Competitiveness'</t>
        </is>
      </c>
      <c r="M100" s="45" t="inlineStr">
        <is>
          <t>lithium;copper;nickel;cobalt;critical_minerals_general</t>
        </is>
      </c>
      <c r="N100" s="45" t="inlineStr">
        <is>
          <t>253090;260300;260400;282520;283691;720260;740200;740311</t>
        </is>
      </c>
      <c r="O100" s="45" t="inlineStr">
        <is>
          <t>geopolitics_security;processing_refining;diplomatic_relations</t>
        </is>
      </c>
      <c r="P100" s="45" t="inlineStr">
        <is>
          <t>CHN;BRA;ARG;CHL;PER</t>
        </is>
      </c>
      <c r="Q100" s="45" t="inlineStr">
        <is>
          <t>negative</t>
        </is>
      </c>
      <c r="R100" s="45" t="inlineStr">
        <is>
          <t>positive</t>
        </is>
      </c>
      <c r="S100" s="45" t="inlineStr">
        <is>
          <t>Minerals Security Partnership</t>
        </is>
      </c>
      <c r="T100" s="45" t="inlineStr">
        <is>
          <t>Asked about growing Brazil-China mineral and EV ties, Fernández told senators the US must get more involved in the hemisphere's critical minerals, naming Brazil, Argentina, Chile and Peru, and cited the Minerals Security Partnership as the response.</t>
        </is>
      </c>
      <c r="U100" s="45" t="inlineStr">
        <is>
          <t>Brazil could be a very valuable partner in finding critical minerals. It's not only Brazil. Argentina, Chile, Peru — we've got to do more in this hemisphere.</t>
        </is>
      </c>
      <c r="V100" s="45" t="inlineStr">
        <is>
          <t>Brazil could be a very valuable partner in finding critical minerals. It's not only Brazil. Argentina, Chile, Peru — we've got to do more in this hemisphere.</t>
        </is>
      </c>
      <c r="W100" s="45" t="inlineStr">
        <is>
          <t>en</t>
        </is>
      </c>
      <c r="X100" s="45" t="inlineStr">
        <is>
          <t>MINING.COM (Reuters)</t>
        </is>
      </c>
      <c r="Y100" s="45" t="inlineStr">
        <is>
          <t>https://www.mining.com/web/us-says-it-must-work-with-latin-america-more-on-key-minerals/</t>
        </is>
      </c>
      <c r="Z100" s="45" t="inlineStr">
        <is>
          <t>news_media</t>
        </is>
      </c>
      <c r="AA100" s="45" t="inlineStr">
        <is>
          <t>secondary_reported</t>
        </is>
      </c>
      <c r="AB100" s="45" t="inlineStr">
        <is>
          <t>Hearing date 26 Jul 2023 confirmed on foreign.senate.gov; Bloomberg Línea version dated 27 Jul. Written testimony: https://www.foreign.senate.gov/download/072623_fernandez_testimony</t>
        </is>
      </c>
      <c r="AC100" s="45" t="inlineStr">
        <is>
          <t>USA_gov</t>
        </is>
      </c>
    </row>
    <row r="101" ht="15" customHeight="1" s="24">
      <c r="A101" s="45" t="inlineStr">
        <is>
          <t>PS-0100</t>
        </is>
      </c>
      <c r="B101" s="45" t="inlineStr">
        <is>
          <t>2023-08-03</t>
        </is>
      </c>
      <c r="C101" s="45" t="inlineStr">
        <is>
          <t>2023</t>
        </is>
      </c>
      <c r="D101" s="45" t="inlineStr">
        <is>
          <t>CHL</t>
        </is>
      </c>
      <c r="E101" s="45" t="inlineStr">
        <is>
          <t>Gabriel Boric</t>
        </is>
      </c>
      <c r="F101" s="45" t="inlineStr">
        <is>
          <t>President of Chile</t>
        </is>
      </c>
      <c r="G101" s="45" t="inlineStr">
        <is>
          <t>head_of_state</t>
        </is>
      </c>
      <c r="H101" s="45" t="inlineStr">
        <is>
          <t>LatAm executive</t>
        </is>
      </c>
      <c r="I101" s="45" t="inlineStr">
        <is>
          <t>CHL</t>
        </is>
      </c>
      <c r="J101" s="45" t="inlineStr">
        <is>
          <t>Convergencia Social / Frente Amplio</t>
        </is>
      </c>
      <c r="K101" s="45" t="inlineStr">
        <is>
          <t>speech</t>
        </is>
      </c>
      <c r="L101" s="45" t="inlineStr">
        <is>
          <t>Promulgation of Mining Royalty Law, Mejillones (Antofagasta)</t>
        </is>
      </c>
      <c r="M101" s="45" t="inlineStr">
        <is>
          <t>copper</t>
        </is>
      </c>
      <c r="N101" s="45" t="inlineStr">
        <is>
          <t>260300;740200;740311</t>
        </is>
      </c>
      <c r="O101" s="45" t="inlineStr">
        <is>
          <t>royalties_taxation;labor_social_conflict</t>
        </is>
      </c>
      <c r="P101" s="45" t="inlineStr">
        <is>
          <t>none</t>
        </is>
      </c>
      <c r="Q101" s="45" t="inlineStr">
        <is>
          <t>not_mentioned</t>
        </is>
      </c>
      <c r="R101" s="45" t="inlineStr">
        <is>
          <t>not_mentioned</t>
        </is>
      </c>
      <c r="S101" s="45" t="inlineStr"/>
      <c r="T101" s="45" t="inlineStr">
        <is>
          <t>Boric promulgated the royalty law on large copper mining (max. burden 46.5%), saying resources must not be concentrated in few hands and that revenues would fund regional development.</t>
        </is>
      </c>
      <c r="U101" s="45" t="inlineStr">
        <is>
          <t>No es justo que donde se genera tanta riqueza exista tanta necesidad</t>
        </is>
      </c>
      <c r="V101" s="45" t="inlineStr">
        <is>
          <t>It is not fair that where so much wealth is generated there is so much need</t>
        </is>
      </c>
      <c r="W101" s="45" t="inlineStr">
        <is>
          <t>es</t>
        </is>
      </c>
      <c r="X101" s="45" t="inlineStr">
        <is>
          <t>BioBioChile</t>
        </is>
      </c>
      <c r="Y101" s="45" t="inlineStr">
        <is>
          <t>https://www.biobiochile.cl/noticias/economia/negocios-y-empresas/2023/08/03/boric-promulga-ley-de-royalty-a-la-gran-mineria-los-recursos-no-se-pueden-concentrar-en-pocas-manos.shtml</t>
        </is>
      </c>
      <c r="Z101" s="45" t="inlineStr">
        <is>
          <t>news_media</t>
        </is>
      </c>
      <c r="AA101" s="45" t="inlineStr">
        <is>
          <t>secondary_reported</t>
        </is>
      </c>
      <c r="AB101" s="45" t="inlineStr"/>
      <c r="AC101" s="45" t="inlineStr">
        <is>
          <t>CHL</t>
        </is>
      </c>
    </row>
    <row r="102" ht="15" customHeight="1" s="24">
      <c r="A102" s="45" t="inlineStr">
        <is>
          <t>PS-0101</t>
        </is>
      </c>
      <c r="B102" s="45" t="inlineStr">
        <is>
          <t>2023-08-04</t>
        </is>
      </c>
      <c r="C102" s="45" t="inlineStr">
        <is>
          <t>2023</t>
        </is>
      </c>
      <c r="D102" s="45" t="inlineStr">
        <is>
          <t>REG</t>
        </is>
      </c>
      <c r="E102" s="45" t="inlineStr">
        <is>
          <t>Laura Richardson</t>
        </is>
      </c>
      <c r="F102" s="45" t="inlineStr">
        <is>
          <t>Commander, U.S. Southern Command</t>
        </is>
      </c>
      <c r="G102" s="45" t="inlineStr">
        <is>
          <t>us_central_gov</t>
        </is>
      </c>
      <c r="H102" s="45" t="inlineStr">
        <is>
          <t>United States</t>
        </is>
      </c>
      <c r="I102" s="45" t="inlineStr">
        <is>
          <t>USA</t>
        </is>
      </c>
      <c r="J102" s="45" t="inlineStr">
        <is>
          <t>U.S. Department of Defense</t>
        </is>
      </c>
      <c r="K102" s="45" t="inlineStr">
        <is>
          <t>interview</t>
        </is>
      </c>
      <c r="L102" s="45" t="inlineStr">
        <is>
          <t>CSIS 'Looking South' conversation</t>
        </is>
      </c>
      <c r="M102" s="45" t="inlineStr">
        <is>
          <t>lithium;rare_earths;copper</t>
        </is>
      </c>
      <c r="N102" s="45" t="inlineStr">
        <is>
          <t>253090;260300;282520;283691;284690;740200;740311</t>
        </is>
      </c>
      <c r="O102" s="45" t="inlineStr">
        <is>
          <t>geopolitics_security;foreign_investment;infrastructure_ports</t>
        </is>
      </c>
      <c r="P102" s="45" t="inlineStr">
        <is>
          <t>CHN</t>
        </is>
      </c>
      <c r="Q102" s="45" t="inlineStr">
        <is>
          <t>negative</t>
        </is>
      </c>
      <c r="R102" s="45" t="inlineStr">
        <is>
          <t>positive</t>
        </is>
      </c>
      <c r="S102" s="45" t="inlineStr"/>
      <c r="T102" s="45" t="inlineStr">
        <is>
          <t>Richardson stressed the hemisphere's natural resource wealth, including the lithium triangle's ~60% of global lithium reserves and copper, and characterized PRC investment in the region as extraction rather than investment.</t>
        </is>
      </c>
      <c r="U102" s="45" t="inlineStr">
        <is>
          <t>what the PRC is doing – the People's Republic of China – looks to be investment but really I call it extraction</t>
        </is>
      </c>
      <c r="V102" s="45" t="inlineStr">
        <is>
          <t>what the PRC is doing – the People's Republic of China – looks to be investment but really I call it extraction</t>
        </is>
      </c>
      <c r="W102" s="45" t="inlineStr">
        <is>
          <t>en</t>
        </is>
      </c>
      <c r="X102" s="45" t="inlineStr">
        <is>
          <t>CSIS</t>
        </is>
      </c>
      <c r="Y102" s="45" t="inlineStr">
        <is>
          <t>https://www.csis.org/analysis/looking-south-conversation-gen-laura-richardson-security-challenges-latin-america</t>
        </is>
      </c>
      <c r="Z102" s="45" t="inlineStr">
        <is>
          <t>think_tank_or_ngo</t>
        </is>
      </c>
      <c r="AA102" s="45" t="inlineStr">
        <is>
          <t>primary_verified</t>
        </is>
      </c>
      <c r="AB102" s="45" t="inlineStr">
        <is>
          <t>CSIS event transcript</t>
        </is>
      </c>
      <c r="AC102" s="45" t="inlineStr">
        <is>
          <t>USA_gov</t>
        </is>
      </c>
    </row>
    <row r="103" ht="15" customHeight="1" s="24">
      <c r="A103" s="45" t="inlineStr">
        <is>
          <t>PS-0102</t>
        </is>
      </c>
      <c r="B103" s="45" t="inlineStr">
        <is>
          <t>2023-08-24</t>
        </is>
      </c>
      <c r="C103" s="45" t="inlineStr">
        <is>
          <t>2023</t>
        </is>
      </c>
      <c r="D103" s="45" t="inlineStr">
        <is>
          <t>COL</t>
        </is>
      </c>
      <c r="E103" s="45" t="inlineStr">
        <is>
          <t>Álvaro Pardo</t>
        </is>
      </c>
      <c r="F103" s="45" t="inlineStr">
        <is>
          <t>President of the National Mining Agency (ANM)</t>
        </is>
      </c>
      <c r="G103" s="45" t="inlineStr">
        <is>
          <t>other_executive</t>
        </is>
      </c>
      <c r="H103" s="45" t="inlineStr">
        <is>
          <t>LatAm executive</t>
        </is>
      </c>
      <c r="I103" s="45" t="inlineStr">
        <is>
          <t>COL</t>
        </is>
      </c>
      <c r="J103" s="45" t="inlineStr"/>
      <c r="K103" s="45" t="inlineStr">
        <is>
          <t>official_statement</t>
        </is>
      </c>
      <c r="L103" s="45" t="inlineStr">
        <is>
          <t>ANM announcement on mining contracts</t>
        </is>
      </c>
      <c r="M103" s="45" t="inlineStr">
        <is>
          <t>mining_general;critical_minerals_general</t>
        </is>
      </c>
      <c r="N103" s="45" t="inlineStr"/>
      <c r="O103" s="45" t="inlineStr">
        <is>
          <t>environment_water;energy_transition;value_added_industrialization</t>
        </is>
      </c>
      <c r="P103" s="45" t="inlineStr">
        <is>
          <t>none</t>
        </is>
      </c>
      <c r="Q103" s="45" t="inlineStr">
        <is>
          <t>not_mentioned</t>
        </is>
      </c>
      <c r="R103" s="45" t="inlineStr">
        <is>
          <t>not_mentioned</t>
        </is>
      </c>
      <c r="S103" s="45" t="inlineStr">
        <is>
          <t>ANM</t>
        </is>
      </c>
      <c r="T103" s="45" t="inlineStr">
        <is>
          <t>The ANM head said no new open-pit mining contracts would be granted and no title would be issued in environmentally restricted areas, while existing contracts would be respected and mining redirected to value-added and transition minerals.</t>
        </is>
      </c>
      <c r="U103" s="45" t="inlineStr"/>
      <c r="V103" s="45" t="inlineStr"/>
      <c r="W103" s="45" t="inlineStr">
        <is>
          <t>es</t>
        </is>
      </c>
      <c r="X103" s="45" t="inlineStr">
        <is>
          <t>Valora Analitik</t>
        </is>
      </c>
      <c r="Y103" s="45" t="inlineStr">
        <is>
          <t>https://www.valoraanalitik.com/?p=310853</t>
        </is>
      </c>
      <c r="Z103" s="45" t="inlineStr">
        <is>
          <t>news_media</t>
        </is>
      </c>
      <c r="AA103" s="45" t="inlineStr">
        <is>
          <t>secondary_reported</t>
        </is>
      </c>
      <c r="AB103" s="45" t="inlineStr">
        <is>
          <t>Spanish wording not captured; paraphrased.</t>
        </is>
      </c>
      <c r="AC103" s="45" t="inlineStr">
        <is>
          <t>COL_ECU_PAN</t>
        </is>
      </c>
    </row>
    <row r="104" ht="15" customHeight="1" s="24">
      <c r="A104" s="45" t="inlineStr">
        <is>
          <t>PS-0103</t>
        </is>
      </c>
      <c r="B104" s="45" t="inlineStr">
        <is>
          <t>2023-09-03</t>
        </is>
      </c>
      <c r="C104" s="45" t="inlineStr">
        <is>
          <t>2023</t>
        </is>
      </c>
      <c r="D104" s="45" t="inlineStr">
        <is>
          <t>BOL</t>
        </is>
      </c>
      <c r="E104" s="45" t="inlineStr">
        <is>
          <t>Karla Calderón Dávalos</t>
        </is>
      </c>
      <c r="F104" s="45" t="inlineStr">
        <is>
          <t>President of YLB</t>
        </is>
      </c>
      <c r="G104" s="45" t="inlineStr">
        <is>
          <t>state_company</t>
        </is>
      </c>
      <c r="H104" s="45" t="inlineStr">
        <is>
          <t>LatAm state company</t>
        </is>
      </c>
      <c r="I104" s="45" t="inlineStr">
        <is>
          <t>BOL</t>
        </is>
      </c>
      <c r="J104" s="45" t="inlineStr">
        <is>
          <t>YLB</t>
        </is>
      </c>
      <c r="K104" s="45" t="inlineStr">
        <is>
          <t>interview</t>
        </is>
      </c>
      <c r="L104" s="45" t="inlineStr">
        <is>
          <t>Interview after appointment as YLB head</t>
        </is>
      </c>
      <c r="M104" s="45" t="inlineStr">
        <is>
          <t>lithium</t>
        </is>
      </c>
      <c r="N104" s="45" t="inlineStr">
        <is>
          <t>253090;282520;283691</t>
        </is>
      </c>
      <c r="O104" s="45" t="inlineStr">
        <is>
          <t>value_added_industrialization;trade_deals_offtake</t>
        </is>
      </c>
      <c r="P104" s="45" t="inlineStr">
        <is>
          <t>none</t>
        </is>
      </c>
      <c r="Q104" s="45" t="inlineStr">
        <is>
          <t>not_mentioned</t>
        </is>
      </c>
      <c r="R104" s="45" t="inlineStr">
        <is>
          <t>not_mentioned</t>
        </is>
      </c>
      <c r="S104" s="45" t="inlineStr">
        <is>
          <t>YLB</t>
        </is>
      </c>
      <c r="T104" s="45" t="inlineStr">
        <is>
          <t>The new YLB head said lithium is the energy of tomorrow, that carbonate production remains profitable despite falling prices, and that immediate action is needed for YLB to enter world markets.</t>
        </is>
      </c>
      <c r="U104" s="45" t="inlineStr">
        <is>
          <t>El litio es la energía del mañana y nosotros, como empresa, estamos llamados a ser líderes en la producción responsable y ética de este elemento vital</t>
        </is>
      </c>
      <c r="V104" s="45" t="inlineStr">
        <is>
          <t>Lithium is the energy of tomorrow and we, as a company, are called to be leaders in the responsible and ethical production of this vital element</t>
        </is>
      </c>
      <c r="W104" s="45" t="inlineStr">
        <is>
          <t>es</t>
        </is>
      </c>
      <c r="X104" s="45" t="inlineStr">
        <is>
          <t>Correo del Sur</t>
        </is>
      </c>
      <c r="Y104" s="45" t="inlineStr">
        <is>
          <t>https://correodelsur.com/economia/20230903/titular-de-ylb-estamos-llamados-a-ser-lideres-en-produccion-del-litio.html</t>
        </is>
      </c>
      <c r="Z104" s="45" t="inlineStr">
        <is>
          <t>news_media</t>
        </is>
      </c>
      <c r="AA104" s="45" t="inlineStr">
        <is>
          <t>secondary_reported</t>
        </is>
      </c>
      <c r="AB104" s="45" t="inlineStr"/>
      <c r="AC104" s="45" t="inlineStr">
        <is>
          <t>BOL</t>
        </is>
      </c>
    </row>
    <row r="105" ht="15" customHeight="1" s="24">
      <c r="A105" s="45" t="inlineStr">
        <is>
          <t>PS-0104</t>
        </is>
      </c>
      <c r="B105" s="45" t="inlineStr">
        <is>
          <t>2023-09-14</t>
        </is>
      </c>
      <c r="C105" s="45" t="inlineStr">
        <is>
          <t>2023</t>
        </is>
      </c>
      <c r="D105" s="45" t="inlineStr">
        <is>
          <t>ARG</t>
        </is>
      </c>
      <c r="E105" s="45" t="inlineStr">
        <is>
          <t>Javier Milei</t>
        </is>
      </c>
      <c r="F105" s="45" t="inlineStr">
        <is>
          <t>Presidential candidate (La Libertad Avanza)</t>
        </is>
      </c>
      <c r="G105" s="45" t="inlineStr">
        <is>
          <t>political_party_candidate</t>
        </is>
      </c>
      <c r="H105" s="45" t="inlineStr">
        <is>
          <t>LatAm party/candidate</t>
        </is>
      </c>
      <c r="I105" s="45" t="inlineStr">
        <is>
          <t>ARG</t>
        </is>
      </c>
      <c r="J105" s="45" t="inlineStr">
        <is>
          <t>La Libertad Avanza</t>
        </is>
      </c>
      <c r="K105" s="45" t="inlineStr">
        <is>
          <t>interview</t>
        </is>
      </c>
      <c r="L105" s="45" t="inlineStr">
        <is>
          <t>Interview with Tucker Carlson during 2023 campaign</t>
        </is>
      </c>
      <c r="M105" s="45" t="inlineStr">
        <is>
          <t>critical_minerals_general</t>
        </is>
      </c>
      <c r="N105" s="45" t="inlineStr"/>
      <c r="O105" s="45" t="inlineStr">
        <is>
          <t>geopolitics_security;diplomatic_relations</t>
        </is>
      </c>
      <c r="P105" s="45" t="inlineStr">
        <is>
          <t>CHN;RUS;BRA</t>
        </is>
      </c>
      <c r="Q105" s="45" t="inlineStr">
        <is>
          <t>negative</t>
        </is>
      </c>
      <c r="R105" s="45" t="inlineStr">
        <is>
          <t>not_mentioned</t>
        </is>
      </c>
      <c r="S105" s="45" t="inlineStr"/>
      <c r="T105" s="45" t="inlineStr">
        <is>
          <t>As a presidential candidate, Milei told Tucker Carlson he would not do business with China or with any communist country, listing China, Putin and Lula as outside his camp of freedom and democracy.</t>
        </is>
      </c>
      <c r="U105" s="45" t="inlineStr">
        <is>
          <t>No solo no voy a hacer negocios con China, no voy a hacer negocios con ningún comunista.</t>
        </is>
      </c>
      <c r="V105" s="45" t="inlineStr">
        <is>
          <t>Not only will I not do business with China, I will not do business with any communist.</t>
        </is>
      </c>
      <c r="W105" s="45" t="inlineStr">
        <is>
          <t>es</t>
        </is>
      </c>
      <c r="X105" s="45" t="inlineStr">
        <is>
          <t>La Política Online</t>
        </is>
      </c>
      <c r="Y105" s="45" t="inlineStr">
        <is>
          <t>https://www.lapoliticaonline.com/politica/miei-con-carlson-tucker-no-voy-a-hacer-negocios-con-china-y-con-ningun-pais-comunista/</t>
        </is>
      </c>
      <c r="Z105" s="45" t="inlineStr">
        <is>
          <t>news_media</t>
        </is>
      </c>
      <c r="AA105" s="45" t="inlineStr">
        <is>
          <t>secondary_reported</t>
        </is>
      </c>
      <c r="AB105" s="45" t="inlineStr">
        <is>
          <t>Baseline China stance; statement not mineral-specific (included per project scope on Milei's China shift). Interview recorded the previous week.</t>
        </is>
      </c>
      <c r="AC105" s="45" t="inlineStr">
        <is>
          <t>ARG</t>
        </is>
      </c>
    </row>
    <row r="106" ht="15" customHeight="1" s="24">
      <c r="A106" s="45" t="inlineStr">
        <is>
          <t>PS-0105</t>
        </is>
      </c>
      <c r="B106" s="45" t="inlineStr">
        <is>
          <t>2023-09-28</t>
        </is>
      </c>
      <c r="C106" s="45" t="inlineStr">
        <is>
          <t>2023</t>
        </is>
      </c>
      <c r="D106" s="45" t="inlineStr">
        <is>
          <t>MEX</t>
        </is>
      </c>
      <c r="E106" s="45" t="inlineStr">
        <is>
          <t>Andrés Manuel López Obrador</t>
        </is>
      </c>
      <c r="F106" s="45" t="inlineStr">
        <is>
          <t>President of Mexico</t>
        </is>
      </c>
      <c r="G106" s="45" t="inlineStr">
        <is>
          <t>head_of_state</t>
        </is>
      </c>
      <c r="H106" s="45" t="inlineStr">
        <is>
          <t>LatAm executive</t>
        </is>
      </c>
      <c r="I106" s="45" t="inlineStr">
        <is>
          <t>MEX</t>
        </is>
      </c>
      <c r="J106" s="45" t="inlineStr">
        <is>
          <t>Morena</t>
        </is>
      </c>
      <c r="K106" s="45" t="inlineStr">
        <is>
          <t>press_conference</t>
        </is>
      </c>
      <c r="L106" s="45" t="inlineStr">
        <is>
          <t>Mañanera after Ganfeng disclosed cancellation of its Sonora concessions</t>
        </is>
      </c>
      <c r="M106" s="45" t="inlineStr">
        <is>
          <t>lithium</t>
        </is>
      </c>
      <c r="N106" s="45" t="inlineStr">
        <is>
          <t>253090;282520;283691</t>
        </is>
      </c>
      <c r="O106" s="45" t="inlineStr">
        <is>
          <t>state_control_nationalization;foreign_investment</t>
        </is>
      </c>
      <c r="P106" s="45" t="inlineStr">
        <is>
          <t>CHN</t>
        </is>
      </c>
      <c r="Q106" s="45" t="inlineStr">
        <is>
          <t>neutral</t>
        </is>
      </c>
      <c r="R106" s="45" t="inlineStr">
        <is>
          <t>not_mentioned</t>
        </is>
      </c>
      <c r="S106" s="45" t="inlineStr">
        <is>
          <t>Ganfeng Lithium;Bacanora Lithium;Sonora Lithium project</t>
        </is>
      </c>
      <c r="T106" s="45" t="inlineStr">
        <is>
          <t>AMLO said lithium concessions were under review because they had originally been granted for gold, silver and copper, not lithium, and that lithium belongs to the nation as a strategic mineral.</t>
        </is>
      </c>
      <c r="U106" s="45" t="inlineStr">
        <is>
          <t>We have decided that lithium belongs to the nation because it's a strategic mineral.</t>
        </is>
      </c>
      <c r="V106" s="45" t="inlineStr">
        <is>
          <t>We have decided that lithium belongs to the nation because it's a strategic mineral.</t>
        </is>
      </c>
      <c r="W106" s="45" t="inlineStr">
        <is>
          <t>en</t>
        </is>
      </c>
      <c r="X106" s="45" t="inlineStr">
        <is>
          <t>Mining.com (Reuters)</t>
        </is>
      </c>
      <c r="Y106" s="45" t="inlineStr">
        <is>
          <t>https://www.mining.com/web/mexico-says-lithium-concessions-under-review-after-ganfeng-flags-cancellations/</t>
        </is>
      </c>
      <c r="Z106" s="45" t="inlineStr">
        <is>
          <t>news_media</t>
        </is>
      </c>
      <c r="AA106" s="45" t="inlineStr">
        <is>
          <t>secondary_reported</t>
        </is>
      </c>
      <c r="AB106" s="45" t="inlineStr">
        <is>
          <t>Quote is Reuters English translation of Spanish original.</t>
        </is>
      </c>
      <c r="AC106" s="45" t="inlineStr">
        <is>
          <t>MEX</t>
        </is>
      </c>
    </row>
    <row r="107" ht="15" customHeight="1" s="24">
      <c r="A107" s="45" t="inlineStr">
        <is>
          <t>PS-0106</t>
        </is>
      </c>
      <c r="B107" s="45" t="inlineStr">
        <is>
          <t>2023-10-11</t>
        </is>
      </c>
      <c r="C107" s="45" t="inlineStr">
        <is>
          <t>2023</t>
        </is>
      </c>
      <c r="D107" s="45" t="inlineStr">
        <is>
          <t>REG</t>
        </is>
      </c>
      <c r="E107" s="45" t="inlineStr">
        <is>
          <t>Laura Richardson</t>
        </is>
      </c>
      <c r="F107" s="45" t="inlineStr">
        <is>
          <t>Commander, U.S. Southern Command</t>
        </is>
      </c>
      <c r="G107" s="45" t="inlineStr">
        <is>
          <t>us_central_gov</t>
        </is>
      </c>
      <c r="H107" s="45" t="inlineStr">
        <is>
          <t>United States</t>
        </is>
      </c>
      <c r="I107" s="45" t="inlineStr">
        <is>
          <t>USA</t>
        </is>
      </c>
      <c r="J107" s="45" t="inlineStr">
        <is>
          <t>U.S. Department of Defense</t>
        </is>
      </c>
      <c r="K107" s="45" t="inlineStr">
        <is>
          <t>interview</t>
        </is>
      </c>
      <c r="L107" s="45" t="inlineStr">
        <is>
          <t>FDD event 'Latin America's China Challenge'</t>
        </is>
      </c>
      <c r="M107" s="45" t="inlineStr">
        <is>
          <t>lithium;copper</t>
        </is>
      </c>
      <c r="N107" s="45" t="inlineStr">
        <is>
          <t>253090;260300;282520;283691;740200;740311</t>
        </is>
      </c>
      <c r="O107" s="45" t="inlineStr">
        <is>
          <t>geopolitics_security;infrastructure_ports</t>
        </is>
      </c>
      <c r="P107" s="45" t="inlineStr">
        <is>
          <t>CHN;ARG;BOL;CHL</t>
        </is>
      </c>
      <c r="Q107" s="45" t="inlineStr">
        <is>
          <t>negative</t>
        </is>
      </c>
      <c r="R107" s="45" t="inlineStr">
        <is>
          <t>positive</t>
        </is>
      </c>
      <c r="S107" s="45" t="inlineStr">
        <is>
          <t>Belt and Road Initiative</t>
        </is>
      </c>
      <c r="T107" s="45" t="inlineStr">
        <is>
          <t>Richardson again cited the lithium triangle's 60% of world lithium plus copper and gold, and said the US must ensure adversaries and strategic competitors are not going to the region to extract for nefarious reasons; she criticized BRI projects as debt traps.</t>
        </is>
      </c>
      <c r="U107" s="45" t="inlineStr">
        <is>
          <t>you want to make sure that adversaries and strategic competitors aren't trying to go there for nefarious reasons to extract</t>
        </is>
      </c>
      <c r="V107" s="45" t="inlineStr">
        <is>
          <t>you want to make sure that adversaries and strategic competitors aren't trying to go there for nefarious reasons to extract</t>
        </is>
      </c>
      <c r="W107" s="45" t="inlineStr">
        <is>
          <t>en</t>
        </is>
      </c>
      <c r="X107" s="45" t="inlineStr">
        <is>
          <t>Foundation for Defense of Democracies (event transcript)</t>
        </is>
      </c>
      <c r="Y107" s="45" t="inlineStr">
        <is>
          <t>https://media.fdd.org/wp-content/uploads/2023/10/fdd-events-Latin-Americas-China-Challenge.pdf</t>
        </is>
      </c>
      <c r="Z107" s="45" t="inlineStr">
        <is>
          <t>think_tank_or_ngo</t>
        </is>
      </c>
      <c r="AA107" s="45" t="inlineStr">
        <is>
          <t>primary_verified</t>
        </is>
      </c>
      <c r="AB107" s="45" t="inlineStr"/>
      <c r="AC107" s="45" t="inlineStr">
        <is>
          <t>USA_gov</t>
        </is>
      </c>
    </row>
    <row r="108" ht="15" customHeight="1" s="24">
      <c r="A108" s="45" t="inlineStr">
        <is>
          <t>PS-0107</t>
        </is>
      </c>
      <c r="B108" s="45" t="inlineStr">
        <is>
          <t>2023-10-17</t>
        </is>
      </c>
      <c r="C108" s="45" t="inlineStr">
        <is>
          <t>2023</t>
        </is>
      </c>
      <c r="D108" s="45" t="inlineStr">
        <is>
          <t>CHL</t>
        </is>
      </c>
      <c r="E108" s="45" t="inlineStr">
        <is>
          <t>Xi Jinping</t>
        </is>
      </c>
      <c r="F108" s="45" t="inlineStr">
        <is>
          <t>President of the People's Republic of China</t>
        </is>
      </c>
      <c r="G108" s="45" t="inlineStr">
        <is>
          <t>head_of_state</t>
        </is>
      </c>
      <c r="H108" s="45" t="inlineStr">
        <is>
          <t>China</t>
        </is>
      </c>
      <c r="I108" s="45" t="inlineStr">
        <is>
          <t>CHN</t>
        </is>
      </c>
      <c r="J108" s="45" t="inlineStr">
        <is>
          <t>CCP</t>
        </is>
      </c>
      <c r="K108" s="45" t="inlineStr">
        <is>
          <t>official_statement</t>
        </is>
      </c>
      <c r="L108" s="45" t="inlineStr">
        <is>
          <t>Xi-Boric talks, Beijing, Belt and Road Forum 2023</t>
        </is>
      </c>
      <c r="M108" s="45" t="inlineStr">
        <is>
          <t>mining_general</t>
        </is>
      </c>
      <c r="N108" s="45" t="inlineStr"/>
      <c r="O108" s="45" t="inlineStr">
        <is>
          <t>energy_transition;diplomatic_relations;foreign_investment</t>
        </is>
      </c>
      <c r="P108" s="45" t="inlineStr">
        <is>
          <t>CHL</t>
        </is>
      </c>
      <c r="Q108" s="45" t="inlineStr">
        <is>
          <t>positive</t>
        </is>
      </c>
      <c r="R108" s="45" t="inlineStr">
        <is>
          <t>not_mentioned</t>
        </is>
      </c>
      <c r="S108" s="45" t="inlineStr"/>
      <c r="T108" s="45" t="inlineStr">
        <is>
          <t>In China's official readout of talks with Gabriel Boric, Xi called for new growth drivers in clean energy, digital economy and science and technology cooperation. The readout records Boric's wish to strengthen cooperation in fields including energy and mining.</t>
        </is>
      </c>
      <c r="U108" s="45" t="inlineStr">
        <is>
          <t>foster new drivers of growth for cooperation on clean energy, digital economy, and scientific and technological innovation</t>
        </is>
      </c>
      <c r="V108" s="45" t="inlineStr">
        <is>
          <t>foster new drivers of growth for cooperation on clean energy, digital economy, and scientific and technological innovation</t>
        </is>
      </c>
      <c r="W108" s="45" t="inlineStr">
        <is>
          <t>en</t>
        </is>
      </c>
      <c r="X108" s="45" t="inlineStr">
        <is>
          <t>Ministry of Foreign Affairs of the PRC</t>
        </is>
      </c>
      <c r="Y108" s="45" t="inlineStr">
        <is>
          <t>https://www.fmprc.gov.cn/eng./xw/zyxw/202405/t20240530_11332343.html</t>
        </is>
      </c>
      <c r="Z108" s="45" t="inlineStr">
        <is>
          <t>primary_official</t>
        </is>
      </c>
      <c r="AA108" s="45" t="inlineStr">
        <is>
          <t>primary_verified</t>
        </is>
      </c>
      <c r="AB108" s="45" t="inlineStr">
        <is>
          <t>Mining mention is attributed to Boric in the Chinese readout; Xi's remarks do not name lithium or copper. Weak mineral content.</t>
        </is>
      </c>
      <c r="AC108" s="45" t="inlineStr">
        <is>
          <t>CHN_gov</t>
        </is>
      </c>
    </row>
    <row r="109" ht="15" customHeight="1" s="24">
      <c r="A109" s="45" t="inlineStr">
        <is>
          <t>PS-0108</t>
        </is>
      </c>
      <c r="B109" s="45" t="inlineStr">
        <is>
          <t>2023-10-20</t>
        </is>
      </c>
      <c r="C109" s="45" t="inlineStr">
        <is>
          <t>2023</t>
        </is>
      </c>
      <c r="D109" s="45" t="inlineStr">
        <is>
          <t>PAN</t>
        </is>
      </c>
      <c r="E109" s="45" t="inlineStr">
        <is>
          <t>Laurentino Cortizo</t>
        </is>
      </c>
      <c r="F109" s="45" t="inlineStr">
        <is>
          <t>President of Panama</t>
        </is>
      </c>
      <c r="G109" s="45" t="inlineStr">
        <is>
          <t>head_of_state</t>
        </is>
      </c>
      <c r="H109" s="45" t="inlineStr">
        <is>
          <t>LatAm executive</t>
        </is>
      </c>
      <c r="I109" s="45" t="inlineStr">
        <is>
          <t>PAN</t>
        </is>
      </c>
      <c r="J109" s="45" t="inlineStr">
        <is>
          <t>PRD</t>
        </is>
      </c>
      <c r="K109" s="45" t="inlineStr">
        <is>
          <t>bill_or_law</t>
        </is>
      </c>
      <c r="L109" s="45" t="inlineStr">
        <is>
          <t>Sanction of Law 406 (Cobre Panamá contract)</t>
        </is>
      </c>
      <c r="M109" s="45" t="inlineStr">
        <is>
          <t>copper</t>
        </is>
      </c>
      <c r="N109" s="45" t="inlineStr">
        <is>
          <t>260300;740200;740311</t>
        </is>
      </c>
      <c r="O109" s="45" t="inlineStr">
        <is>
          <t>foreign_investment;royalties_taxation;labor_social_conflict</t>
        </is>
      </c>
      <c r="P109" s="45" t="inlineStr">
        <is>
          <t>CAN</t>
        </is>
      </c>
      <c r="Q109" s="45" t="inlineStr">
        <is>
          <t>not_mentioned</t>
        </is>
      </c>
      <c r="R109" s="45" t="inlineStr">
        <is>
          <t>not_mentioned</t>
        </is>
      </c>
      <c r="S109" s="45" t="inlineStr">
        <is>
          <t>Cobre Panamá; First Quantum; Law 406</t>
        </is>
      </c>
      <c r="T109" s="45" t="inlineStr">
        <is>
          <t>Cortizo signed into law the renewed First Quantum concession contract hours after the National Assembly approved it in third debate, triggering nationwide protests.</t>
        </is>
      </c>
      <c r="U109" s="45" t="inlineStr"/>
      <c r="V109" s="45" t="inlineStr"/>
      <c r="W109" s="45" t="inlineStr">
        <is>
          <t>en</t>
        </is>
      </c>
      <c r="X109" s="45" t="inlineStr">
        <is>
          <t>Reuters</t>
        </is>
      </c>
      <c r="Y109" s="45" t="inlineStr">
        <is>
          <t>https://www.reuters.com/markets/commodities/panama-congress-signs-off-contract-with-canadas-first-quantum-2023-10-20/</t>
        </is>
      </c>
      <c r="Z109" s="45" t="inlineStr">
        <is>
          <t>news_media</t>
        </is>
      </c>
      <c r="AA109" s="45" t="inlineStr">
        <is>
          <t>secondary_reported</t>
        </is>
      </c>
      <c r="AB109" s="45" t="inlineStr">
        <is>
          <t>Details via Wikipedia '2023 Panamanian protests' summary citing this article; the article itself could not be fetched (site blocked).</t>
        </is>
      </c>
      <c r="AC109" s="45" t="inlineStr">
        <is>
          <t>COL_ECU_PAN</t>
        </is>
      </c>
    </row>
    <row r="110" ht="15" customHeight="1" s="24">
      <c r="A110" s="45" t="inlineStr">
        <is>
          <t>PS-0109</t>
        </is>
      </c>
      <c r="B110" s="45" t="inlineStr">
        <is>
          <t>2023-10-31</t>
        </is>
      </c>
      <c r="C110" s="45" t="inlineStr">
        <is>
          <t>2023</t>
        </is>
      </c>
      <c r="D110" s="45" t="inlineStr">
        <is>
          <t>PAN</t>
        </is>
      </c>
      <c r="E110" s="45" t="inlineStr">
        <is>
          <t>Laurentino Cortizo</t>
        </is>
      </c>
      <c r="F110" s="45" t="inlineStr">
        <is>
          <t>President of Panama</t>
        </is>
      </c>
      <c r="G110" s="45" t="inlineStr">
        <is>
          <t>head_of_state</t>
        </is>
      </c>
      <c r="H110" s="45" t="inlineStr">
        <is>
          <t>LatAm executive</t>
        </is>
      </c>
      <c r="I110" s="45" t="inlineStr">
        <is>
          <t>PAN</t>
        </is>
      </c>
      <c r="J110" s="45" t="inlineStr">
        <is>
          <t>PRD</t>
        </is>
      </c>
      <c r="K110" s="45" t="inlineStr">
        <is>
          <t>official_statement</t>
        </is>
      </c>
      <c r="L110" s="45" t="inlineStr">
        <is>
          <t>Mass protests against Law 406</t>
        </is>
      </c>
      <c r="M110" s="45" t="inlineStr">
        <is>
          <t>copper</t>
        </is>
      </c>
      <c r="N110" s="45" t="inlineStr">
        <is>
          <t>260300;740200;740311</t>
        </is>
      </c>
      <c r="O110" s="45" t="inlineStr">
        <is>
          <t>labor_social_conflict;environment_water;corruption_governance</t>
        </is>
      </c>
      <c r="P110" s="45" t="inlineStr">
        <is>
          <t>none</t>
        </is>
      </c>
      <c r="Q110" s="45" t="inlineStr">
        <is>
          <t>not_mentioned</t>
        </is>
      </c>
      <c r="R110" s="45" t="inlineStr">
        <is>
          <t>not_mentioned</t>
        </is>
      </c>
      <c r="S110" s="45" t="inlineStr">
        <is>
          <t>Cobre Panamá; Law 406</t>
        </is>
      </c>
      <c r="T110" s="45" t="inlineStr">
        <is>
          <t>Facing mass protests, Cortizo proposed a national referendum on whether to keep the Cobre Panamá contract (Bill 1109).</t>
        </is>
      </c>
      <c r="U110" s="45" t="inlineStr"/>
      <c r="V110" s="45" t="inlineStr"/>
      <c r="W110" s="45" t="inlineStr">
        <is>
          <t>en</t>
        </is>
      </c>
      <c r="X110" s="45" t="inlineStr">
        <is>
          <t>AP News</t>
        </is>
      </c>
      <c r="Y110" s="45" t="inlineStr">
        <is>
          <t>https://apnews.com/article/panama-mining-environment-canada-aab0c46dd8a0dfb2930154b831a2e3ac</t>
        </is>
      </c>
      <c r="Z110" s="45" t="inlineStr">
        <is>
          <t>news_media</t>
        </is>
      </c>
      <c r="AA110" s="45" t="inlineStr">
        <is>
          <t>secondary_reported</t>
        </is>
      </c>
      <c r="AB110" s="45" t="inlineStr">
        <is>
          <t>Details via Wikipedia '2023 Panamanian protests' summary citing this article; the article itself could not be fetched (site blocked). Bill 1109 first debate 2023-10-31 confirmed in First Quantum update of 2023-11-03.</t>
        </is>
      </c>
      <c r="AC110" s="45" t="inlineStr">
        <is>
          <t>COL_ECU_PAN</t>
        </is>
      </c>
    </row>
    <row r="111" ht="15" customHeight="1" s="24">
      <c r="A111" s="45" t="inlineStr">
        <is>
          <t>PS-0110</t>
        </is>
      </c>
      <c r="B111" s="45" t="inlineStr">
        <is>
          <t>2023-11-03</t>
        </is>
      </c>
      <c r="C111" s="45" t="inlineStr">
        <is>
          <t>2023</t>
        </is>
      </c>
      <c r="D111" s="45" t="inlineStr">
        <is>
          <t>PAN</t>
        </is>
      </c>
      <c r="E111" s="45" t="inlineStr">
        <is>
          <t>Asamblea Nacional de Panamá</t>
        </is>
      </c>
      <c r="F111" s="45" t="inlineStr">
        <is>
          <t>National Assembly of Panama</t>
        </is>
      </c>
      <c r="G111" s="45" t="inlineStr">
        <is>
          <t>legislature_body</t>
        </is>
      </c>
      <c r="H111" s="45" t="inlineStr">
        <is>
          <t>LatAm legislature</t>
        </is>
      </c>
      <c r="I111" s="45" t="inlineStr">
        <is>
          <t>PAN</t>
        </is>
      </c>
      <c r="J111" s="45" t="inlineStr"/>
      <c r="K111" s="45" t="inlineStr">
        <is>
          <t>bill_or_law</t>
        </is>
      </c>
      <c r="L111" s="45" t="inlineStr">
        <is>
          <t>Bill 1110 / Law 407 metallic mining moratorium</t>
        </is>
      </c>
      <c r="M111" s="45" t="inlineStr">
        <is>
          <t>copper;mining_general</t>
        </is>
      </c>
      <c r="N111" s="45" t="inlineStr">
        <is>
          <t>260300;740200;740311</t>
        </is>
      </c>
      <c r="O111" s="45" t="inlineStr">
        <is>
          <t>environment_water;labor_social_conflict</t>
        </is>
      </c>
      <c r="P111" s="45" t="inlineStr">
        <is>
          <t>none</t>
        </is>
      </c>
      <c r="Q111" s="45" t="inlineStr">
        <is>
          <t>not_mentioned</t>
        </is>
      </c>
      <c r="R111" s="45" t="inlineStr">
        <is>
          <t>not_mentioned</t>
        </is>
      </c>
      <c r="S111" s="45" t="inlineStr">
        <is>
          <t>Cobre Panamá; Law 407; Law 406</t>
        </is>
      </c>
      <c r="T111" s="45" t="inlineStr">
        <is>
          <t>The Assembly approved an indefinite moratorium on new metallic mining concessions (Bill 1110, Law 407) after removing an amendment that would have repealed Law 406; Cortizo signed it the same day.</t>
        </is>
      </c>
      <c r="U111" s="45" t="inlineStr"/>
      <c r="V111" s="45" t="inlineStr"/>
      <c r="W111" s="45" t="inlineStr">
        <is>
          <t>en</t>
        </is>
      </c>
      <c r="X111" s="45" t="inlineStr">
        <is>
          <t>First Quantum Minerals (company release)</t>
        </is>
      </c>
      <c r="Y111" s="45" t="inlineStr">
        <is>
          <t>https://www.first-quantum.com/news/first-quantum-provides-update-on-panama/</t>
        </is>
      </c>
      <c r="Z111" s="45" t="inlineStr">
        <is>
          <t>news_media</t>
        </is>
      </c>
      <c r="AA111" s="45" t="inlineStr">
        <is>
          <t>secondary_reported</t>
        </is>
      </c>
      <c r="AB111" s="45" t="inlineStr">
        <is>
          <t>Final approval/signature per Wikipedia citing AP (https://apnews.com/article/panama-bill-mine-moratorium-protests-environment-canada-3ed264e871f09fa5ee7ed6fb6eeb0c61).</t>
        </is>
      </c>
      <c r="AC111" s="45" t="inlineStr">
        <is>
          <t>COL_ECU_PAN</t>
        </is>
      </c>
    </row>
    <row r="112" ht="15" customHeight="1" s="24">
      <c r="A112" s="45" t="inlineStr">
        <is>
          <t>PS-0111</t>
        </is>
      </c>
      <c r="B112" s="45" t="inlineStr">
        <is>
          <t>2023-11-11</t>
        </is>
      </c>
      <c r="C112" s="45" t="inlineStr">
        <is>
          <t>2023</t>
        </is>
      </c>
      <c r="D112" s="45" t="inlineStr">
        <is>
          <t>MEX</t>
        </is>
      </c>
      <c r="E112" s="45" t="inlineStr">
        <is>
          <t>Peter Secker</t>
        </is>
      </c>
      <c r="F112" s="45" t="inlineStr">
        <is>
          <t>CEO of Bacanora Lithium (Ganfeng subsidiary)</t>
        </is>
      </c>
      <c r="G112" s="45" t="inlineStr">
        <is>
          <t>other</t>
        </is>
      </c>
      <c r="H112" s="45" t="inlineStr">
        <is>
          <t>Other (business, civil society, third countries)</t>
        </is>
      </c>
      <c r="I112" s="45" t="inlineStr">
        <is>
          <t>GBR</t>
        </is>
      </c>
      <c r="J112" s="45" t="inlineStr"/>
      <c r="K112" s="45" t="inlineStr">
        <is>
          <t>interview</t>
        </is>
      </c>
      <c r="L112" s="45" t="inlineStr">
        <is>
          <t>Ganfeng's Sonora lithium project after concession cancellation</t>
        </is>
      </c>
      <c r="M112" s="45" t="inlineStr">
        <is>
          <t>lithium</t>
        </is>
      </c>
      <c r="N112" s="45" t="inlineStr">
        <is>
          <t>253090;282520;283691</t>
        </is>
      </c>
      <c r="O112" s="45" t="inlineStr">
        <is>
          <t>foreign_investment;state_control_nationalization</t>
        </is>
      </c>
      <c r="P112" s="45" t="inlineStr">
        <is>
          <t>CHN</t>
        </is>
      </c>
      <c r="Q112" s="45" t="inlineStr">
        <is>
          <t>positive</t>
        </is>
      </c>
      <c r="R112" s="45" t="inlineStr">
        <is>
          <t>not_mentioned</t>
        </is>
      </c>
      <c r="S112" s="45" t="inlineStr">
        <is>
          <t>Ganfeng Lithium;Bacanora Lithium;Sonora Lithium project</t>
        </is>
      </c>
      <c r="T112" s="45" t="inlineStr">
        <is>
          <t>Secker said Ganfeng had been trying to discuss with the Mexican government how they could work together under commercially viable arrangements, but that no one would invest US$1 billion without security.</t>
        </is>
      </c>
      <c r="U112" s="45" t="inlineStr">
        <is>
          <t>Nadie va a invertir US$ 1,000 millones a menos que tenga algún tipo de seguridad.</t>
        </is>
      </c>
      <c r="V112" s="45" t="inlineStr">
        <is>
          <t>Nobody is going to invest US$1 billion unless they have some kind of security.</t>
        </is>
      </c>
      <c r="W112" s="45" t="inlineStr">
        <is>
          <t>es</t>
        </is>
      </c>
      <c r="X112" s="45" t="inlineStr">
        <is>
          <t>Gestión (Bloomberg)</t>
        </is>
      </c>
      <c r="Y112" s="45" t="inlineStr">
        <is>
          <t>https://gestion.pe/mundo/mexico/china-ganfeng-sigue-con-mira-puesta-en-litio-mexicano-pese-a-plan-estatista-de-amlo-noticia/</t>
        </is>
      </c>
      <c r="Z112" s="45" t="inlineStr">
        <is>
          <t>news_media</t>
        </is>
      </c>
      <c r="AA112" s="45" t="inlineStr">
        <is>
          <t>secondary_reported</t>
        </is>
      </c>
      <c r="AB112" s="45" t="inlineStr">
        <is>
          <t>Spanish rendering of an English interview; corporate actor.</t>
        </is>
      </c>
      <c r="AC112" s="45" t="inlineStr">
        <is>
          <t>MEX</t>
        </is>
      </c>
    </row>
    <row r="113" ht="15" customHeight="1" s="24">
      <c r="A113" s="45" t="inlineStr">
        <is>
          <t>PS-0112</t>
        </is>
      </c>
      <c r="B113" s="45" t="inlineStr">
        <is>
          <t>2023-11-23</t>
        </is>
      </c>
      <c r="C113" s="45" t="inlineStr">
        <is>
          <t>2023</t>
        </is>
      </c>
      <c r="D113" s="45" t="inlineStr">
        <is>
          <t>ARG</t>
        </is>
      </c>
      <c r="E113" s="45" t="inlineStr">
        <is>
          <t>Wang Wei</t>
        </is>
      </c>
      <c r="F113" s="45" t="inlineStr">
        <is>
          <t>Chinese Ambassador to Argentina</t>
        </is>
      </c>
      <c r="G113" s="45" t="inlineStr">
        <is>
          <t>china_embassy</t>
        </is>
      </c>
      <c r="H113" s="45" t="inlineStr">
        <is>
          <t>China</t>
        </is>
      </c>
      <c r="I113" s="45" t="inlineStr">
        <is>
          <t>CHN</t>
        </is>
      </c>
      <c r="J113" s="45" t="inlineStr">
        <is>
          <t>CCP</t>
        </is>
      </c>
      <c r="K113" s="45" t="inlineStr">
        <is>
          <t>interview</t>
        </is>
      </c>
      <c r="L113" s="45" t="inlineStr">
        <is>
          <t>Visit to San Juan province</t>
        </is>
      </c>
      <c r="M113" s="45" t="inlineStr">
        <is>
          <t>mining_general;lithium</t>
        </is>
      </c>
      <c r="N113" s="45" t="inlineStr">
        <is>
          <t>253090;282520;283691</t>
        </is>
      </c>
      <c r="O113" s="45" t="inlineStr">
        <is>
          <t>diplomatic_relations;foreign_investment</t>
        </is>
      </c>
      <c r="P113" s="45" t="inlineStr">
        <is>
          <t>ARG</t>
        </is>
      </c>
      <c r="Q113" s="45" t="inlineStr">
        <is>
          <t>positive</t>
        </is>
      </c>
      <c r="R113" s="45" t="inlineStr">
        <is>
          <t>not_mentioned</t>
        </is>
      </c>
      <c r="S113" s="45" t="inlineStr">
        <is>
          <t>Shandong Gold; Veladero; CART radiotelescope</t>
        </is>
      </c>
      <c r="T113" s="45" t="inlineStr">
        <is>
          <t>Days after Milei's election, Wang Wei said subnational cooperation with San Juan has a solid base, in a province where Shandong Gold co-owns Veladero and Chinese firms explore lithium and build infrastructure.</t>
        </is>
      </c>
      <c r="U113" s="45" t="inlineStr">
        <is>
          <t>En el caso específico de San Juan, la cooperación entre las entidades subnacionales cuenta con una sólida base</t>
        </is>
      </c>
      <c r="V113" s="45" t="inlineStr">
        <is>
          <t>In the specific case of San Juan, cooperation between subnational entities has a solid base</t>
        </is>
      </c>
      <c r="W113" s="45" t="inlineStr">
        <is>
          <t>es</t>
        </is>
      </c>
      <c r="X113" s="45" t="inlineStr">
        <is>
          <t>Diario de Cuyo</t>
        </is>
      </c>
      <c r="Y113" s="45" t="inlineStr">
        <is>
          <t>https://www.diariodecuyo.com.ar/noticias/para-el-embajador-de-china-el-vinculo-con-san-juan-es-solido-1580186.html</t>
        </is>
      </c>
      <c r="Z113" s="45" t="inlineStr">
        <is>
          <t>news_media</t>
        </is>
      </c>
      <c r="AA113" s="45" t="inlineStr">
        <is>
          <t>secondary_reported</t>
        </is>
      </c>
      <c r="AB113" s="45" t="inlineStr">
        <is>
          <t>Mining link via context (Veladero); quote is general.</t>
        </is>
      </c>
      <c r="AC113" s="45" t="inlineStr">
        <is>
          <t>ARG</t>
        </is>
      </c>
    </row>
    <row r="114" ht="15" customHeight="1" s="24">
      <c r="A114" s="45" t="inlineStr">
        <is>
          <t>PS-0113</t>
        </is>
      </c>
      <c r="B114" s="45" t="inlineStr">
        <is>
          <t>2023-11-28</t>
        </is>
      </c>
      <c r="C114" s="45" t="inlineStr">
        <is>
          <t>2023</t>
        </is>
      </c>
      <c r="D114" s="45" t="inlineStr">
        <is>
          <t>PAN</t>
        </is>
      </c>
      <c r="E114" s="45" t="inlineStr">
        <is>
          <t>Corte Suprema de Justicia de Panamá</t>
        </is>
      </c>
      <c r="F114" s="45" t="inlineStr">
        <is>
          <t>Supreme Court of Justice (plenary)</t>
        </is>
      </c>
      <c r="G114" s="45" t="inlineStr">
        <is>
          <t>judiciary</t>
        </is>
      </c>
      <c r="H114" s="45" t="inlineStr">
        <is>
          <t>LatAm judiciary</t>
        </is>
      </c>
      <c r="I114" s="45" t="inlineStr">
        <is>
          <t>PAN</t>
        </is>
      </c>
      <c r="J114" s="45" t="inlineStr"/>
      <c r="K114" s="45" t="inlineStr">
        <is>
          <t>court_ruling</t>
        </is>
      </c>
      <c r="L114" s="45" t="inlineStr">
        <is>
          <t>Unconstitutionality ruling on Law 406</t>
        </is>
      </c>
      <c r="M114" s="45" t="inlineStr">
        <is>
          <t>copper</t>
        </is>
      </c>
      <c r="N114" s="45" t="inlineStr">
        <is>
          <t>260300;740200;740311</t>
        </is>
      </c>
      <c r="O114" s="45" t="inlineStr">
        <is>
          <t>sovereignty;environment_water;corruption_governance</t>
        </is>
      </c>
      <c r="P114" s="45" t="inlineStr">
        <is>
          <t>none</t>
        </is>
      </c>
      <c r="Q114" s="45" t="inlineStr">
        <is>
          <t>not_mentioned</t>
        </is>
      </c>
      <c r="R114" s="45" t="inlineStr">
        <is>
          <t>not_mentioned</t>
        </is>
      </c>
      <c r="S114" s="45" t="inlineStr">
        <is>
          <t>Cobre Panamá; First Quantum; Law 406</t>
        </is>
      </c>
      <c r="T114" s="45" t="inlineStr">
        <is>
          <t>The nine Supreme Court justices unanimously declared Law 406 approving the Cobre Panamá contract unconstitutional, citing violations of 25 constitutional articles; the ruling was published in the Official Gazette on 2 Dec 2023.</t>
        </is>
      </c>
      <c r="U114" s="45" t="inlineStr"/>
      <c r="V114" s="45" t="inlineStr"/>
      <c r="W114" s="45" t="inlineStr">
        <is>
          <t>es</t>
        </is>
      </c>
      <c r="X114" s="45" t="inlineStr">
        <is>
          <t>First Quantum Minerals (company release)</t>
        </is>
      </c>
      <c r="Y114" s="45" t="inlineStr">
        <is>
          <t>https://www.first-quantum.com/news/first-quantum-provides-update-on-cobre-panama-2/</t>
        </is>
      </c>
      <c r="Z114" s="45" t="inlineStr">
        <is>
          <t>news_media</t>
        </is>
      </c>
      <c r="AA114" s="45" t="inlineStr">
        <is>
          <t>secondary_reported</t>
        </is>
      </c>
      <c r="AB114" s="45" t="inlineStr">
        <is>
          <t>Unanimity and 25 articles per Wikipedia citing AP; Gaceta Oficial 29685-D.</t>
        </is>
      </c>
      <c r="AC114" s="45" t="inlineStr">
        <is>
          <t>COL_ECU_PAN</t>
        </is>
      </c>
    </row>
    <row r="115" ht="15" customHeight="1" s="24">
      <c r="A115" s="45" t="inlineStr">
        <is>
          <t>PS-0114</t>
        </is>
      </c>
      <c r="B115" s="45" t="inlineStr">
        <is>
          <t>2023-11-28</t>
        </is>
      </c>
      <c r="C115" s="45" t="inlineStr">
        <is>
          <t>2023</t>
        </is>
      </c>
      <c r="D115" s="45" t="inlineStr">
        <is>
          <t>PAN</t>
        </is>
      </c>
      <c r="E115" s="45" t="inlineStr">
        <is>
          <t>Laurentino Cortizo</t>
        </is>
      </c>
      <c r="F115" s="45" t="inlineStr">
        <is>
          <t>President of Panama</t>
        </is>
      </c>
      <c r="G115" s="45" t="inlineStr">
        <is>
          <t>head_of_state</t>
        </is>
      </c>
      <c r="H115" s="45" t="inlineStr">
        <is>
          <t>LatAm executive</t>
        </is>
      </c>
      <c r="I115" s="45" t="inlineStr">
        <is>
          <t>PAN</t>
        </is>
      </c>
      <c r="J115" s="45" t="inlineStr">
        <is>
          <t>PRD</t>
        </is>
      </c>
      <c r="K115" s="45" t="inlineStr">
        <is>
          <t>official_statement</t>
        </is>
      </c>
      <c r="L115" s="45" t="inlineStr">
        <is>
          <t>Reaction to Supreme Court ruling</t>
        </is>
      </c>
      <c r="M115" s="45" t="inlineStr">
        <is>
          <t>copper</t>
        </is>
      </c>
      <c r="N115" s="45" t="inlineStr">
        <is>
          <t>260300;740200;740311</t>
        </is>
      </c>
      <c r="O115" s="45" t="inlineStr">
        <is>
          <t>environment_water;labor_social_conflict</t>
        </is>
      </c>
      <c r="P115" s="45" t="inlineStr">
        <is>
          <t>none</t>
        </is>
      </c>
      <c r="Q115" s="45" t="inlineStr">
        <is>
          <t>not_mentioned</t>
        </is>
      </c>
      <c r="R115" s="45" t="inlineStr">
        <is>
          <t>not_mentioned</t>
        </is>
      </c>
      <c r="S115" s="45" t="inlineStr">
        <is>
          <t>Cobre Panamá; First Quantum</t>
        </is>
      </c>
      <c r="T115" s="45" t="inlineStr">
        <is>
          <t>Cortizo said his administration would comply with the ruling and ensure a safe and orderly closure of the Cobre Panamá mine, beginning the transition process.</t>
        </is>
      </c>
      <c r="U115" s="45" t="inlineStr"/>
      <c r="V115" s="45" t="inlineStr"/>
      <c r="W115" s="45" t="inlineStr">
        <is>
          <t>es</t>
        </is>
      </c>
      <c r="X115" s="45" t="inlineStr">
        <is>
          <t>AP News</t>
        </is>
      </c>
      <c r="Y115" s="45" t="inlineStr">
        <is>
          <t>https://apnews.com/article/panama-copper-mine-supreme-court-canadian-629d8a7838f23cc4ed845a1b3c7a2941</t>
        </is>
      </c>
      <c r="Z115" s="45" t="inlineStr">
        <is>
          <t>news_media</t>
        </is>
      </c>
      <c r="AA115" s="45" t="inlineStr">
        <is>
          <t>secondary_reported</t>
        </is>
      </c>
      <c r="AB115" s="45" t="inlineStr">
        <is>
          <t>Details via Wikipedia '2023 Panamanian protests' summary citing this article; the article itself could not be fetched (site blocked). English paraphrase only.</t>
        </is>
      </c>
      <c r="AC115" s="45" t="inlineStr">
        <is>
          <t>COL_ECU_PAN</t>
        </is>
      </c>
    </row>
    <row r="116" ht="15" customHeight="1" s="24">
      <c r="A116" s="45" t="inlineStr">
        <is>
          <t>PS-0115</t>
        </is>
      </c>
      <c r="B116" s="45" t="inlineStr">
        <is>
          <t>2023-11-30</t>
        </is>
      </c>
      <c r="C116" s="45" t="inlineStr">
        <is>
          <t>2023</t>
        </is>
      </c>
      <c r="D116" s="45" t="inlineStr">
        <is>
          <t>PAN</t>
        </is>
      </c>
      <c r="E116" s="45" t="inlineStr">
        <is>
          <t>Federico Alfaro Boyd</t>
        </is>
      </c>
      <c r="F116" s="45" t="inlineStr">
        <is>
          <t>Minister of Commerce and Industries of Panama</t>
        </is>
      </c>
      <c r="G116" s="45" t="inlineStr">
        <is>
          <t>minister_cabinet</t>
        </is>
      </c>
      <c r="H116" s="45" t="inlineStr">
        <is>
          <t>LatAm executive</t>
        </is>
      </c>
      <c r="I116" s="45" t="inlineStr">
        <is>
          <t>PAN</t>
        </is>
      </c>
      <c r="J116" s="45" t="inlineStr">
        <is>
          <t>PRD government</t>
        </is>
      </c>
      <c r="K116" s="45" t="inlineStr">
        <is>
          <t>official_statement</t>
        </is>
      </c>
      <c r="L116" s="45" t="inlineStr">
        <is>
          <t>Resignation after mining contract backlash</t>
        </is>
      </c>
      <c r="M116" s="45" t="inlineStr">
        <is>
          <t>copper</t>
        </is>
      </c>
      <c r="N116" s="45" t="inlineStr">
        <is>
          <t>260300;740200;740311</t>
        </is>
      </c>
      <c r="O116" s="45" t="inlineStr">
        <is>
          <t>corruption_governance;labor_social_conflict</t>
        </is>
      </c>
      <c r="P116" s="45" t="inlineStr">
        <is>
          <t>none</t>
        </is>
      </c>
      <c r="Q116" s="45" t="inlineStr">
        <is>
          <t>not_mentioned</t>
        </is>
      </c>
      <c r="R116" s="45" t="inlineStr">
        <is>
          <t>not_mentioned</t>
        </is>
      </c>
      <c r="S116" s="45" t="inlineStr">
        <is>
          <t>Cobre Panamá; Law 406</t>
        </is>
      </c>
      <c r="T116" s="45" t="inlineStr">
        <is>
          <t>The trade minister who negotiated the First Quantum contract resigned following the backlash and the Supreme Court ruling.</t>
        </is>
      </c>
      <c r="U116" s="45" t="inlineStr"/>
      <c r="V116" s="45" t="inlineStr"/>
      <c r="W116" s="45" t="inlineStr">
        <is>
          <t>en</t>
        </is>
      </c>
      <c r="X116" s="45" t="inlineStr">
        <is>
          <t>Reuters</t>
        </is>
      </c>
      <c r="Y116" s="45" t="inlineStr">
        <is>
          <t>https://www.reuters.com/world/americas/panama-trade-minister-resigns-after-mining-contract-backlash-2023-11-30/</t>
        </is>
      </c>
      <c r="Z116" s="45" t="inlineStr">
        <is>
          <t>news_media</t>
        </is>
      </c>
      <c r="AA116" s="45" t="inlineStr">
        <is>
          <t>secondary_reported</t>
        </is>
      </c>
      <c r="AB116" s="45" t="inlineStr">
        <is>
          <t>Details via Wikipedia '2023 Panamanian protests' summary citing this article; the article itself could not be fetched (site blocked). Minister's full name from general knowledge; verify.</t>
        </is>
      </c>
      <c r="AC116" s="45" t="inlineStr">
        <is>
          <t>COL_ECU_PAN</t>
        </is>
      </c>
    </row>
    <row r="117" ht="15" customHeight="1" s="24">
      <c r="A117" s="45" t="inlineStr">
        <is>
          <t>PS-0116</t>
        </is>
      </c>
      <c r="B117" s="45" t="inlineStr">
        <is>
          <t>2023-12-19</t>
        </is>
      </c>
      <c r="C117" s="45" t="inlineStr">
        <is>
          <t>2023</t>
        </is>
      </c>
      <c r="D117" s="45" t="inlineStr">
        <is>
          <t>CHL</t>
        </is>
      </c>
      <c r="E117" s="45" t="inlineStr">
        <is>
          <t>Aurora Williams</t>
        </is>
      </c>
      <c r="F117" s="45" t="inlineStr">
        <is>
          <t>Minister of Mining</t>
        </is>
      </c>
      <c r="G117" s="45" t="inlineStr">
        <is>
          <t>minister_cabinet</t>
        </is>
      </c>
      <c r="H117" s="45" t="inlineStr">
        <is>
          <t>LatAm executive</t>
        </is>
      </c>
      <c r="I117" s="45" t="inlineStr">
        <is>
          <t>CHL</t>
        </is>
      </c>
      <c r="J117" s="45" t="inlineStr">
        <is>
          <t>Partido Radical</t>
        </is>
      </c>
      <c r="K117" s="45" t="inlineStr">
        <is>
          <t>legislative_debate</t>
        </is>
      </c>
      <c r="L117" s="45" t="inlineStr">
        <is>
          <t>Chamber special session on National Lithium Strategy</t>
        </is>
      </c>
      <c r="M117" s="45" t="inlineStr">
        <is>
          <t>lithium</t>
        </is>
      </c>
      <c r="N117" s="45" t="inlineStr">
        <is>
          <t>253090;282520;283691</t>
        </is>
      </c>
      <c r="O117" s="45" t="inlineStr">
        <is>
          <t>state_control_nationalization;environment_water</t>
        </is>
      </c>
      <c r="P117" s="45" t="inlineStr">
        <is>
          <t>none</t>
        </is>
      </c>
      <c r="Q117" s="45" t="inlineStr">
        <is>
          <t>not_mentioned</t>
        </is>
      </c>
      <c r="R117" s="45" t="inlineStr">
        <is>
          <t>not_mentioned</t>
        </is>
      </c>
      <c r="S117" s="45" t="inlineStr">
        <is>
          <t>Codelco; Salar Blanco; Empresa Nacional del Litio</t>
        </is>
      </c>
      <c r="T117" s="45" t="inlineStr">
        <is>
          <t>Williams presented progress on the lithium strategy, including the strategic council on lithium and salt flats, the planned national lithium company and Codelco's acquisition of the Salar Blanco project.</t>
        </is>
      </c>
      <c r="U117" s="45" t="inlineStr">
        <is>
          <t>visión de un Chile líder en la producción sostenible de litio</t>
        </is>
      </c>
      <c r="V117" s="45" t="inlineStr">
        <is>
          <t>vision of a Chile leading sustainable lithium production</t>
        </is>
      </c>
      <c r="W117" s="45" t="inlineStr">
        <is>
          <t>es</t>
        </is>
      </c>
      <c r="X117" s="45" t="inlineStr">
        <is>
          <t>Cámara de Diputadas y Diputados</t>
        </is>
      </c>
      <c r="Y117" s="45" t="inlineStr">
        <is>
          <t>https://www.camara.cl/cms/2023/12/19/camara-analizo-estrategia-nacional-del-litio/</t>
        </is>
      </c>
      <c r="Z117" s="45" t="inlineStr">
        <is>
          <t>legislative_record</t>
        </is>
      </c>
      <c r="AA117" s="45" t="inlineStr">
        <is>
          <t>primary_verified</t>
        </is>
      </c>
      <c r="AB117" s="45" t="inlineStr"/>
      <c r="AC117" s="45" t="inlineStr">
        <is>
          <t>CHL</t>
        </is>
      </c>
    </row>
    <row r="118" ht="15" customHeight="1" s="24">
      <c r="A118" s="45" t="inlineStr">
        <is>
          <t>PS-0117</t>
        </is>
      </c>
      <c r="B118" s="45" t="inlineStr">
        <is>
          <t>2023-12-19</t>
        </is>
      </c>
      <c r="C118" s="45" t="inlineStr">
        <is>
          <t>2023</t>
        </is>
      </c>
      <c r="D118" s="45" t="inlineStr">
        <is>
          <t>CHL</t>
        </is>
      </c>
      <c r="E118" s="45" t="inlineStr">
        <is>
          <t>Chamber of Deputies of Chile</t>
        </is>
      </c>
      <c r="F118" s="45" t="inlineStr">
        <is>
          <t>Chamber of Deputies (plenary)</t>
        </is>
      </c>
      <c r="G118" s="45" t="inlineStr">
        <is>
          <t>legislature_body</t>
        </is>
      </c>
      <c r="H118" s="45" t="inlineStr">
        <is>
          <t>LatAm legislature</t>
        </is>
      </c>
      <c r="I118" s="45" t="inlineStr">
        <is>
          <t>CHL</t>
        </is>
      </c>
      <c r="J118" s="45" t="inlineStr"/>
      <c r="K118" s="45" t="inlineStr">
        <is>
          <t>legislative_debate</t>
        </is>
      </c>
      <c r="L118" s="45" t="inlineStr">
        <is>
          <t>Special session on National Lithium Strategy; Resolution 1161</t>
        </is>
      </c>
      <c r="M118" s="45" t="inlineStr">
        <is>
          <t>lithium</t>
        </is>
      </c>
      <c r="N118" s="45" t="inlineStr">
        <is>
          <t>253090;282520;283691</t>
        </is>
      </c>
      <c r="O118" s="45" t="inlineStr">
        <is>
          <t>state_control_nationalization;energy_transition</t>
        </is>
      </c>
      <c r="P118" s="45" t="inlineStr">
        <is>
          <t>none</t>
        </is>
      </c>
      <c r="Q118" s="45" t="inlineStr">
        <is>
          <t>not_mentioned</t>
        </is>
      </c>
      <c r="R118" s="45" t="inlineStr">
        <is>
          <t>not_mentioned</t>
        </is>
      </c>
      <c r="S118" s="45" t="inlineStr">
        <is>
          <t>Empresa Nacional del Litio; Codelco</t>
        </is>
      </c>
      <c r="T118" s="45" t="inlineStr">
        <is>
          <t>The Chamber approved Resolution 1161 supporting sustainable development of the lithium industry, whose resources belong to all Chileans, after a special session with the mining minister.</t>
        </is>
      </c>
      <c r="U118" s="45" t="inlineStr"/>
      <c r="V118" s="45" t="inlineStr"/>
      <c r="W118" s="45" t="inlineStr">
        <is>
          <t>es</t>
        </is>
      </c>
      <c r="X118" s="45" t="inlineStr">
        <is>
          <t>Cámara de Diputadas y Diputados</t>
        </is>
      </c>
      <c r="Y118" s="45" t="inlineStr">
        <is>
          <t>https://www.camara.cl/cms/2023/12/19/camara-analizo-estrategia-nacional-del-litio/</t>
        </is>
      </c>
      <c r="Z118" s="45" t="inlineStr">
        <is>
          <t>legislative_record</t>
        </is>
      </c>
      <c r="AA118" s="45" t="inlineStr">
        <is>
          <t>primary_verified</t>
        </is>
      </c>
      <c r="AB118" s="45" t="inlineStr"/>
      <c r="AC118" s="45" t="inlineStr">
        <is>
          <t>CHL</t>
        </is>
      </c>
    </row>
    <row r="119" ht="15" customHeight="1" s="24">
      <c r="A119" s="45" t="inlineStr">
        <is>
          <t>PS-0118</t>
        </is>
      </c>
      <c r="B119" s="45" t="inlineStr">
        <is>
          <t>2023-12-24</t>
        </is>
      </c>
      <c r="C119" s="45" t="inlineStr">
        <is>
          <t>2023</t>
        </is>
      </c>
      <c r="D119" s="45" t="inlineStr">
        <is>
          <t>ARG</t>
        </is>
      </c>
      <c r="E119" s="45" t="inlineStr">
        <is>
          <t>Javier Milei</t>
        </is>
      </c>
      <c r="F119" s="45" t="inlineStr">
        <is>
          <t>President of Argentina</t>
        </is>
      </c>
      <c r="G119" s="45" t="inlineStr">
        <is>
          <t>head_of_state</t>
        </is>
      </c>
      <c r="H119" s="45" t="inlineStr">
        <is>
          <t>LatAm executive</t>
        </is>
      </c>
      <c r="I119" s="45" t="inlineStr">
        <is>
          <t>ARG</t>
        </is>
      </c>
      <c r="J119" s="45" t="inlineStr">
        <is>
          <t>La Libertad Avanza</t>
        </is>
      </c>
      <c r="K119" s="45" t="inlineStr">
        <is>
          <t>interview</t>
        </is>
      </c>
      <c r="L119" s="45" t="inlineStr">
        <is>
          <t>TV interview with Mirtha Legrand</t>
        </is>
      </c>
      <c r="M119" s="45" t="inlineStr">
        <is>
          <t>lithium</t>
        </is>
      </c>
      <c r="N119" s="45" t="inlineStr">
        <is>
          <t>253090;282520;283691</t>
        </is>
      </c>
      <c r="O119" s="45" t="inlineStr">
        <is>
          <t>foreign_investment</t>
        </is>
      </c>
      <c r="P119" s="45" t="inlineStr">
        <is>
          <t>USA</t>
        </is>
      </c>
      <c r="Q119" s="45" t="inlineStr">
        <is>
          <t>not_mentioned</t>
        </is>
      </c>
      <c r="R119" s="45" t="inlineStr">
        <is>
          <t>positive</t>
        </is>
      </c>
      <c r="S119" s="45" t="inlineStr">
        <is>
          <t>Tesla</t>
        </is>
      </c>
      <c r="T119" s="45" t="inlineStr">
        <is>
          <t>Milei said Elon Musk is extremely interested in Argentine lithium, as are the US government and many companies, and argued Argentina needs a legal framework that respects property rights to attract them.</t>
        </is>
      </c>
      <c r="U119" s="45" t="inlineStr">
        <is>
          <t>está sumamente interesado en el litio</t>
        </is>
      </c>
      <c r="V119" s="45" t="inlineStr">
        <is>
          <t>he is extremely interested in lithium</t>
        </is>
      </c>
      <c r="W119" s="45" t="inlineStr">
        <is>
          <t>es</t>
        </is>
      </c>
      <c r="X119" s="45" t="inlineStr">
        <is>
          <t>Ámbito</t>
        </is>
      </c>
      <c r="Y119" s="45" t="inlineStr">
        <is>
          <t>https://www.ambito.com/politica/javier-milei-admitio-que-elon-musk-esta-interesado-el-litio-la-argentina-n5906635</t>
        </is>
      </c>
      <c r="Z119" s="45" t="inlineStr">
        <is>
          <t>news_media</t>
        </is>
      </c>
      <c r="AA119" s="45" t="inlineStr">
        <is>
          <t>secondary_reported</t>
        </is>
      </c>
      <c r="AB119" s="45" t="inlineStr">
        <is>
          <t>Quote refers to Elon Musk.</t>
        </is>
      </c>
      <c r="AC119" s="45" t="inlineStr">
        <is>
          <t>ARG</t>
        </is>
      </c>
    </row>
    <row r="120" ht="15" customHeight="1" s="24">
      <c r="A120" s="45" t="inlineStr">
        <is>
          <t>PS-0119</t>
        </is>
      </c>
      <c r="B120" s="45" t="inlineStr">
        <is>
          <t>2024-01</t>
        </is>
      </c>
      <c r="C120" s="45" t="inlineStr">
        <is>
          <t>2024</t>
        </is>
      </c>
      <c r="D120" s="45" t="inlineStr">
        <is>
          <t>CHL</t>
        </is>
      </c>
      <c r="E120" s="45" t="inlineStr">
        <is>
          <t>Mario Marcel</t>
        </is>
      </c>
      <c r="F120" s="45" t="inlineStr">
        <is>
          <t>Minister of Finance</t>
        </is>
      </c>
      <c r="G120" s="45" t="inlineStr">
        <is>
          <t>minister_cabinet</t>
        </is>
      </c>
      <c r="H120" s="45" t="inlineStr">
        <is>
          <t>LatAm executive</t>
        </is>
      </c>
      <c r="I120" s="45" t="inlineStr">
        <is>
          <t>CHL</t>
        </is>
      </c>
      <c r="J120" s="45" t="inlineStr">
        <is>
          <t>Partido Socialista (ind.)</t>
        </is>
      </c>
      <c r="K120" s="45" t="inlineStr">
        <is>
          <t>legislative_debate</t>
        </is>
      </c>
      <c r="L120" s="45" t="inlineStr">
        <is>
          <t>Special Senate session on Codelco-SQM agreement</t>
        </is>
      </c>
      <c r="M120" s="45" t="inlineStr">
        <is>
          <t>lithium</t>
        </is>
      </c>
      <c r="N120" s="45" t="inlineStr">
        <is>
          <t>253090;282520;283691</t>
        </is>
      </c>
      <c r="O120" s="45" t="inlineStr">
        <is>
          <t>royalties_taxation;state_control_nationalization</t>
        </is>
      </c>
      <c r="P120" s="45" t="inlineStr">
        <is>
          <t>none</t>
        </is>
      </c>
      <c r="Q120" s="45" t="inlineStr">
        <is>
          <t>not_mentioned</t>
        </is>
      </c>
      <c r="R120" s="45" t="inlineStr">
        <is>
          <t>not_mentioned</t>
        </is>
      </c>
      <c r="S120" s="45" t="inlineStr">
        <is>
          <t>Codelco; SQM</t>
        </is>
      </c>
      <c r="T120" s="45" t="inlineStr">
        <is>
          <t>At a special Senate session where senators questioned the lack of tender and SQM's record, Marcel explained that state revenue from the Codelco-SQM deal combines taxes, royalties and profit participation.</t>
        </is>
      </c>
      <c r="U120" s="45" t="inlineStr">
        <is>
          <t>Una son los impuestos, otra es el royalty (minero), otra es la participación en los ingresos</t>
        </is>
      </c>
      <c r="V120" s="45" t="inlineStr">
        <is>
          <t>One is taxes, another is the (mining) royalty, another is the share of revenue</t>
        </is>
      </c>
      <c r="W120" s="45" t="inlineStr">
        <is>
          <t>es</t>
        </is>
      </c>
      <c r="X120" s="45" t="inlineStr">
        <is>
          <t>Reporte Minero</t>
        </is>
      </c>
      <c r="Y120" s="45" t="inlineStr">
        <is>
          <t>https://www.reporteminero.cl/noticia/noticias/2024/01/senado-expresa-dudas-destino-ingresos-fiscales-alcances-acuerdos-codelco-sqm</t>
        </is>
      </c>
      <c r="Z120" s="45" t="inlineStr">
        <is>
          <t>news_media</t>
        </is>
      </c>
      <c r="AA120" s="45" t="inlineStr">
        <is>
          <t>secondary_reported</t>
        </is>
      </c>
      <c r="AB120" s="45" t="inlineStr">
        <is>
          <t>Exact day not given; January 2024</t>
        </is>
      </c>
      <c r="AC120" s="45" t="inlineStr">
        <is>
          <t>CHL</t>
        </is>
      </c>
    </row>
    <row r="121" ht="15" customHeight="1" s="24">
      <c r="A121" s="45" t="inlineStr">
        <is>
          <t>PS-0120</t>
        </is>
      </c>
      <c r="B121" s="45" t="inlineStr">
        <is>
          <t>2024-01-19</t>
        </is>
      </c>
      <c r="C121" s="45" t="inlineStr">
        <is>
          <t>2024</t>
        </is>
      </c>
      <c r="D121" s="45" t="inlineStr">
        <is>
          <t>ARG</t>
        </is>
      </c>
      <c r="E121" s="45" t="inlineStr">
        <is>
          <t>Flavia Royón</t>
        </is>
      </c>
      <c r="F121" s="45" t="inlineStr">
        <is>
          <t>Secretary of Mining of Argentina</t>
        </is>
      </c>
      <c r="G121" s="45" t="inlineStr">
        <is>
          <t>other_executive</t>
        </is>
      </c>
      <c r="H121" s="45" t="inlineStr">
        <is>
          <t>LatAm executive</t>
        </is>
      </c>
      <c r="I121" s="45" t="inlineStr">
        <is>
          <t>ARG</t>
        </is>
      </c>
      <c r="J121" s="45" t="inlineStr"/>
      <c r="K121" s="45" t="inlineStr">
        <is>
          <t>interview</t>
        </is>
      </c>
      <c r="L121" s="45" t="inlineStr">
        <is>
          <t>Bloomberg Línea interview early in Milei government</t>
        </is>
      </c>
      <c r="M121" s="45" t="inlineStr">
        <is>
          <t>lithium;copper;mining_general</t>
        </is>
      </c>
      <c r="N121" s="45" t="inlineStr">
        <is>
          <t>253090;260300;282520;283691;740200;740311</t>
        </is>
      </c>
      <c r="O121" s="45" t="inlineStr">
        <is>
          <t>foreign_investment;value_added_industrialization;trade_deals_offtake</t>
        </is>
      </c>
      <c r="P121" s="45" t="inlineStr">
        <is>
          <t>USA</t>
        </is>
      </c>
      <c r="Q121" s="45" t="inlineStr">
        <is>
          <t>not_mentioned</t>
        </is>
      </c>
      <c r="R121" s="45" t="inlineStr">
        <is>
          <t>positive</t>
        </is>
      </c>
      <c r="S121" s="45" t="inlineStr">
        <is>
          <t>RIGI; Inflation Reduction Act</t>
        </is>
      </c>
      <c r="T121" s="45" t="inlineStr">
        <is>
          <t>Royón said Argentina should pursue lithium, copper, gold and silver alike, that copper must be a national objective, that lithium industrialization matters but should not be exclusionary, and that talks with the State Department on Argentina's IRA inclusion continue.</t>
        </is>
      </c>
      <c r="U121" s="45" t="inlineStr">
        <is>
          <t>Acá no es litio o cobre. Es el litio, cobre, oro, plata, todo.</t>
        </is>
      </c>
      <c r="V121" s="45" t="inlineStr">
        <is>
          <t>Here it is not lithium or copper. It is lithium, copper, gold, silver, everything.</t>
        </is>
      </c>
      <c r="W121" s="45" t="inlineStr">
        <is>
          <t>es</t>
        </is>
      </c>
      <c r="X121" s="45" t="inlineStr">
        <is>
          <t>Bloomberg Línea</t>
        </is>
      </c>
      <c r="Y121" s="45" t="inlineStr">
        <is>
          <t>https://www.bloomberglinea.com/latinoamerica/argentina/que-se-espera-para-el-litio-y-el-cobre-con-milei-segun-flavia-royon/</t>
        </is>
      </c>
      <c r="Z121" s="45" t="inlineStr">
        <is>
          <t>news_media</t>
        </is>
      </c>
      <c r="AA121" s="45" t="inlineStr">
        <is>
          <t>secondary_reported</t>
        </is>
      </c>
      <c r="AB121" s="45" t="inlineStr"/>
      <c r="AC121" s="45" t="inlineStr">
        <is>
          <t>ARG</t>
        </is>
      </c>
    </row>
    <row r="122" ht="15" customHeight="1" s="24">
      <c r="A122" s="45" t="inlineStr">
        <is>
          <t>PS-0121</t>
        </is>
      </c>
      <c r="B122" s="45" t="inlineStr">
        <is>
          <t>2024-02-15</t>
        </is>
      </c>
      <c r="C122" s="45" t="inlineStr">
        <is>
          <t>2024</t>
        </is>
      </c>
      <c r="D122" s="45" t="inlineStr">
        <is>
          <t>PER</t>
        </is>
      </c>
      <c r="E122" s="45" t="inlineStr">
        <is>
          <t>Rómulo Mucho</t>
        </is>
      </c>
      <c r="F122" s="45" t="inlineStr">
        <is>
          <t>Minister of Energy and Mines of Peru</t>
        </is>
      </c>
      <c r="G122" s="45" t="inlineStr">
        <is>
          <t>minister_cabinet</t>
        </is>
      </c>
      <c r="H122" s="45" t="inlineStr">
        <is>
          <t>LatAm executive</t>
        </is>
      </c>
      <c r="I122" s="45" t="inlineStr">
        <is>
          <t>PER</t>
        </is>
      </c>
      <c r="J122" s="45" t="inlineStr"/>
      <c r="K122" s="45" t="inlineStr">
        <is>
          <t>interview</t>
        </is>
      </c>
      <c r="L122" s="45" t="inlineStr">
        <is>
          <t>Debate over REINFO and illegal mining</t>
        </is>
      </c>
      <c r="M122" s="45" t="inlineStr">
        <is>
          <t>mining_general</t>
        </is>
      </c>
      <c r="N122" s="45" t="inlineStr"/>
      <c r="O122" s="45" t="inlineStr">
        <is>
          <t>corruption_governance;labor_social_conflict</t>
        </is>
      </c>
      <c r="P122" s="45" t="inlineStr">
        <is>
          <t>none</t>
        </is>
      </c>
      <c r="Q122" s="45" t="inlineStr">
        <is>
          <t>not_mentioned</t>
        </is>
      </c>
      <c r="R122" s="45" t="inlineStr">
        <is>
          <t>not_mentioned</t>
        </is>
      </c>
      <c r="S122" s="45" t="inlineStr">
        <is>
          <t>REINFO</t>
        </is>
      </c>
      <c r="T122" s="45" t="inlineStr">
        <is>
          <t>Mucho said distortion of the REINFO formalization registry had enabled the expansion of illegal mining and that the registry needed review, excluding those not complying.</t>
        </is>
      </c>
      <c r="U122" s="45" t="inlineStr">
        <is>
          <t>Por la distorsión del Reinfo han aparecido muchos que están trabajando en eso.</t>
        </is>
      </c>
      <c r="V122" s="45" t="inlineStr">
        <is>
          <t>Because of the distortion of Reinfo, many have appeared who are working in that.</t>
        </is>
      </c>
      <c r="W122" s="45" t="inlineStr">
        <is>
          <t>es</t>
        </is>
      </c>
      <c r="X122" s="45" t="inlineStr">
        <is>
          <t>Energiminas</t>
        </is>
      </c>
      <c r="Y122" s="45" t="inlineStr">
        <is>
          <t>https://energiminas.com/?p=14457</t>
        </is>
      </c>
      <c r="Z122" s="45" t="inlineStr">
        <is>
          <t>news_media</t>
        </is>
      </c>
      <c r="AA122" s="45" t="inlineStr">
        <is>
          <t>secondary_reported</t>
        </is>
      </c>
      <c r="AB122" s="45" t="inlineStr"/>
      <c r="AC122" s="45" t="inlineStr">
        <is>
          <t>PER</t>
        </is>
      </c>
    </row>
    <row r="123" ht="15" customHeight="1" s="24">
      <c r="A123" s="45" t="inlineStr">
        <is>
          <t>PS-0122</t>
        </is>
      </c>
      <c r="B123" s="45" t="inlineStr">
        <is>
          <t>2024-02-22</t>
        </is>
      </c>
      <c r="C123" s="45" t="inlineStr">
        <is>
          <t>2024</t>
        </is>
      </c>
      <c r="D123" s="45" t="inlineStr">
        <is>
          <t>BOL</t>
        </is>
      </c>
      <c r="E123" s="45" t="inlineStr">
        <is>
          <t>Marcelino Quispe</t>
        </is>
      </c>
      <c r="F123" s="45" t="inlineStr">
        <is>
          <t>Minister of Mining and Metallurgy</t>
        </is>
      </c>
      <c r="G123" s="45" t="inlineStr">
        <is>
          <t>minister_cabinet</t>
        </is>
      </c>
      <c r="H123" s="45" t="inlineStr">
        <is>
          <t>LatAm executive</t>
        </is>
      </c>
      <c r="I123" s="45" t="inlineStr">
        <is>
          <t>BOL</t>
        </is>
      </c>
      <c r="J123" s="45" t="inlineStr">
        <is>
          <t>Movimiento al Socialismo (MAS)</t>
        </is>
      </c>
      <c r="K123" s="45" t="inlineStr">
        <is>
          <t>official_statement</t>
        </is>
      </c>
      <c r="L123" s="45" t="inlineStr">
        <is>
          <t>Announcement of zinc refineries in Potosí and Oruro</t>
        </is>
      </c>
      <c r="M123" s="45" t="inlineStr">
        <is>
          <t>zinc;silver;copper</t>
        </is>
      </c>
      <c r="N123" s="45" t="inlineStr">
        <is>
          <t>260300;260800;261610;710691;740200;740311</t>
        </is>
      </c>
      <c r="O123" s="45" t="inlineStr">
        <is>
          <t>value_added_industrialization;processing_refining</t>
        </is>
      </c>
      <c r="P123" s="45" t="inlineStr">
        <is>
          <t>none</t>
        </is>
      </c>
      <c r="Q123" s="45" t="inlineStr">
        <is>
          <t>not_mentioned</t>
        </is>
      </c>
      <c r="R123" s="45" t="inlineStr">
        <is>
          <t>not_mentioned</t>
        </is>
      </c>
      <c r="S123" s="45" t="inlineStr"/>
      <c r="T123" s="45" t="inlineStr">
        <is>
          <t>Quispe confirmed plans for zinc refineries in Potosí (~US$400m) and Oruro (~US$350m), saying Bolivia now exports only zinc concentrates and refining would allow recovery of by-products such as indium, cadmium, silver and copper.</t>
        </is>
      </c>
      <c r="U123" s="45" t="inlineStr"/>
      <c r="V123" s="45" t="inlineStr"/>
      <c r="W123" s="45" t="inlineStr">
        <is>
          <t>es</t>
        </is>
      </c>
      <c r="X123" s="45" t="inlineStr">
        <is>
          <t>Reporte Minero</t>
        </is>
      </c>
      <c r="Y123" s="45" t="inlineStr">
        <is>
          <t>https://www.reporteminero.cl/noticia/noticias/2024/02/bolivia-confirma-refinerias-zinc-potosi-oruro</t>
        </is>
      </c>
      <c r="Z123" s="45" t="inlineStr">
        <is>
          <t>news_media</t>
        </is>
      </c>
      <c r="AA123" s="45" t="inlineStr">
        <is>
          <t>secondary_reported</t>
        </is>
      </c>
      <c r="AB123" s="45" t="inlineStr">
        <is>
          <t>Only paraphrase available.</t>
        </is>
      </c>
      <c r="AC123" s="45" t="inlineStr">
        <is>
          <t>BOL</t>
        </is>
      </c>
    </row>
    <row r="124" ht="15" customHeight="1" s="24">
      <c r="A124" s="45" t="inlineStr">
        <is>
          <t>PS-0123</t>
        </is>
      </c>
      <c r="B124" s="45" t="inlineStr">
        <is>
          <t>2024-02-23</t>
        </is>
      </c>
      <c r="C124" s="45" t="inlineStr">
        <is>
          <t>2024</t>
        </is>
      </c>
      <c r="D124" s="45" t="inlineStr">
        <is>
          <t>ARG</t>
        </is>
      </c>
      <c r="E124" s="45" t="inlineStr">
        <is>
          <t>Antony Blinken</t>
        </is>
      </c>
      <c r="F124" s="45" t="inlineStr">
        <is>
          <t>U.S. Secretary of State</t>
        </is>
      </c>
      <c r="G124" s="45" t="inlineStr">
        <is>
          <t>us_central_gov</t>
        </is>
      </c>
      <c r="H124" s="45" t="inlineStr">
        <is>
          <t>United States</t>
        </is>
      </c>
      <c r="I124" s="45" t="inlineStr">
        <is>
          <t>USA</t>
        </is>
      </c>
      <c r="J124" s="45" t="inlineStr">
        <is>
          <t>Democratic (Biden administration)</t>
        </is>
      </c>
      <c r="K124" s="45" t="inlineStr">
        <is>
          <t>press_conference</t>
        </is>
      </c>
      <c r="L124" s="45" t="inlineStr">
        <is>
          <t>Blinken visit to Buenos Aires, meeting with President Milei</t>
        </is>
      </c>
      <c r="M124" s="45" t="inlineStr">
        <is>
          <t>lithium;critical_minerals_general</t>
        </is>
      </c>
      <c r="N124" s="45" t="inlineStr">
        <is>
          <t>253090;282520;283691</t>
        </is>
      </c>
      <c r="O124" s="45" t="inlineStr">
        <is>
          <t>foreign_investment;financing_credit;diplomatic_relations</t>
        </is>
      </c>
      <c r="P124" s="45" t="inlineStr">
        <is>
          <t>ARG</t>
        </is>
      </c>
      <c r="Q124" s="45" t="inlineStr">
        <is>
          <t>not_mentioned</t>
        </is>
      </c>
      <c r="R124" s="45" t="inlineStr">
        <is>
          <t>positive</t>
        </is>
      </c>
      <c r="S124" s="45" t="inlineStr">
        <is>
          <t>DFC; Minerals Security Partnership</t>
        </is>
      </c>
      <c r="T124" s="45" t="inlineStr">
        <is>
          <t>In Buenos Aires Blinken praised Milei's economic efforts and said Argentina has what the world needs, with the US exploring critical minerals investment, especially lithium, through the DFC and the Minerals Security Partnership.</t>
        </is>
      </c>
      <c r="U124" s="45" t="inlineStr">
        <is>
          <t>We see extraordinary opportunity here in Argentina, but maybe most important, what's so evident is that Argentina has what the world actually needs</t>
        </is>
      </c>
      <c r="V124" s="45" t="inlineStr">
        <is>
          <t>We see extraordinary opportunity here in Argentina, but maybe most important, what's so evident is that Argentina has what the world actually needs</t>
        </is>
      </c>
      <c r="W124" s="45" t="inlineStr">
        <is>
          <t>en</t>
        </is>
      </c>
      <c r="X124" s="45" t="inlineStr">
        <is>
          <t>Yahoo News (wire report)</t>
        </is>
      </c>
      <c r="Y124" s="45" t="inlineStr">
        <is>
          <t>https://news.yahoo.com/blinken-meets-argentinas-milei-latest-154742936.html</t>
        </is>
      </c>
      <c r="Z124" s="45" t="inlineStr">
        <is>
          <t>news_media</t>
        </is>
      </c>
      <c r="AA124" s="45" t="inlineStr">
        <is>
          <t>secondary_reported</t>
        </is>
      </c>
      <c r="AB124" s="45" t="inlineStr">
        <is>
          <t>Date per Reuters URL (2024-02-23) cited by ISDP; quote 26 words.</t>
        </is>
      </c>
      <c r="AC124" s="45" t="inlineStr">
        <is>
          <t>USA_gov</t>
        </is>
      </c>
    </row>
    <row r="125" ht="15" customHeight="1" s="24">
      <c r="A125" s="45" t="inlineStr">
        <is>
          <t>PS-0124</t>
        </is>
      </c>
      <c r="B125" s="45" t="inlineStr">
        <is>
          <t>2024-03-01</t>
        </is>
      </c>
      <c r="C125" s="45" t="inlineStr">
        <is>
          <t>2024</t>
        </is>
      </c>
      <c r="D125" s="45" t="inlineStr">
        <is>
          <t>CHL</t>
        </is>
      </c>
      <c r="E125" s="45" t="inlineStr">
        <is>
          <t>Janet Yellen</t>
        </is>
      </c>
      <c r="F125" s="45" t="inlineStr">
        <is>
          <t>U.S. Secretary of the Treasury</t>
        </is>
      </c>
      <c r="G125" s="45" t="inlineStr">
        <is>
          <t>us_central_gov</t>
        </is>
      </c>
      <c r="H125" s="45" t="inlineStr">
        <is>
          <t>United States</t>
        </is>
      </c>
      <c r="I125" s="45" t="inlineStr">
        <is>
          <t>USA</t>
        </is>
      </c>
      <c r="J125" s="45" t="inlineStr">
        <is>
          <t>Biden administration</t>
        </is>
      </c>
      <c r="K125" s="45" t="inlineStr">
        <is>
          <t>speech</t>
        </is>
      </c>
      <c r="L125" s="45" t="inlineStr">
        <is>
          <t>Yellen visit to Chile (Santiago, Antofagasta Albemarle site)</t>
        </is>
      </c>
      <c r="M125" s="45" t="inlineStr">
        <is>
          <t>copper;lithium</t>
        </is>
      </c>
      <c r="N125" s="45" t="inlineStr">
        <is>
          <t>253090;260300;282520;283691;740200;740311</t>
        </is>
      </c>
      <c r="O125" s="45" t="inlineStr">
        <is>
          <t>energy_transition;foreign_investment;trade_deals_offtake</t>
        </is>
      </c>
      <c r="P125" s="45" t="inlineStr">
        <is>
          <t>CHL;CHN</t>
        </is>
      </c>
      <c r="Q125" s="45" t="inlineStr">
        <is>
          <t>neutral</t>
        </is>
      </c>
      <c r="R125" s="45" t="inlineStr">
        <is>
          <t>positive</t>
        </is>
      </c>
      <c r="S125" s="45" t="inlineStr">
        <is>
          <t>Albemarle</t>
        </is>
      </c>
      <c r="T125" s="45" t="inlineStr">
        <is>
          <t>Yellen said Chile, as a leading copper and lithium producer, has a critical role in clean energy supply chains and saw opportunities to further integrate US-Chile supply chains, part of friend-shoring.</t>
        </is>
      </c>
      <c r="U125" s="45" t="inlineStr">
        <is>
          <t>As a leading producer of both copper and lithium, Chile has a critical role to play in the supply chains that will power our world's transition to clean energy.</t>
        </is>
      </c>
      <c r="V125" s="45" t="inlineStr">
        <is>
          <t>As a leading producer of both copper and lithium, Chile has a critical role to play in the supply chains that will power our world's transition to clean energy.</t>
        </is>
      </c>
      <c r="W125" s="45" t="inlineStr">
        <is>
          <t>en</t>
        </is>
      </c>
      <c r="X125" s="45" t="inlineStr">
        <is>
          <t>Buenos Aires Times (Reuters/Bloomberg)</t>
        </is>
      </c>
      <c r="Y125" s="45" t="inlineStr">
        <is>
          <t>https://www.batimes.com.ar/news/amp/economy/us-treasury-secretary-janet-yellen-praises-chiles-policies-in-visit-to-lithium-rich-ally.phtml</t>
        </is>
      </c>
      <c r="Z125" s="45" t="inlineStr">
        <is>
          <t>news_media</t>
        </is>
      </c>
      <c r="AA125" s="45" t="inlineStr">
        <is>
          <t>secondary_reported</t>
        </is>
      </c>
      <c r="AB125" s="45" t="inlineStr"/>
      <c r="AC125" s="45" t="inlineStr">
        <is>
          <t>USA_gov</t>
        </is>
      </c>
    </row>
    <row r="126" ht="15" customHeight="1" s="24">
      <c r="A126" s="45" t="inlineStr">
        <is>
          <t>PS-0125</t>
        </is>
      </c>
      <c r="B126" s="45" t="inlineStr">
        <is>
          <t>2024-03-02</t>
        </is>
      </c>
      <c r="C126" s="45" t="inlineStr">
        <is>
          <t>2024</t>
        </is>
      </c>
      <c r="D126" s="45" t="inlineStr">
        <is>
          <t>CHL</t>
        </is>
      </c>
      <c r="E126" s="45" t="inlineStr">
        <is>
          <t>Janet Yellen</t>
        </is>
      </c>
      <c r="F126" s="45" t="inlineStr">
        <is>
          <t>U.S. Secretary of the Treasury</t>
        </is>
      </c>
      <c r="G126" s="45" t="inlineStr">
        <is>
          <t>us_central_gov</t>
        </is>
      </c>
      <c r="H126" s="45" t="inlineStr">
        <is>
          <t>United States</t>
        </is>
      </c>
      <c r="I126" s="45" t="inlineStr">
        <is>
          <t>USA</t>
        </is>
      </c>
      <c r="J126" s="45" t="inlineStr">
        <is>
          <t>Biden administration</t>
        </is>
      </c>
      <c r="K126" s="45" t="inlineStr">
        <is>
          <t>press_conference</t>
        </is>
      </c>
      <c r="L126" s="45" t="inlineStr">
        <is>
          <t>Visit to Albemarle lithium plant, La Negra (Antofagasta)</t>
        </is>
      </c>
      <c r="M126" s="45" t="inlineStr">
        <is>
          <t>lithium;copper</t>
        </is>
      </c>
      <c r="N126" s="45" t="inlineStr">
        <is>
          <t>253090;260300;282520;283691;740200;740311</t>
        </is>
      </c>
      <c r="O126" s="45" t="inlineStr">
        <is>
          <t>trade_deals_offtake;energy_transition;environment_water;geopolitics_security</t>
        </is>
      </c>
      <c r="P126" s="45" t="inlineStr">
        <is>
          <t>CHL;CHN</t>
        </is>
      </c>
      <c r="Q126" s="45" t="inlineStr">
        <is>
          <t>mixed</t>
        </is>
      </c>
      <c r="R126" s="45" t="inlineStr">
        <is>
          <t>positive</t>
        </is>
      </c>
      <c r="S126" s="45" t="inlineStr">
        <is>
          <t>Albemarle</t>
        </is>
      </c>
      <c r="T126" s="45" t="inlineStr">
        <is>
          <t>At Albemarle's plant Yellen said the US wants to acquire minerals from free-trade partners like Chile and expected US lithium purchases from Chile to expand substantially, while saying expanding trade with Chile is 'not a competition' with China, though reducing over-dependence on China is core to the IRA.</t>
        </is>
      </c>
      <c r="U126" s="45" t="inlineStr">
        <is>
          <t>We want to certainly acquire minerals from our free trade partners, especially a country like Chile that is producing with great environmental sensitivity</t>
        </is>
      </c>
      <c r="V126" s="45" t="inlineStr">
        <is>
          <t>We want to certainly acquire minerals from our free trade partners, especially a country like Chile that is producing with great environmental sensitivity</t>
        </is>
      </c>
      <c r="W126" s="45" t="inlineStr">
        <is>
          <t>en</t>
        </is>
      </c>
      <c r="X126" s="45" t="inlineStr">
        <is>
          <t>DT Next (Reuters)</t>
        </is>
      </c>
      <c r="Y126" s="45" t="inlineStr">
        <is>
          <t>https://www.dtnext.in/news/business/yellen-sees-big-jump-in-us-imports-from-chile-eyes-progress-on-green-transition-771572</t>
        </is>
      </c>
      <c r="Z126" s="45" t="inlineStr">
        <is>
          <t>news_media</t>
        </is>
      </c>
      <c r="AA126" s="45" t="inlineStr">
        <is>
          <t>secondary_reported</t>
        </is>
      </c>
      <c r="AB126" s="45" t="inlineStr"/>
      <c r="AC126" s="45" t="inlineStr">
        <is>
          <t>USA_gov</t>
        </is>
      </c>
    </row>
    <row r="127" ht="15" customHeight="1" s="24">
      <c r="A127" s="45" t="inlineStr">
        <is>
          <t>PS-0126</t>
        </is>
      </c>
      <c r="B127" s="45" t="inlineStr">
        <is>
          <t>2024-03-04</t>
        </is>
      </c>
      <c r="C127" s="45" t="inlineStr">
        <is>
          <t>2024</t>
        </is>
      </c>
      <c r="D127" s="45" t="inlineStr">
        <is>
          <t>PAN</t>
        </is>
      </c>
      <c r="E127" s="45" t="inlineStr">
        <is>
          <t>José W. Fernández</t>
        </is>
      </c>
      <c r="F127" s="45" t="inlineStr">
        <is>
          <t>U.S. Under Secretary of State for Economic Growth, Energy, and the Environment</t>
        </is>
      </c>
      <c r="G127" s="45" t="inlineStr">
        <is>
          <t>us_central_gov</t>
        </is>
      </c>
      <c r="H127" s="45" t="inlineStr">
        <is>
          <t>United States</t>
        </is>
      </c>
      <c r="I127" s="45" t="inlineStr">
        <is>
          <t>USA</t>
        </is>
      </c>
      <c r="J127" s="45" t="inlineStr">
        <is>
          <t>Biden administration</t>
        </is>
      </c>
      <c r="K127" s="45" t="inlineStr">
        <is>
          <t>interview</t>
        </is>
      </c>
      <c r="L127" s="45" t="inlineStr">
        <is>
          <t>Reuters interview on First Quantum's Cobre Panamá dispute</t>
        </is>
      </c>
      <c r="M127" s="45" t="inlineStr">
        <is>
          <t>copper;critical_minerals_general</t>
        </is>
      </c>
      <c r="N127" s="45" t="inlineStr">
        <is>
          <t>260300;740200;740311</t>
        </is>
      </c>
      <c r="O127" s="45" t="inlineStr">
        <is>
          <t>environment_water;labor_social_conflict;sovereignty;geopolitics_security</t>
        </is>
      </c>
      <c r="P127" s="45" t="inlineStr">
        <is>
          <t>PAN;CAN;CHN</t>
        </is>
      </c>
      <c r="Q127" s="45" t="inlineStr">
        <is>
          <t>neutral</t>
        </is>
      </c>
      <c r="R127" s="45" t="inlineStr">
        <is>
          <t>positive</t>
        </is>
      </c>
      <c r="S127" s="45" t="inlineStr">
        <is>
          <t>Cobre Panamá; First Quantum Minerals; Minerals Security Partnership</t>
        </is>
      </c>
      <c r="T127" s="45" t="inlineStr">
        <is>
          <t>Fernández said the future of the closed Cobre Panamá copper mine was for Panamanians to decide and that communities must be convinced they will benefit from mining, while promoting the US-led minerals partnership as an alternative to Chinese-dominated supply chains.</t>
        </is>
      </c>
      <c r="U127" s="45" t="inlineStr">
        <is>
          <t>We have followed the case, and it is an issue for the Panamanian people to decide</t>
        </is>
      </c>
      <c r="V127" s="45" t="inlineStr">
        <is>
          <t>We have followed the case, and it is an issue for the Panamanian people to decide</t>
        </is>
      </c>
      <c r="W127" s="45" t="inlineStr">
        <is>
          <t>en</t>
        </is>
      </c>
      <c r="X127" s="45" t="inlineStr">
        <is>
          <t>Kitco (Reuters)</t>
        </is>
      </c>
      <c r="Y127" s="45" t="inlineStr">
        <is>
          <t>https://www.kitco.com/news/off-the-wire/2024-03-05/future-first-quantum-mine-people-panama-decide-us-official-says</t>
        </is>
      </c>
      <c r="Z127" s="45" t="inlineStr">
        <is>
          <t>news_media</t>
        </is>
      </c>
      <c r="AA127" s="45" t="inlineStr">
        <is>
          <t>secondary_reported</t>
        </is>
      </c>
      <c r="AB127" s="45" t="inlineStr">
        <is>
          <t>Interview given late Monday 4 Mar 2024, published 5 Mar. China dominance point is reporter context; stance_china neutral.</t>
        </is>
      </c>
      <c r="AC127" s="45" t="inlineStr">
        <is>
          <t>USA_gov</t>
        </is>
      </c>
    </row>
    <row r="128" ht="15" customHeight="1" s="24">
      <c r="A128" s="45" t="inlineStr">
        <is>
          <t>PS-0127</t>
        </is>
      </c>
      <c r="B128" s="45" t="inlineStr">
        <is>
          <t>2024-03-12</t>
        </is>
      </c>
      <c r="C128" s="45" t="inlineStr">
        <is>
          <t>2024</t>
        </is>
      </c>
      <c r="D128" s="45" t="inlineStr">
        <is>
          <t>PER</t>
        </is>
      </c>
      <c r="E128" s="45" t="inlineStr">
        <is>
          <t>Laura Richardson</t>
        </is>
      </c>
      <c r="F128" s="45" t="inlineStr">
        <is>
          <t>Commander, U.S. Southern Command</t>
        </is>
      </c>
      <c r="G128" s="45" t="inlineStr">
        <is>
          <t>us_central_gov</t>
        </is>
      </c>
      <c r="H128" s="45" t="inlineStr">
        <is>
          <t>United States</t>
        </is>
      </c>
      <c r="I128" s="45" t="inlineStr">
        <is>
          <t>USA</t>
        </is>
      </c>
      <c r="J128" s="45" t="inlineStr"/>
      <c r="K128" s="45" t="inlineStr">
        <is>
          <t>legislative_debate</t>
        </is>
      </c>
      <c r="L128" s="45" t="inlineStr">
        <is>
          <t>House Armed Services Committee posture hearing</t>
        </is>
      </c>
      <c r="M128" s="45" t="inlineStr">
        <is>
          <t>mining_general</t>
        </is>
      </c>
      <c r="N128" s="45" t="inlineStr"/>
      <c r="O128" s="45" t="inlineStr">
        <is>
          <t>geopolitics_security;infrastructure_ports</t>
        </is>
      </c>
      <c r="P128" s="45" t="inlineStr">
        <is>
          <t>CHN</t>
        </is>
      </c>
      <c r="Q128" s="45" t="inlineStr">
        <is>
          <t>negative</t>
        </is>
      </c>
      <c r="R128" s="45" t="inlineStr">
        <is>
          <t>not_mentioned</t>
        </is>
      </c>
      <c r="S128" s="45" t="inlineStr">
        <is>
          <t>Puerto de Chancay; Cosco Shipping</t>
        </is>
      </c>
      <c r="T128" s="45" t="inlineStr">
        <is>
          <t>In testimony to the House Armed Services Committee, Richardson warned of the security risks of Chinese investments in South America, citing the Chancay megaport promoted by Beijing as a 'gateway from South America to Asia' among dual-use concerns.</t>
        </is>
      </c>
      <c r="U128" s="45" t="inlineStr">
        <is>
          <t>gateway from South America to Asia</t>
        </is>
      </c>
      <c r="V128" s="45" t="inlineStr">
        <is>
          <t>gateway from South America to Asia</t>
        </is>
      </c>
      <c r="W128" s="45" t="inlineStr">
        <is>
          <t>en</t>
        </is>
      </c>
      <c r="X128" s="45" t="inlineStr">
        <is>
          <t>USNI News</t>
        </is>
      </c>
      <c r="Y128" s="45" t="inlineStr">
        <is>
          <t>https://news.usni.org/2024/03/12/southcom-commander-warns-of-risk-of-chinese-investment-in-south-america-caribbean</t>
        </is>
      </c>
      <c r="Z128" s="45" t="inlineStr">
        <is>
          <t>news_media</t>
        </is>
      </c>
      <c r="AA128" s="45" t="inlineStr">
        <is>
          <t>secondary_reported</t>
        </is>
      </c>
      <c r="AB128" s="45" t="inlineStr">
        <is>
          <t>Port record; minerals relevance indirect (Chancay as mineral export hub). Quoted phrase is Beijing's characterization cited in her testimony</t>
        </is>
      </c>
      <c r="AC128" s="45" t="inlineStr">
        <is>
          <t>PER</t>
        </is>
      </c>
    </row>
    <row r="129" ht="15" customHeight="1" s="24">
      <c r="A129" s="45" t="inlineStr">
        <is>
          <t>PS-0128</t>
        </is>
      </c>
      <c r="B129" s="45" t="inlineStr">
        <is>
          <t>2024-03-12</t>
        </is>
      </c>
      <c r="C129" s="45" t="inlineStr">
        <is>
          <t>2024</t>
        </is>
      </c>
      <c r="D129" s="45" t="inlineStr">
        <is>
          <t>PER</t>
        </is>
      </c>
      <c r="E129" s="45" t="inlineStr">
        <is>
          <t>Mike Rogers</t>
        </is>
      </c>
      <c r="F129" s="45" t="inlineStr">
        <is>
          <t>U.S. Representative (R-AL), Chairman, House Armed Services Committee</t>
        </is>
      </c>
      <c r="G129" s="45" t="inlineStr">
        <is>
          <t>us_congress</t>
        </is>
      </c>
      <c r="H129" s="45" t="inlineStr">
        <is>
          <t>United States</t>
        </is>
      </c>
      <c r="I129" s="45" t="inlineStr">
        <is>
          <t>USA</t>
        </is>
      </c>
      <c r="J129" s="45" t="inlineStr">
        <is>
          <t>Republican</t>
        </is>
      </c>
      <c r="K129" s="45" t="inlineStr">
        <is>
          <t>legislative_debate</t>
        </is>
      </c>
      <c r="L129" s="45" t="inlineStr">
        <is>
          <t>HASC hearing on national security challenges in North and South America</t>
        </is>
      </c>
      <c r="M129" s="45" t="inlineStr">
        <is>
          <t>copper;lithium;critical_minerals_general</t>
        </is>
      </c>
      <c r="N129" s="45" t="inlineStr">
        <is>
          <t>253090;260300;282520;283691;740200;740311</t>
        </is>
      </c>
      <c r="O129" s="45" t="inlineStr">
        <is>
          <t>geopolitics_security;infrastructure_ports</t>
        </is>
      </c>
      <c r="P129" s="45" t="inlineStr">
        <is>
          <t>CHN;PER</t>
        </is>
      </c>
      <c r="Q129" s="45" t="inlineStr">
        <is>
          <t>negative</t>
        </is>
      </c>
      <c r="R129" s="45" t="inlineStr">
        <is>
          <t>positive</t>
        </is>
      </c>
      <c r="S129" s="45" t="inlineStr">
        <is>
          <t>Chancay port</t>
        </is>
      </c>
      <c r="T129" s="45" t="inlineStr">
        <is>
          <t>Rogers said China's $3.6 billion port in Peru would be used to ship South American copper, lithium and other critical minerals to China for military modernization, and that CCP-backed companies own or operate mines and ports across the region.</t>
        </is>
      </c>
      <c r="U129" s="45" t="inlineStr">
        <is>
          <t>It will be used to ship South American copper, lithium, and other critical minerals to China to further their military modernization.</t>
        </is>
      </c>
      <c r="V129" s="45" t="inlineStr">
        <is>
          <t>It will be used to ship South American copper, lithium, and other critical minerals to China to further their military modernization.</t>
        </is>
      </c>
      <c r="W129" s="45" t="inlineStr">
        <is>
          <t>en</t>
        </is>
      </c>
      <c r="X129" s="45" t="inlineStr">
        <is>
          <t>House Armed Services Committee</t>
        </is>
      </c>
      <c r="Y129" s="45" t="inlineStr">
        <is>
          <t>https://armedservices.house.gov/news/press-releases/rogers-opening-statement-hearing-national-security-challenges-north-and-south</t>
        </is>
      </c>
      <c r="Z129" s="45" t="inlineStr">
        <is>
          <t>legislative_record</t>
        </is>
      </c>
      <c r="AA129" s="45" t="inlineStr">
        <is>
          <t>primary_verified</t>
        </is>
      </c>
      <c r="AB129" s="45" t="inlineStr"/>
      <c r="AC129" s="45" t="inlineStr">
        <is>
          <t>USA_gov</t>
        </is>
      </c>
    </row>
    <row r="130" ht="15" customHeight="1" s="24">
      <c r="A130" s="45" t="inlineStr">
        <is>
          <t>PS-0129</t>
        </is>
      </c>
      <c r="B130" s="45" t="inlineStr">
        <is>
          <t>2024-03-12</t>
        </is>
      </c>
      <c r="C130" s="45" t="inlineStr">
        <is>
          <t>2024</t>
        </is>
      </c>
      <c r="D130" s="45" t="inlineStr">
        <is>
          <t>REG</t>
        </is>
      </c>
      <c r="E130" s="45" t="inlineStr">
        <is>
          <t>Laura Richardson</t>
        </is>
      </c>
      <c r="F130" s="45" t="inlineStr">
        <is>
          <t>Commander, U.S. Southern Command</t>
        </is>
      </c>
      <c r="G130" s="45" t="inlineStr">
        <is>
          <t>us_central_gov</t>
        </is>
      </c>
      <c r="H130" s="45" t="inlineStr">
        <is>
          <t>United States</t>
        </is>
      </c>
      <c r="I130" s="45" t="inlineStr">
        <is>
          <t>USA</t>
        </is>
      </c>
      <c r="J130" s="45" t="inlineStr">
        <is>
          <t>U.S. Department of Defense</t>
        </is>
      </c>
      <c r="K130" s="45" t="inlineStr">
        <is>
          <t>report</t>
        </is>
      </c>
      <c r="L130" s="45" t="inlineStr">
        <is>
          <t>SOUTHCOM 2024 Posture Statement to Congress</t>
        </is>
      </c>
      <c r="M130" s="45" t="inlineStr">
        <is>
          <t>lithium;rare_earths;mining_general</t>
        </is>
      </c>
      <c r="N130" s="45" t="inlineStr">
        <is>
          <t>253090;282520;283691;284690</t>
        </is>
      </c>
      <c r="O130" s="45" t="inlineStr">
        <is>
          <t>geopolitics_security;corruption_governance</t>
        </is>
      </c>
      <c r="P130" s="45" t="inlineStr">
        <is>
          <t>none</t>
        </is>
      </c>
      <c r="Q130" s="45" t="inlineStr">
        <is>
          <t>not_mentioned</t>
        </is>
      </c>
      <c r="R130" s="45" t="inlineStr">
        <is>
          <t>positive</t>
        </is>
      </c>
      <c r="S130" s="45" t="inlineStr"/>
      <c r="T130" s="45" t="inlineStr">
        <is>
          <t>SOUTHCOM's 2024 posture statement listed lithium, rare earths and minerals among goods trafficked by transnational criminal organizations in the hemisphere.</t>
        </is>
      </c>
      <c r="U130" s="45" t="inlineStr">
        <is>
          <t>traffic weapons, drugs, people gold, lithium, rare earth, minerals, commodities and counterfeit goods</t>
        </is>
      </c>
      <c r="V130" s="45" t="inlineStr">
        <is>
          <t>traffic weapons, drugs, people gold, lithium, rare earth, minerals, commodities and counterfeit goods</t>
        </is>
      </c>
      <c r="W130" s="45" t="inlineStr">
        <is>
          <t>en</t>
        </is>
      </c>
      <c r="X130" s="45" t="inlineStr">
        <is>
          <t>U.S. Southern Command</t>
        </is>
      </c>
      <c r="Y130" s="45" t="inlineStr">
        <is>
          <t>https://www.southcom.mil/Media/Special-Coverage/SOUTHCOMs-2024-Posture-Statement-to-Congress/</t>
        </is>
      </c>
      <c r="Z130" s="45" t="inlineStr">
        <is>
          <t>primary_official</t>
        </is>
      </c>
      <c r="AA130" s="45" t="inlineStr">
        <is>
          <t>primary_verified</t>
        </is>
      </c>
      <c r="AB130" s="45" t="inlineStr"/>
      <c r="AC130" s="45" t="inlineStr">
        <is>
          <t>USA_gov</t>
        </is>
      </c>
    </row>
    <row r="131" ht="15" customHeight="1" s="24">
      <c r="A131" s="45" t="inlineStr">
        <is>
          <t>PS-0130</t>
        </is>
      </c>
      <c r="B131" s="45" t="inlineStr">
        <is>
          <t>2024-04-10</t>
        </is>
      </c>
      <c r="C131" s="45" t="inlineStr">
        <is>
          <t>2024</t>
        </is>
      </c>
      <c r="D131" s="45" t="inlineStr">
        <is>
          <t>PER</t>
        </is>
      </c>
      <c r="E131" s="45" t="inlineStr">
        <is>
          <t>Rómulo Mucho</t>
        </is>
      </c>
      <c r="F131" s="45" t="inlineStr">
        <is>
          <t>Minister of Energy and Mines of Peru</t>
        </is>
      </c>
      <c r="G131" s="45" t="inlineStr">
        <is>
          <t>minister_cabinet</t>
        </is>
      </c>
      <c r="H131" s="45" t="inlineStr">
        <is>
          <t>LatAm executive</t>
        </is>
      </c>
      <c r="I131" s="45" t="inlineStr">
        <is>
          <t>PER</t>
        </is>
      </c>
      <c r="J131" s="45" t="inlineStr"/>
      <c r="K131" s="45" t="inlineStr">
        <is>
          <t>interview</t>
        </is>
      </c>
      <c r="L131" s="45" t="inlineStr">
        <is>
          <t>Attack on Poderosa transmission towers; reactivating mining projects</t>
        </is>
      </c>
      <c r="M131" s="45" t="inlineStr">
        <is>
          <t>mining_general</t>
        </is>
      </c>
      <c r="N131" s="45" t="inlineStr"/>
      <c r="O131" s="45" t="inlineStr">
        <is>
          <t>foreign_investment;corruption_governance;geopolitics_security</t>
        </is>
      </c>
      <c r="P131" s="45" t="inlineStr">
        <is>
          <t>none</t>
        </is>
      </c>
      <c r="Q131" s="45" t="inlineStr">
        <is>
          <t>not_mentioned</t>
        </is>
      </c>
      <c r="R131" s="45" t="inlineStr">
        <is>
          <t>not_mentioned</t>
        </is>
      </c>
      <c r="S131" s="45" t="inlineStr">
        <is>
          <t>Poderosa; REINFO</t>
        </is>
      </c>
      <c r="T131" s="45" t="inlineStr">
        <is>
          <t>Mucho said some congressmen radically oppose progress and job creation, pledged to reactivate mining projects, review REINFO, and called for declaring mining formalization an emergency.</t>
        </is>
      </c>
      <c r="U131" s="45" t="inlineStr">
        <is>
          <t>existen congresistas que se oponen radicalmente al progreso, a la generación de puestos de trabajo</t>
        </is>
      </c>
      <c r="V131" s="45" t="inlineStr">
        <is>
          <t>there are congressmen who radically oppose progress, the creation of jobs</t>
        </is>
      </c>
      <c r="W131" s="45" t="inlineStr">
        <is>
          <t>es</t>
        </is>
      </c>
      <c r="X131" s="45" t="inlineStr">
        <is>
          <t>Energiminas</t>
        </is>
      </c>
      <c r="Y131" s="45" t="inlineStr">
        <is>
          <t>https://energiminas.com/2024/04/10/ministro-romulo-mucho-existen-congresistas-que-se-oponen-radicalmente-al-progreso</t>
        </is>
      </c>
      <c r="Z131" s="45" t="inlineStr">
        <is>
          <t>news_media</t>
        </is>
      </c>
      <c r="AA131" s="45" t="inlineStr">
        <is>
          <t>secondary_reported</t>
        </is>
      </c>
      <c r="AB131" s="45" t="inlineStr"/>
      <c r="AC131" s="45" t="inlineStr">
        <is>
          <t>PER</t>
        </is>
      </c>
    </row>
    <row r="132" ht="15" customHeight="1" s="24">
      <c r="A132" s="45" t="inlineStr">
        <is>
          <t>PS-0131</t>
        </is>
      </c>
      <c r="B132" s="45" t="inlineStr">
        <is>
          <t>2024-05-16</t>
        </is>
      </c>
      <c r="C132" s="45" t="inlineStr">
        <is>
          <t>2024</t>
        </is>
      </c>
      <c r="D132" s="45" t="inlineStr">
        <is>
          <t>BRA</t>
        </is>
      </c>
      <c r="E132" s="45" t="inlineStr">
        <is>
          <t>Romeu Zema</t>
        </is>
      </c>
      <c r="F132" s="45" t="inlineStr">
        <is>
          <t>Governor of Minas Gerais</t>
        </is>
      </c>
      <c r="G132" s="45" t="inlineStr">
        <is>
          <t>subnational_gov</t>
        </is>
      </c>
      <c r="H132" s="45" t="inlineStr">
        <is>
          <t>LatAm executive</t>
        </is>
      </c>
      <c r="I132" s="45" t="inlineStr">
        <is>
          <t>BRA</t>
        </is>
      </c>
      <c r="J132" s="45" t="inlineStr">
        <is>
          <t>Novo</t>
        </is>
      </c>
      <c r="K132" s="45" t="inlineStr">
        <is>
          <t>speech</t>
        </is>
      </c>
      <c r="L132" s="45" t="inlineStr">
        <is>
          <t>Vale do Lítio event at Nasdaq headquarters, New York</t>
        </is>
      </c>
      <c r="M132" s="45" t="inlineStr">
        <is>
          <t>lithium</t>
        </is>
      </c>
      <c r="N132" s="45" t="inlineStr">
        <is>
          <t>253090;282520;283691</t>
        </is>
      </c>
      <c r="O132" s="45" t="inlineStr">
        <is>
          <t>foreign_investment;energy_transition</t>
        </is>
      </c>
      <c r="P132" s="45" t="inlineStr">
        <is>
          <t>USA</t>
        </is>
      </c>
      <c r="Q132" s="45" t="inlineStr">
        <is>
          <t>not_mentioned</t>
        </is>
      </c>
      <c r="R132" s="45" t="inlineStr">
        <is>
          <t>not_mentioned</t>
        </is>
      </c>
      <c r="S132" s="45" t="inlineStr">
        <is>
          <t>Vale do Lítio; Sigma Lithium</t>
        </is>
      </c>
      <c r="T132" s="45" t="inlineStr">
        <is>
          <t>At a second Nasdaq event promoting the Lithium Valley, Zema pitched Minas Gerais to investors as a safe destination with stable rules, as Sigma Lithium reported its investments in the Jequitinhonha region.</t>
        </is>
      </c>
      <c r="U132" s="45" t="inlineStr">
        <is>
          <t>nós temos um estado onde o seu investimento será feito de maneira segura, onde as regras são estáveis</t>
        </is>
      </c>
      <c r="V132" s="45" t="inlineStr">
        <is>
          <t>we have a state where your investment will be made safely, where the rules are stable</t>
        </is>
      </c>
      <c r="W132" s="45" t="inlineStr">
        <is>
          <t>pt</t>
        </is>
      </c>
      <c r="X132" s="45" t="inlineStr">
        <is>
          <t>CNN Brasil</t>
        </is>
      </c>
      <c r="Y132" s="45" t="inlineStr">
        <is>
          <t>https://www.cnnbrasil.com.br/internacional/evento-na-nasdaq-mostra-avancos-do-vale-do-litio-em-minas-gerais/</t>
        </is>
      </c>
      <c r="Z132" s="45" t="inlineStr">
        <is>
          <t>news_media</t>
        </is>
      </c>
      <c r="AA132" s="45" t="inlineStr">
        <is>
          <t>secondary_reported</t>
        </is>
      </c>
      <c r="AB132" s="45" t="inlineStr"/>
      <c r="AC132" s="45" t="inlineStr">
        <is>
          <t>BRA</t>
        </is>
      </c>
    </row>
    <row r="133" ht="15" customHeight="1" s="24">
      <c r="A133" s="45" t="inlineStr">
        <is>
          <t>PS-0132</t>
        </is>
      </c>
      <c r="B133" s="45" t="inlineStr">
        <is>
          <t>2024-06</t>
        </is>
      </c>
      <c r="C133" s="45" t="inlineStr">
        <is>
          <t>2024</t>
        </is>
      </c>
      <c r="D133" s="45" t="inlineStr">
        <is>
          <t>ARG</t>
        </is>
      </c>
      <c r="E133" s="45" t="inlineStr">
        <is>
          <t>Marcelo Orrego</t>
        </is>
      </c>
      <c r="F133" s="45" t="inlineStr">
        <is>
          <t>Governor of San Juan</t>
        </is>
      </c>
      <c r="G133" s="45" t="inlineStr">
        <is>
          <t>subnational_gov</t>
        </is>
      </c>
      <c r="H133" s="45" t="inlineStr">
        <is>
          <t>LatAm executive</t>
        </is>
      </c>
      <c r="I133" s="45" t="inlineStr">
        <is>
          <t>ARG</t>
        </is>
      </c>
      <c r="J133" s="45" t="inlineStr">
        <is>
          <t>Producción y Trabajo / Juntos por el Cambio</t>
        </is>
      </c>
      <c r="K133" s="45" t="inlineStr">
        <is>
          <t>interview</t>
        </is>
      </c>
      <c r="L133" s="45" t="inlineStr">
        <is>
          <t>Reaction to Senate RIGI vote</t>
        </is>
      </c>
      <c r="M133" s="45" t="inlineStr">
        <is>
          <t>mining_general</t>
        </is>
      </c>
      <c r="N133" s="45" t="inlineStr"/>
      <c r="O133" s="45" t="inlineStr">
        <is>
          <t>foreign_investment</t>
        </is>
      </c>
      <c r="P133" s="45" t="inlineStr">
        <is>
          <t>none</t>
        </is>
      </c>
      <c r="Q133" s="45" t="inlineStr">
        <is>
          <t>not_mentioned</t>
        </is>
      </c>
      <c r="R133" s="45" t="inlineStr">
        <is>
          <t>not_mentioned</t>
        </is>
      </c>
      <c r="S133" s="45" t="inlineStr"/>
      <c r="T133" s="45" t="inlineStr">
        <is>
          <t>Orrego said he was surprised by Uñac's vote against the RIGI, arguing it went against San Juan's mining interests.</t>
        </is>
      </c>
      <c r="U133" s="45" t="inlineStr">
        <is>
          <t>Me sorprendió el voto de Uñac contra el RIGI, va en contra de San Juan.</t>
        </is>
      </c>
      <c r="V133" s="45" t="inlineStr">
        <is>
          <t>Uñac's vote against the RIGI surprised me; it goes against San Juan.</t>
        </is>
      </c>
      <c r="W133" s="45" t="inlineStr">
        <is>
          <t>es</t>
        </is>
      </c>
      <c r="X133" s="45" t="inlineStr">
        <is>
          <t>Tiempo de San Juan</t>
        </is>
      </c>
      <c r="Y133" s="45" t="inlineStr">
        <is>
          <t>https://www.tiempodesanjuan.com/politica/desde-el-gobierno-salen-criticar-unac-no-votar-bases-y-el-rigi-va-contra-san-juan-n377350</t>
        </is>
      </c>
      <c r="Z133" s="45" t="inlineStr">
        <is>
          <t>news_media</t>
        </is>
      </c>
      <c r="AA133" s="45" t="inlineStr">
        <is>
          <t>secondary_reported</t>
        </is>
      </c>
      <c r="AB133" s="45" t="inlineStr">
        <is>
          <t>Day approximate (mid-June 2024).</t>
        </is>
      </c>
      <c r="AC133" s="45" t="inlineStr">
        <is>
          <t>ARG</t>
        </is>
      </c>
    </row>
    <row r="134" ht="15" customHeight="1" s="24">
      <c r="A134" s="45" t="inlineStr">
        <is>
          <t>PS-0133</t>
        </is>
      </c>
      <c r="B134" s="45" t="inlineStr">
        <is>
          <t>2024-06</t>
        </is>
      </c>
      <c r="C134" s="45" t="inlineStr">
        <is>
          <t>2024</t>
        </is>
      </c>
      <c r="D134" s="45" t="inlineStr">
        <is>
          <t>PER</t>
        </is>
      </c>
      <c r="E134" s="45" t="inlineStr">
        <is>
          <t>Dina Boluarte</t>
        </is>
      </c>
      <c r="F134" s="45" t="inlineStr">
        <is>
          <t>President of Peru</t>
        </is>
      </c>
      <c r="G134" s="45" t="inlineStr">
        <is>
          <t>head_of_state</t>
        </is>
      </c>
      <c r="H134" s="45" t="inlineStr">
        <is>
          <t>LatAm executive</t>
        </is>
      </c>
      <c r="I134" s="45" t="inlineStr">
        <is>
          <t>PER</t>
        </is>
      </c>
      <c r="J134" s="45" t="inlineStr"/>
      <c r="K134" s="45" t="inlineStr">
        <is>
          <t>speech</t>
        </is>
      </c>
      <c r="L134" s="45" t="inlineStr">
        <is>
          <t>State visit to China; business forum in Shanghai</t>
        </is>
      </c>
      <c r="M134" s="45" t="inlineStr">
        <is>
          <t>critical_minerals_general;mining_general</t>
        </is>
      </c>
      <c r="N134" s="45" t="inlineStr"/>
      <c r="O134" s="45" t="inlineStr">
        <is>
          <t>foreign_investment;diplomatic_relations</t>
        </is>
      </c>
      <c r="P134" s="45" t="inlineStr">
        <is>
          <t>CHN</t>
        </is>
      </c>
      <c r="Q134" s="45" t="inlineStr">
        <is>
          <t>positive</t>
        </is>
      </c>
      <c r="R134" s="45" t="inlineStr">
        <is>
          <t>not_mentioned</t>
        </is>
      </c>
      <c r="S134" s="45" t="inlineStr"/>
      <c r="T134" s="45" t="inlineStr">
        <is>
          <t>At a business conference in Shanghai during her June 2024 state visit, Boluarte promoted Peru's mining potential, noting it holds eight of 17 critical minerals and that only 1.51% of its territory has been explored, and invited Chinese investors.</t>
        </is>
      </c>
      <c r="U134" s="45" t="inlineStr">
        <is>
          <t>I invite you to invest in Peru and be part of our development.</t>
        </is>
      </c>
      <c r="V134" s="45" t="inlineStr">
        <is>
          <t>I invite you to invest in Peru and be part of our development.</t>
        </is>
      </c>
      <c r="W134" s="45" t="inlineStr">
        <is>
          <t>en</t>
        </is>
      </c>
      <c r="X134" s="45" t="inlineStr">
        <is>
          <t>Peru Reports</t>
        </is>
      </c>
      <c r="Y134" s="45" t="inlineStr">
        <is>
          <t>https://perureports.com/?p=10479</t>
        </is>
      </c>
      <c r="Z134" s="45" t="inlineStr">
        <is>
          <t>news_media</t>
        </is>
      </c>
      <c r="AA134" s="45" t="inlineStr">
        <is>
          <t>secondary_reported</t>
        </is>
      </c>
      <c r="AB134" s="45" t="inlineStr">
        <is>
          <t>Visit 23-28 Jun 2024; exact day of Shanghai speech not given; quote in English translation</t>
        </is>
      </c>
      <c r="AC134" s="45" t="inlineStr">
        <is>
          <t>PER</t>
        </is>
      </c>
    </row>
    <row r="135" ht="15" customHeight="1" s="24">
      <c r="A135" s="45" t="inlineStr">
        <is>
          <t>PS-0134</t>
        </is>
      </c>
      <c r="B135" s="45" t="inlineStr">
        <is>
          <t>2024-06-04</t>
        </is>
      </c>
      <c r="C135" s="45" t="inlineStr">
        <is>
          <t>2024</t>
        </is>
      </c>
      <c r="D135" s="45" t="inlineStr">
        <is>
          <t>CHL</t>
        </is>
      </c>
      <c r="E135" s="45" t="inlineStr">
        <is>
          <t>Máximo Pacheco</t>
        </is>
      </c>
      <c r="F135" s="45" t="inlineStr">
        <is>
          <t>Chairman of Codelco</t>
        </is>
      </c>
      <c r="G135" s="45" t="inlineStr">
        <is>
          <t>state_company</t>
        </is>
      </c>
      <c r="H135" s="45" t="inlineStr">
        <is>
          <t>LatAm state company</t>
        </is>
      </c>
      <c r="I135" s="45" t="inlineStr">
        <is>
          <t>CHL</t>
        </is>
      </c>
      <c r="J135" s="45" t="inlineStr"/>
      <c r="K135" s="45" t="inlineStr">
        <is>
          <t>speech</t>
        </is>
      </c>
      <c r="L135" s="45" t="inlineStr">
        <is>
          <t>Defence of Codelco-SQM agreement amid criticism and Tianqi challenge</t>
        </is>
      </c>
      <c r="M135" s="45" t="inlineStr">
        <is>
          <t>lithium</t>
        </is>
      </c>
      <c r="N135" s="45" t="inlineStr">
        <is>
          <t>253090;282520;283691</t>
        </is>
      </c>
      <c r="O135" s="45" t="inlineStr">
        <is>
          <t>foreign_investment;state_control_nationalization;indigenous_community_rights</t>
        </is>
      </c>
      <c r="P135" s="45" t="inlineStr">
        <is>
          <t>CHN</t>
        </is>
      </c>
      <c r="Q135" s="45" t="inlineStr">
        <is>
          <t>neutral</t>
        </is>
      </c>
      <c r="R135" s="45" t="inlineStr">
        <is>
          <t>not_mentioned</t>
        </is>
      </c>
      <c r="S135" s="45" t="inlineStr">
        <is>
          <t>Codelco; SQM; Tianqi</t>
        </is>
      </c>
      <c r="T135" s="45" t="inlineStr">
        <is>
          <t>Pacheco defended the signed Codelco-SQM partnership as historic and the largest public-private partnership in Chile, after Tianqi argued the pact was not legally valid without shareholder approval.</t>
        </is>
      </c>
      <c r="U135" s="45" t="inlineStr">
        <is>
          <t>Se firmó un documento histórico, con el cual se ha constituido la asociación público-privada más importante en la historia de Chile</t>
        </is>
      </c>
      <c r="V135" s="45" t="inlineStr">
        <is>
          <t>A historic document was signed, establishing the most important public-private partnership in Chile's history</t>
        </is>
      </c>
      <c r="W135" s="45" t="inlineStr">
        <is>
          <t>es</t>
        </is>
      </c>
      <c r="X135" s="45" t="inlineStr">
        <is>
          <t>Radio Universidad de Chile</t>
        </is>
      </c>
      <c r="Y135" s="45" t="inlineStr">
        <is>
          <t>https://radio.uchile.cl/2024/06/04/maximo-pacheco-defiende-acuerdo-codelco-sqm-se-firmo-un-documento-historico/</t>
        </is>
      </c>
      <c r="Z135" s="45" t="inlineStr">
        <is>
          <t>news_media</t>
        </is>
      </c>
      <c r="AA135" s="45" t="inlineStr">
        <is>
          <t>secondary_reported</t>
        </is>
      </c>
      <c r="AB135" s="45" t="inlineStr">
        <is>
          <t>Remarks around Codelco public account (3-4 June 2024)</t>
        </is>
      </c>
      <c r="AC135" s="45" t="inlineStr">
        <is>
          <t>CHL</t>
        </is>
      </c>
    </row>
    <row r="136" ht="15" customHeight="1" s="24">
      <c r="A136" s="45" t="inlineStr">
        <is>
          <t>PS-0135</t>
        </is>
      </c>
      <c r="B136" s="45" t="inlineStr">
        <is>
          <t>2024-06-11</t>
        </is>
      </c>
      <c r="C136" s="45" t="inlineStr">
        <is>
          <t>2024</t>
        </is>
      </c>
      <c r="D136" s="45" t="inlineStr">
        <is>
          <t>ARG</t>
        </is>
      </c>
      <c r="E136" s="45" t="inlineStr">
        <is>
          <t>Marcelo Orrego</t>
        </is>
      </c>
      <c r="F136" s="45" t="inlineStr">
        <is>
          <t>Governor of San Juan</t>
        </is>
      </c>
      <c r="G136" s="45" t="inlineStr">
        <is>
          <t>subnational_gov</t>
        </is>
      </c>
      <c r="H136" s="45" t="inlineStr">
        <is>
          <t>LatAm executive</t>
        </is>
      </c>
      <c r="I136" s="45" t="inlineStr">
        <is>
          <t>ARG</t>
        </is>
      </c>
      <c r="J136" s="45" t="inlineStr">
        <is>
          <t>Producción y Trabajo / Juntos por el Cambio</t>
        </is>
      </c>
      <c r="K136" s="45" t="inlineStr">
        <is>
          <t>interview</t>
        </is>
      </c>
      <c r="L136" s="45" t="inlineStr">
        <is>
          <t>Interview on LN+ during Senate debate on Ley Bases/RIGI</t>
        </is>
      </c>
      <c r="M136" s="45" t="inlineStr">
        <is>
          <t>copper;mining_general</t>
        </is>
      </c>
      <c r="N136" s="45" t="inlineStr">
        <is>
          <t>260300;740200;740311</t>
        </is>
      </c>
      <c r="O136" s="45" t="inlineStr">
        <is>
          <t>foreign_investment</t>
        </is>
      </c>
      <c r="P136" s="45" t="inlineStr">
        <is>
          <t>CHL;PER</t>
        </is>
      </c>
      <c r="Q136" s="45" t="inlineStr">
        <is>
          <t>not_mentioned</t>
        </is>
      </c>
      <c r="R136" s="45" t="inlineStr">
        <is>
          <t>not_mentioned</t>
        </is>
      </c>
      <c r="S136" s="45" t="inlineStr"/>
      <c r="T136" s="45" t="inlineStr">
        <is>
          <t>Orrego backed the Ley Bases and RIGI, saying it would improve mining investment and noting San Juan's share of Andean copper remains unexploited unlike Chile and Peru.</t>
        </is>
      </c>
      <c r="U136" s="45" t="inlineStr">
        <is>
          <t>Tenemos el 40% del cobre entre Chile, Perú y Argentina, y nosotros somos los únicos que no lo explotamos</t>
        </is>
      </c>
      <c r="V136" s="45" t="inlineStr">
        <is>
          <t>We have 40% of the copper among Chile, Peru and Argentina, and we are the only ones who don't exploit it</t>
        </is>
      </c>
      <c r="W136" s="45" t="inlineStr">
        <is>
          <t>es</t>
        </is>
      </c>
      <c r="X136" s="45" t="inlineStr">
        <is>
          <t>Tiempo de San Juan</t>
        </is>
      </c>
      <c r="Y136" s="45" t="inlineStr">
        <is>
          <t>https://www.tiempodesanjuan.com/politica/marcelo-orrego-apoyo-la-ley-bases-television-nacional-y-pidio-la-aprobacion-del-rigi-n377233</t>
        </is>
      </c>
      <c r="Z136" s="45" t="inlineStr">
        <is>
          <t>news_media</t>
        </is>
      </c>
      <c r="AA136" s="45" t="inlineStr">
        <is>
          <t>secondary_reported</t>
        </is>
      </c>
      <c r="AB136" s="45" t="inlineStr"/>
      <c r="AC136" s="45" t="inlineStr">
        <is>
          <t>ARG</t>
        </is>
      </c>
    </row>
    <row r="137" ht="15" customHeight="1" s="24">
      <c r="A137" s="45" t="inlineStr">
        <is>
          <t>PS-0136</t>
        </is>
      </c>
      <c r="B137" s="45" t="inlineStr">
        <is>
          <t>2024-06-11</t>
        </is>
      </c>
      <c r="C137" s="45" t="inlineStr">
        <is>
          <t>2024</t>
        </is>
      </c>
      <c r="D137" s="45" t="inlineStr">
        <is>
          <t>BOL</t>
        </is>
      </c>
      <c r="E137" s="45" t="inlineStr">
        <is>
          <t>Luis Arce</t>
        </is>
      </c>
      <c r="F137" s="45" t="inlineStr">
        <is>
          <t>President of Bolivia</t>
        </is>
      </c>
      <c r="G137" s="45" t="inlineStr">
        <is>
          <t>head_of_state</t>
        </is>
      </c>
      <c r="H137" s="45" t="inlineStr">
        <is>
          <t>LatAm executive</t>
        </is>
      </c>
      <c r="I137" s="45" t="inlineStr">
        <is>
          <t>BOL</t>
        </is>
      </c>
      <c r="J137" s="45" t="inlineStr">
        <is>
          <t>Movimiento al Socialismo (MAS)</t>
        </is>
      </c>
      <c r="K137" s="45" t="inlineStr">
        <is>
          <t>press_conference</t>
        </is>
      </c>
      <c r="L137" s="45" t="inlineStr">
        <is>
          <t>After meeting Vladimir Putin, St Petersburg International Economic Forum</t>
        </is>
      </c>
      <c r="M137" s="45" t="inlineStr">
        <is>
          <t>lithium</t>
        </is>
      </c>
      <c r="N137" s="45" t="inlineStr">
        <is>
          <t>253090;282520;283691</t>
        </is>
      </c>
      <c r="O137" s="45" t="inlineStr">
        <is>
          <t>foreign_investment;diplomatic_relations;value_added_industrialization</t>
        </is>
      </c>
      <c r="P137" s="45" t="inlineStr">
        <is>
          <t>RUS</t>
        </is>
      </c>
      <c r="Q137" s="45" t="inlineStr">
        <is>
          <t>not_mentioned</t>
        </is>
      </c>
      <c r="R137" s="45" t="inlineStr">
        <is>
          <t>not_mentioned</t>
        </is>
      </c>
      <c r="S137" s="45" t="inlineStr">
        <is>
          <t>YLB; Uranium One Group; Rosatom</t>
        </is>
      </c>
      <c r="T137" s="45" t="inlineStr">
        <is>
          <t>Arce said he and Putin agreed that Uranium One's lithium extraction project in Bolivia must start operating in 2025, alongside the El Alto nuclear research centre.</t>
        </is>
      </c>
      <c r="U137" s="45" t="inlineStr">
        <is>
          <t>tiene que entrar en operación en la gestión 2025</t>
        </is>
      </c>
      <c r="V137" s="45" t="inlineStr">
        <is>
          <t>it has to enter into operation in 2025</t>
        </is>
      </c>
      <c r="W137" s="45" t="inlineStr">
        <is>
          <t>es</t>
        </is>
      </c>
      <c r="X137" s="45" t="inlineStr">
        <is>
          <t>Los Tiempos</t>
        </is>
      </c>
      <c r="Y137" s="45" t="inlineStr">
        <is>
          <t>https://www.lostiempos.com/actualidad/pais/20240611/arce-putin-acuerdan-que-proyectos-conjuntos-litio-nuclear-bolivia-operen</t>
        </is>
      </c>
      <c r="Z137" s="45" t="inlineStr">
        <is>
          <t>news_media</t>
        </is>
      </c>
      <c r="AA137" s="45" t="inlineStr">
        <is>
          <t>secondary_reported</t>
        </is>
      </c>
      <c r="AB137" s="45" t="inlineStr"/>
      <c r="AC137" s="45" t="inlineStr">
        <is>
          <t>BOL</t>
        </is>
      </c>
    </row>
    <row r="138" ht="15" customHeight="1" s="24">
      <c r="A138" s="45" t="inlineStr">
        <is>
          <t>PS-0137</t>
        </is>
      </c>
      <c r="B138" s="45" t="inlineStr">
        <is>
          <t>2024-06-12</t>
        </is>
      </c>
      <c r="C138" s="45" t="inlineStr">
        <is>
          <t>2024</t>
        </is>
      </c>
      <c r="D138" s="45" t="inlineStr">
        <is>
          <t>ARG</t>
        </is>
      </c>
      <c r="E138" s="45" t="inlineStr">
        <is>
          <t>Sergio Uñac</t>
        </is>
      </c>
      <c r="F138" s="45" t="inlineStr">
        <is>
          <t>Senator for San Juan</t>
        </is>
      </c>
      <c r="G138" s="45" t="inlineStr">
        <is>
          <t>legislator</t>
        </is>
      </c>
      <c r="H138" s="45" t="inlineStr">
        <is>
          <t>LatAm legislature</t>
        </is>
      </c>
      <c r="I138" s="45" t="inlineStr">
        <is>
          <t>ARG</t>
        </is>
      </c>
      <c r="J138" s="45" t="inlineStr">
        <is>
          <t>Unión por la Patria (PJ)</t>
        </is>
      </c>
      <c r="K138" s="45" t="inlineStr">
        <is>
          <t>legislative_debate</t>
        </is>
      </c>
      <c r="L138" s="45" t="inlineStr">
        <is>
          <t>Senate vote on Ley Bases / RIGI</t>
        </is>
      </c>
      <c r="M138" s="45" t="inlineStr">
        <is>
          <t>mining_general</t>
        </is>
      </c>
      <c r="N138" s="45" t="inlineStr"/>
      <c r="O138" s="45" t="inlineStr">
        <is>
          <t>foreign_investment;value_added_industrialization</t>
        </is>
      </c>
      <c r="P138" s="45" t="inlineStr">
        <is>
          <t>none</t>
        </is>
      </c>
      <c r="Q138" s="45" t="inlineStr">
        <is>
          <t>not_mentioned</t>
        </is>
      </c>
      <c r="R138" s="45" t="inlineStr">
        <is>
          <t>not_mentioned</t>
        </is>
      </c>
      <c r="S138" s="45" t="inlineStr"/>
      <c r="T138" s="45" t="inlineStr">
        <is>
          <t>Uñac voted against the RIGI, calling it a law made for big capital that favors imports against local industry.</t>
        </is>
      </c>
      <c r="U138" s="45" t="inlineStr">
        <is>
          <t>ley hecha para los grandes capitales</t>
        </is>
      </c>
      <c r="V138" s="45" t="inlineStr">
        <is>
          <t>law made for big capital</t>
        </is>
      </c>
      <c r="W138" s="45" t="inlineStr">
        <is>
          <t>es</t>
        </is>
      </c>
      <c r="X138" s="45" t="inlineStr">
        <is>
          <t>Tiempo de San Juan</t>
        </is>
      </c>
      <c r="Y138" s="45" t="inlineStr">
        <is>
          <t>https://www.tiempodesanjuan.com/politica/desde-el-gobierno-salen-criticar-unac-no-votar-bases-y-el-rigi-va-contra-san-juan-n377350</t>
        </is>
      </c>
      <c r="Z138" s="45" t="inlineStr">
        <is>
          <t>news_media</t>
        </is>
      </c>
      <c r="AA138" s="45" t="inlineStr">
        <is>
          <t>secondary_reported</t>
        </is>
      </c>
      <c r="AB138" s="45" t="inlineStr">
        <is>
          <t>Date = Senate vote night (12-13 June 2024).</t>
        </is>
      </c>
      <c r="AC138" s="45" t="inlineStr">
        <is>
          <t>ARG</t>
        </is>
      </c>
    </row>
    <row r="139" ht="15" customHeight="1" s="24">
      <c r="A139" s="45" t="inlineStr">
        <is>
          <t>PS-0138</t>
        </is>
      </c>
      <c r="B139" s="45" t="inlineStr">
        <is>
          <t>2024-06-21</t>
        </is>
      </c>
      <c r="C139" s="45" t="inlineStr">
        <is>
          <t>2024</t>
        </is>
      </c>
      <c r="D139" s="45" t="inlineStr">
        <is>
          <t>MEX</t>
        </is>
      </c>
      <c r="E139" s="45" t="inlineStr">
        <is>
          <t>Ganfeng Lithium</t>
        </is>
      </c>
      <c r="F139" s="45" t="inlineStr">
        <is>
          <t>Chinese lithium company</t>
        </is>
      </c>
      <c r="G139" s="45" t="inlineStr">
        <is>
          <t>other</t>
        </is>
      </c>
      <c r="H139" s="45" t="inlineStr">
        <is>
          <t>China</t>
        </is>
      </c>
      <c r="I139" s="45" t="inlineStr">
        <is>
          <t>CHN</t>
        </is>
      </c>
      <c r="J139" s="45" t="inlineStr"/>
      <c r="K139" s="45" t="inlineStr">
        <is>
          <t>official_statement</t>
        </is>
      </c>
      <c r="L139" s="45" t="inlineStr">
        <is>
          <t>ICSID arbitration filing against Mexico</t>
        </is>
      </c>
      <c r="M139" s="45" t="inlineStr">
        <is>
          <t>lithium</t>
        </is>
      </c>
      <c r="N139" s="45" t="inlineStr">
        <is>
          <t>253090;282520;283691</t>
        </is>
      </c>
      <c r="O139" s="45" t="inlineStr">
        <is>
          <t>foreign_investment;state_control_nationalization;diplomatic_relations</t>
        </is>
      </c>
      <c r="P139" s="45" t="inlineStr">
        <is>
          <t>CHN;GBR</t>
        </is>
      </c>
      <c r="Q139" s="45" t="inlineStr">
        <is>
          <t>not_mentioned</t>
        </is>
      </c>
      <c r="R139" s="45" t="inlineStr">
        <is>
          <t>not_mentioned</t>
        </is>
      </c>
      <c r="S139" s="45" t="inlineStr">
        <is>
          <t>Ganfeng Lithium;Bacanora Lithium;Sonora Lithium;ICSID</t>
        </is>
      </c>
      <c r="T139" s="45" t="inlineStr">
        <is>
          <t>Ganfeng and its UK subsidiaries filed an ICSID claim against Mexico over the August 2023 cancellation of nine lithium concessions in Sonora, invoking the Mexico-China and Mexico-UK investment treaties.</t>
        </is>
      </c>
      <c r="U139" s="45" t="inlineStr"/>
      <c r="V139" s="45" t="inlineStr"/>
      <c r="W139" s="45" t="inlineStr">
        <is>
          <t>es</t>
        </is>
      </c>
      <c r="X139" s="45" t="inlineStr">
        <is>
          <t>Bloomberg Línea</t>
        </is>
      </c>
      <c r="Y139" s="45" t="inlineStr">
        <is>
          <t>https://www.bloomberglinea.com/latinoamerica/mexico/minera-china-ganfeng-demanda-a-mexico-por-cancelar-concesiones-de-litio/</t>
        </is>
      </c>
      <c r="Z139" s="45" t="inlineStr">
        <is>
          <t>news_media</t>
        </is>
      </c>
      <c r="AA139" s="45" t="inlineStr">
        <is>
          <t>secondary_reported</t>
        </is>
      </c>
      <c r="AB139" s="45" t="inlineStr">
        <is>
          <t>Corporate act; stance fields not applicable.</t>
        </is>
      </c>
      <c r="AC139" s="45" t="inlineStr">
        <is>
          <t>MEX</t>
        </is>
      </c>
    </row>
    <row r="140" ht="15" customHeight="1" s="24">
      <c r="A140" s="45" t="inlineStr">
        <is>
          <t>PS-0139</t>
        </is>
      </c>
      <c r="B140" s="45" t="inlineStr">
        <is>
          <t>2024-06-27</t>
        </is>
      </c>
      <c r="C140" s="45" t="inlineStr">
        <is>
          <t>2024</t>
        </is>
      </c>
      <c r="D140" s="45" t="inlineStr">
        <is>
          <t>MEX</t>
        </is>
      </c>
      <c r="E140" s="45" t="inlineStr">
        <is>
          <t>Andrés Manuel López Obrador</t>
        </is>
      </c>
      <c r="F140" s="45" t="inlineStr">
        <is>
          <t>President of Mexico</t>
        </is>
      </c>
      <c r="G140" s="45" t="inlineStr">
        <is>
          <t>head_of_state</t>
        </is>
      </c>
      <c r="H140" s="45" t="inlineStr">
        <is>
          <t>LatAm executive</t>
        </is>
      </c>
      <c r="I140" s="45" t="inlineStr">
        <is>
          <t>MEX</t>
        </is>
      </c>
      <c r="J140" s="45" t="inlineStr">
        <is>
          <t>Morena</t>
        </is>
      </c>
      <c r="K140" s="45" t="inlineStr">
        <is>
          <t>press_conference</t>
        </is>
      </c>
      <c r="L140" s="45" t="inlineStr">
        <is>
          <t>Response to Ganfeng ICSID arbitration filing</t>
        </is>
      </c>
      <c r="M140" s="45" t="inlineStr">
        <is>
          <t>lithium</t>
        </is>
      </c>
      <c r="N140" s="45" t="inlineStr">
        <is>
          <t>253090;282520;283691</t>
        </is>
      </c>
      <c r="O140" s="45" t="inlineStr">
        <is>
          <t>state_control_nationalization;foreign_investment;diplomatic_relations</t>
        </is>
      </c>
      <c r="P140" s="45" t="inlineStr">
        <is>
          <t>CHN</t>
        </is>
      </c>
      <c r="Q140" s="45" t="inlineStr">
        <is>
          <t>mixed</t>
        </is>
      </c>
      <c r="R140" s="45" t="inlineStr">
        <is>
          <t>not_mentioned</t>
        </is>
      </c>
      <c r="S140" s="45" t="inlineStr">
        <is>
          <t>Ganfeng Lithium;Bacanora Lithium;ICSID</t>
        </is>
      </c>
      <c r="T140" s="45" t="inlineStr">
        <is>
          <t>AMLO said Mexico would seek a negotiated deal with Ganfeng after its ICSID arbitration claim, while maintaining that the earlier concessions were generic mining concessions not applicable to lithium.</t>
        </is>
      </c>
      <c r="U140" s="45" t="inlineStr">
        <is>
          <t>Sí puede llevarse a cabo alguna asociación, pero con el predominio del interés nacional, en el caso del litio.</t>
        </is>
      </c>
      <c r="V140" s="45" t="inlineStr">
        <is>
          <t>Some association can take place, but with the predominance of the national interest, in the case of lithium.</t>
        </is>
      </c>
      <c r="W140" s="45" t="inlineStr">
        <is>
          <t>es</t>
        </is>
      </c>
      <c r="X140" s="45" t="inlineStr">
        <is>
          <t>Mining.com (Reuters)</t>
        </is>
      </c>
      <c r="Y140" s="45" t="inlineStr">
        <is>
          <t>https://www.mining.com/mexico-to-seek-deal-over-disputed-mining-concession-with-ganfeng/</t>
        </is>
      </c>
      <c r="Z140" s="45" t="inlineStr">
        <is>
          <t>news_media</t>
        </is>
      </c>
      <c r="AA140" s="45" t="inlineStr">
        <is>
          <t>secondary_reported</t>
        </is>
      </c>
      <c r="AB140" s="45" t="inlineStr">
        <is>
          <t>Quote from Xataka México report of the same mañanera: https://www.xataka.com.mx/automovil/amlo-aclara-litio-concesiones-canceladas-mineral-sera-defendido-china</t>
        </is>
      </c>
      <c r="AC140" s="45" t="inlineStr">
        <is>
          <t>MEX</t>
        </is>
      </c>
    </row>
    <row r="141" ht="15" customHeight="1" s="24">
      <c r="A141" s="45" t="inlineStr">
        <is>
          <t>PS-0140</t>
        </is>
      </c>
      <c r="B141" s="45" t="inlineStr">
        <is>
          <t>2024-06-27</t>
        </is>
      </c>
      <c r="C141" s="45" t="inlineStr">
        <is>
          <t>2024</t>
        </is>
      </c>
      <c r="D141" s="45" t="inlineStr">
        <is>
          <t>MEX</t>
        </is>
      </c>
      <c r="E141" s="45" t="inlineStr">
        <is>
          <t>Raquel Buenrostro</t>
        </is>
      </c>
      <c r="F141" s="45" t="inlineStr">
        <is>
          <t>Secretary of Economy of Mexico</t>
        </is>
      </c>
      <c r="G141" s="45" t="inlineStr">
        <is>
          <t>minister_cabinet</t>
        </is>
      </c>
      <c r="H141" s="45" t="inlineStr">
        <is>
          <t>LatAm executive</t>
        </is>
      </c>
      <c r="I141" s="45" t="inlineStr">
        <is>
          <t>MEX</t>
        </is>
      </c>
      <c r="J141" s="45" t="inlineStr">
        <is>
          <t>Morena</t>
        </is>
      </c>
      <c r="K141" s="45" t="inlineStr">
        <is>
          <t>interview</t>
        </is>
      </c>
      <c r="L141" s="45" t="inlineStr">
        <is>
          <t>Response to Ganfeng ICSID claim</t>
        </is>
      </c>
      <c r="M141" s="45" t="inlineStr">
        <is>
          <t>lithium</t>
        </is>
      </c>
      <c r="N141" s="45" t="inlineStr">
        <is>
          <t>253090;282520;283691</t>
        </is>
      </c>
      <c r="O141" s="45" t="inlineStr">
        <is>
          <t>state_control_nationalization;foreign_investment</t>
        </is>
      </c>
      <c r="P141" s="45" t="inlineStr">
        <is>
          <t>CHN;GBR</t>
        </is>
      </c>
      <c r="Q141" s="45" t="inlineStr">
        <is>
          <t>negative</t>
        </is>
      </c>
      <c r="R141" s="45" t="inlineStr">
        <is>
          <t>not_mentioned</t>
        </is>
      </c>
      <c r="S141" s="45" t="inlineStr">
        <is>
          <t>Ganfeng Lithium;Bacanora Lithium;ICSID</t>
        </is>
      </c>
      <c r="T141" s="45" t="inlineStr">
        <is>
          <t>Buenrostro said Ganfeng's arbitration claim lacked merit and Mexico would win, though such cases take many years.</t>
        </is>
      </c>
      <c r="U141" s="45" t="inlineStr">
        <is>
          <t>Nosotros creemos que no tienen elementos. Vamos a ganar</t>
        </is>
      </c>
      <c r="V141" s="45" t="inlineStr">
        <is>
          <t>We believe they have no grounds. We are going to win</t>
        </is>
      </c>
      <c r="W141" s="45" t="inlineStr">
        <is>
          <t>es</t>
        </is>
      </c>
      <c r="X141" s="45" t="inlineStr">
        <is>
          <t>Bloomberg Línea</t>
        </is>
      </c>
      <c r="Y141" s="45" t="inlineStr">
        <is>
          <t>https://www.bloomberglinea.com/latinoamerica/mexico/exclusiva-demanda-de-minera-china-ganfeng-por-litio-carece-de-elementos-dice-buenrostro/</t>
        </is>
      </c>
      <c r="Z141" s="45" t="inlineStr">
        <is>
          <t>news_media</t>
        </is>
      </c>
      <c r="AA141" s="45" t="inlineStr">
        <is>
          <t>secondary_reported</t>
        </is>
      </c>
      <c r="AB141" s="45" t="inlineStr">
        <is>
          <t>Stance coded toward the Chinese company's claim.</t>
        </is>
      </c>
      <c r="AC141" s="45" t="inlineStr">
        <is>
          <t>MEX</t>
        </is>
      </c>
    </row>
    <row r="142" ht="15" customHeight="1" s="24">
      <c r="A142" s="45" t="inlineStr">
        <is>
          <t>PS-0141</t>
        </is>
      </c>
      <c r="B142" s="45" t="inlineStr">
        <is>
          <t>2024-06-28</t>
        </is>
      </c>
      <c r="C142" s="45" t="inlineStr">
        <is>
          <t>2024</t>
        </is>
      </c>
      <c r="D142" s="45" t="inlineStr">
        <is>
          <t>PER</t>
        </is>
      </c>
      <c r="E142" s="45" t="inlineStr">
        <is>
          <t>Li Qiang</t>
        </is>
      </c>
      <c r="F142" s="45" t="inlineStr">
        <is>
          <t>Premier of the State Council of the PRC</t>
        </is>
      </c>
      <c r="G142" s="45" t="inlineStr">
        <is>
          <t>china_central_gov</t>
        </is>
      </c>
      <c r="H142" s="45" t="inlineStr">
        <is>
          <t>China</t>
        </is>
      </c>
      <c r="I142" s="45" t="inlineStr">
        <is>
          <t>CHN</t>
        </is>
      </c>
      <c r="J142" s="45" t="inlineStr">
        <is>
          <t>CCP</t>
        </is>
      </c>
      <c r="K142" s="45" t="inlineStr">
        <is>
          <t>official_statement</t>
        </is>
      </c>
      <c r="L142" s="45" t="inlineStr">
        <is>
          <t>Meeting with President Dina Boluarte during her state visit to Beijing</t>
        </is>
      </c>
      <c r="M142" s="45" t="inlineStr">
        <is>
          <t>mining_general</t>
        </is>
      </c>
      <c r="N142" s="45" t="inlineStr"/>
      <c r="O142" s="45" t="inlineStr">
        <is>
          <t>infrastructure_ports;trade_deals_offtake;diplomatic_relations</t>
        </is>
      </c>
      <c r="P142" s="45" t="inlineStr">
        <is>
          <t>PER</t>
        </is>
      </c>
      <c r="Q142" s="45" t="inlineStr">
        <is>
          <t>positive</t>
        </is>
      </c>
      <c r="R142" s="45" t="inlineStr">
        <is>
          <t>not_mentioned</t>
        </is>
      </c>
      <c r="S142" s="45" t="inlineStr"/>
      <c r="T142" s="45" t="inlineStr">
        <is>
          <t>According to China's readout, Premier Li Qiang told Dina Boluarte that the two sides should keep expanding trade and deepen cooperation in traditional areas such as mining, electricity, ports and infrastructure.</t>
        </is>
      </c>
      <c r="U142" s="45" t="inlineStr">
        <is>
          <t>continue to expand trade, deepen cooperation in traditional areas such as mining, electricity, ports and infrastructure</t>
        </is>
      </c>
      <c r="V142" s="45" t="inlineStr">
        <is>
          <t>continue to expand trade, deepen cooperation in traditional areas such as mining, electricity, ports and infrastructure</t>
        </is>
      </c>
      <c r="W142" s="45" t="inlineStr">
        <is>
          <t>en</t>
        </is>
      </c>
      <c r="X142" s="45" t="inlineStr">
        <is>
          <t>Ministry of Foreign Affairs of the PRC</t>
        </is>
      </c>
      <c r="Y142" s="45" t="inlineStr">
        <is>
          <t>https://www.fmprc.gov.cn/mfa_eng/xw/zyxw/202407/t20240705_11448612.html</t>
        </is>
      </c>
      <c r="Z142" s="45" t="inlineStr">
        <is>
          <t>primary_official</t>
        </is>
      </c>
      <c r="AA142" s="45" t="inlineStr">
        <is>
          <t>primary_verified</t>
        </is>
      </c>
      <c r="AB142" s="45" t="inlineStr">
        <is>
          <t>Premier coded china_central_gov (no head-of-government category).</t>
        </is>
      </c>
      <c r="AC142" s="45" t="inlineStr">
        <is>
          <t>CHN_gov</t>
        </is>
      </c>
    </row>
    <row r="143" ht="15" customHeight="1" s="24">
      <c r="A143" s="45" t="inlineStr">
        <is>
          <t>PS-0142</t>
        </is>
      </c>
      <c r="B143" s="45" t="inlineStr">
        <is>
          <t>2024-06-28</t>
        </is>
      </c>
      <c r="C143" s="45" t="inlineStr">
        <is>
          <t>2024</t>
        </is>
      </c>
      <c r="D143" s="45" t="inlineStr">
        <is>
          <t>PER</t>
        </is>
      </c>
      <c r="E143" s="45" t="inlineStr">
        <is>
          <t>Xi Jinping</t>
        </is>
      </c>
      <c r="F143" s="45" t="inlineStr">
        <is>
          <t>President of the People's Republic of China</t>
        </is>
      </c>
      <c r="G143" s="45" t="inlineStr">
        <is>
          <t>head_of_state</t>
        </is>
      </c>
      <c r="H143" s="45" t="inlineStr">
        <is>
          <t>China</t>
        </is>
      </c>
      <c r="I143" s="45" t="inlineStr">
        <is>
          <t>CHN</t>
        </is>
      </c>
      <c r="J143" s="45" t="inlineStr">
        <is>
          <t>CCP</t>
        </is>
      </c>
      <c r="K143" s="45" t="inlineStr">
        <is>
          <t>official_statement</t>
        </is>
      </c>
      <c r="L143" s="45" t="inlineStr">
        <is>
          <t>Talks with President Dina Boluarte during her state visit to Beijing</t>
        </is>
      </c>
      <c r="M143" s="45" t="inlineStr">
        <is>
          <t>mining_general</t>
        </is>
      </c>
      <c r="N143" s="45" t="inlineStr"/>
      <c r="O143" s="45" t="inlineStr">
        <is>
          <t>infrastructure_ports;foreign_investment;diplomatic_relations</t>
        </is>
      </c>
      <c r="P143" s="45" t="inlineStr">
        <is>
          <t>PER</t>
        </is>
      </c>
      <c r="Q143" s="45" t="inlineStr">
        <is>
          <t>positive</t>
        </is>
      </c>
      <c r="R143" s="45" t="inlineStr">
        <is>
          <t>not_mentioned</t>
        </is>
      </c>
      <c r="S143" s="45" t="inlineStr">
        <is>
          <t>Chancay Port</t>
        </is>
      </c>
      <c r="T143" s="45" t="inlineStr">
        <is>
          <t>In China's official readout of talks with Dina Boluarte in Beijing, Xi said the two countries should coordinate and advance cooperation in mining, energy, manufacturing and agriculture. He also urged completion of the Chancay port to build a new land-sea route between China and Latin America.</t>
        </is>
      </c>
      <c r="U143" s="45" t="inlineStr">
        <is>
          <t>coordinate and advance cooperation in such fields as mining, energy, manufacturing and agriculture</t>
        </is>
      </c>
      <c r="V143" s="45" t="inlineStr">
        <is>
          <t>coordinate and advance cooperation in such fields as mining, energy, manufacturing and agriculture</t>
        </is>
      </c>
      <c r="W143" s="45" t="inlineStr">
        <is>
          <t>en</t>
        </is>
      </c>
      <c r="X143" s="45" t="inlineStr">
        <is>
          <t>Ministry of Foreign Affairs of the PRC</t>
        </is>
      </c>
      <c r="Y143" s="45" t="inlineStr">
        <is>
          <t>https://www.fmprc.gov.cn/eng/xw/zyxw/202407/t20240712_11453074.html</t>
        </is>
      </c>
      <c r="Z143" s="45" t="inlineStr">
        <is>
          <t>primary_official</t>
        </is>
      </c>
      <c r="AA143" s="45" t="inlineStr">
        <is>
          <t>primary_verified</t>
        </is>
      </c>
      <c r="AB143" s="45" t="inlineStr">
        <is>
          <t>MFA English readout; page URL dated July but talks held 28 June 2024.</t>
        </is>
      </c>
      <c r="AC143" s="45" t="inlineStr">
        <is>
          <t>CHN_gov</t>
        </is>
      </c>
    </row>
    <row r="144" ht="15" customHeight="1" s="24">
      <c r="A144" s="45" t="inlineStr">
        <is>
          <t>PS-0143</t>
        </is>
      </c>
      <c r="B144" s="45" t="inlineStr">
        <is>
          <t>2024-07-28</t>
        </is>
      </c>
      <c r="C144" s="45" t="inlineStr">
        <is>
          <t>2024</t>
        </is>
      </c>
      <c r="D144" s="45" t="inlineStr">
        <is>
          <t>PER</t>
        </is>
      </c>
      <c r="E144" s="45" t="inlineStr">
        <is>
          <t>Dina Boluarte</t>
        </is>
      </c>
      <c r="F144" s="45" t="inlineStr">
        <is>
          <t>President of Peru</t>
        </is>
      </c>
      <c r="G144" s="45" t="inlineStr">
        <is>
          <t>head_of_state</t>
        </is>
      </c>
      <c r="H144" s="45" t="inlineStr">
        <is>
          <t>LatAm executive</t>
        </is>
      </c>
      <c r="I144" s="45" t="inlineStr">
        <is>
          <t>PER</t>
        </is>
      </c>
      <c r="J144" s="45" t="inlineStr"/>
      <c r="K144" s="45" t="inlineStr">
        <is>
          <t>speech</t>
        </is>
      </c>
      <c r="L144" s="45" t="inlineStr">
        <is>
          <t>Independence Day message to the nation</t>
        </is>
      </c>
      <c r="M144" s="45" t="inlineStr">
        <is>
          <t>copper</t>
        </is>
      </c>
      <c r="N144" s="45" t="inlineStr">
        <is>
          <t>260300;740200;740311</t>
        </is>
      </c>
      <c r="O144" s="45" t="inlineStr">
        <is>
          <t>foreign_investment;royalties_taxation;labor_social_conflict</t>
        </is>
      </c>
      <c r="P144" s="45" t="inlineStr">
        <is>
          <t>none</t>
        </is>
      </c>
      <c r="Q144" s="45" t="inlineStr">
        <is>
          <t>not_mentioned</t>
        </is>
      </c>
      <c r="R144" s="45" t="inlineStr">
        <is>
          <t>not_mentioned</t>
        </is>
      </c>
      <c r="S144" s="45" t="inlineStr">
        <is>
          <t>Tía María; Southern Copper</t>
        </is>
      </c>
      <c r="T144" s="45" t="inlineStr">
        <is>
          <t>In her 28 July address, Boluarte rejected claims that Tía María is being imposed, attributing them to small ideologized sectors, and highlighted expected canon/royalty revenue and jobs for Arequipa.</t>
        </is>
      </c>
      <c r="U144" s="45" t="inlineStr">
        <is>
          <t>Tía María no constituye un proyecto impuesto, eso es una falsa narrativa enarbolada por reducidos sectores ideologizados</t>
        </is>
      </c>
      <c r="V144" s="45" t="inlineStr">
        <is>
          <t>Tía María is not an imposed project; that is a false narrative raised by small ideologized sectors</t>
        </is>
      </c>
      <c r="W144" s="45" t="inlineStr">
        <is>
          <t>es</t>
        </is>
      </c>
      <c r="X144" s="45" t="inlineStr">
        <is>
          <t>El Búho</t>
        </is>
      </c>
      <c r="Y144" s="45" t="inlineStr">
        <is>
          <t>https://elbuho.pe/?p=353963</t>
        </is>
      </c>
      <c r="Z144" s="45" t="inlineStr">
        <is>
          <t>news_media</t>
        </is>
      </c>
      <c r="AA144" s="45" t="inlineStr">
        <is>
          <t>secondary_reported</t>
        </is>
      </c>
      <c r="AB144" s="45" t="inlineStr"/>
      <c r="AC144" s="45" t="inlineStr">
        <is>
          <t>PER</t>
        </is>
      </c>
    </row>
    <row r="145" ht="15" customHeight="1" s="24">
      <c r="A145" s="45" t="inlineStr">
        <is>
          <t>PS-0144</t>
        </is>
      </c>
      <c r="B145" s="45" t="inlineStr">
        <is>
          <t>2024-08-01</t>
        </is>
      </c>
      <c r="C145" s="45" t="inlineStr">
        <is>
          <t>2024</t>
        </is>
      </c>
      <c r="D145" s="45" t="inlineStr">
        <is>
          <t>PER</t>
        </is>
      </c>
      <c r="E145" s="45" t="inlineStr">
        <is>
          <t>José Arista</t>
        </is>
      </c>
      <c r="F145" s="45" t="inlineStr">
        <is>
          <t>Minister of Economy and Finance of Peru</t>
        </is>
      </c>
      <c r="G145" s="45" t="inlineStr">
        <is>
          <t>minister_cabinet</t>
        </is>
      </c>
      <c r="H145" s="45" t="inlineStr">
        <is>
          <t>LatAm executive</t>
        </is>
      </c>
      <c r="I145" s="45" t="inlineStr">
        <is>
          <t>PER</t>
        </is>
      </c>
      <c r="J145" s="45" t="inlineStr"/>
      <c r="K145" s="45" t="inlineStr">
        <is>
          <t>interview</t>
        </is>
      </c>
      <c r="L145" s="45" t="inlineStr">
        <is>
          <t>Push to unlock stalled mining projects</t>
        </is>
      </c>
      <c r="M145" s="45" t="inlineStr">
        <is>
          <t>copper</t>
        </is>
      </c>
      <c r="N145" s="45" t="inlineStr">
        <is>
          <t>260300;740200;740311</t>
        </is>
      </c>
      <c r="O145" s="45" t="inlineStr">
        <is>
          <t>foreign_investment</t>
        </is>
      </c>
      <c r="P145" s="45" t="inlineStr">
        <is>
          <t>none</t>
        </is>
      </c>
      <c r="Q145" s="45" t="inlineStr">
        <is>
          <t>not_mentioned</t>
        </is>
      </c>
      <c r="R145" s="45" t="inlineStr">
        <is>
          <t>not_mentioned</t>
        </is>
      </c>
      <c r="S145" s="45" t="inlineStr">
        <is>
          <t>Tía María; Michiquillay; La Granja; Galeno</t>
        </is>
      </c>
      <c r="T145" s="45" t="inlineStr">
        <is>
          <t>Arista expressed support for mining and said Tía María must go ahead, along with Cajamarca copper projects like Michiquillay, La Granja and Galeno.</t>
        </is>
      </c>
      <c r="U145" s="45" t="inlineStr">
        <is>
          <t>Nuestro apoyo a la actividad minera. Tía María tiene que salir</t>
        </is>
      </c>
      <c r="V145" s="45" t="inlineStr">
        <is>
          <t>Our support for mining activity. Tía María has to go ahead</t>
        </is>
      </c>
      <c r="W145" s="45" t="inlineStr">
        <is>
          <t>es</t>
        </is>
      </c>
      <c r="X145" s="45" t="inlineStr">
        <is>
          <t>ProActivo</t>
        </is>
      </c>
      <c r="Y145" s="45" t="inlineStr">
        <is>
          <t>https://proactivo.com.pe/ministro-arista-tia-maria-tiene-que-salir</t>
        </is>
      </c>
      <c r="Z145" s="45" t="inlineStr">
        <is>
          <t>news_media</t>
        </is>
      </c>
      <c r="AA145" s="45" t="inlineStr">
        <is>
          <t>secondary_reported</t>
        </is>
      </c>
      <c r="AB145" s="45" t="inlineStr"/>
      <c r="AC145" s="45" t="inlineStr">
        <is>
          <t>PER</t>
        </is>
      </c>
    </row>
    <row r="146" ht="15" customHeight="1" s="24">
      <c r="A146" s="45" t="inlineStr">
        <is>
          <t>PS-0145</t>
        </is>
      </c>
      <c r="B146" s="45" t="inlineStr">
        <is>
          <t>2024-08-21</t>
        </is>
      </c>
      <c r="C146" s="45" t="inlineStr">
        <is>
          <t>2024</t>
        </is>
      </c>
      <c r="D146" s="45" t="inlineStr">
        <is>
          <t>ARG</t>
        </is>
      </c>
      <c r="E146" s="45" t="inlineStr">
        <is>
          <t>José W. Fernández</t>
        </is>
      </c>
      <c r="F146" s="45" t="inlineStr">
        <is>
          <t>U.S. Under Secretary of State for Economic Growth, Energy, and the Environment</t>
        </is>
      </c>
      <c r="G146" s="45" t="inlineStr">
        <is>
          <t>us_central_gov</t>
        </is>
      </c>
      <c r="H146" s="45" t="inlineStr">
        <is>
          <t>United States</t>
        </is>
      </c>
      <c r="I146" s="45" t="inlineStr">
        <is>
          <t>USA</t>
        </is>
      </c>
      <c r="J146" s="45" t="inlineStr">
        <is>
          <t>Biden administration</t>
        </is>
      </c>
      <c r="K146" s="45" t="inlineStr">
        <is>
          <t>interview</t>
        </is>
      </c>
      <c r="L146" s="45" t="inlineStr">
        <is>
          <t>Visit to Argentina; Argentina joining Minerals Security Partnership</t>
        </is>
      </c>
      <c r="M146" s="45" t="inlineStr">
        <is>
          <t>lithium;copper;critical_minerals_general</t>
        </is>
      </c>
      <c r="N146" s="45" t="inlineStr">
        <is>
          <t>253090;260300;282520;283691;740200;740311</t>
        </is>
      </c>
      <c r="O146" s="45" t="inlineStr">
        <is>
          <t>foreign_investment;geopolitics_security;environment_water</t>
        </is>
      </c>
      <c r="P146" s="45" t="inlineStr">
        <is>
          <t>ARG;CHN;EU</t>
        </is>
      </c>
      <c r="Q146" s="45" t="inlineStr">
        <is>
          <t>negative</t>
        </is>
      </c>
      <c r="R146" s="45" t="inlineStr">
        <is>
          <t>positive</t>
        </is>
      </c>
      <c r="S146" s="45" t="inlineStr">
        <is>
          <t>Minerals Security Partnership</t>
        </is>
      </c>
      <c r="T146" s="45" t="inlineStr">
        <is>
          <t>Fernández said joining the MSP would let Argentina pitch mining projects to 14 countries and the EU at once, seeking investments that benefit communities and respect national laws, as part of diversifying supply chains away from China.</t>
        </is>
      </c>
      <c r="U146" s="45" t="inlineStr">
        <is>
          <t>It's a way for Argentina to literally make pitches to 14 countries and the EU in one fell swoop.</t>
        </is>
      </c>
      <c r="V146" s="45" t="inlineStr">
        <is>
          <t>It's a way for Argentina to literally make pitches to 14 countries and the EU in one fell swoop.</t>
        </is>
      </c>
      <c r="W146" s="45" t="inlineStr">
        <is>
          <t>en</t>
        </is>
      </c>
      <c r="X146" s="45" t="inlineStr">
        <is>
          <t>South China Morning Post (Reuters)</t>
        </is>
      </c>
      <c r="Y146" s="45" t="inlineStr">
        <is>
          <t>https://www.scmp.com/news/world/united-states-canada/article/3275383/argentina-join-us-minerals-partnership-diversify-supply-chains-away-china</t>
        </is>
      </c>
      <c r="Z146" s="45" t="inlineStr">
        <is>
          <t>news_media</t>
        </is>
      </c>
      <c r="AA146" s="45" t="inlineStr">
        <is>
          <t>secondary_reported</t>
        </is>
      </c>
      <c r="AB146" s="45" t="inlineStr">
        <is>
          <t>stance_china inferred from stated purpose</t>
        </is>
      </c>
      <c r="AC146" s="45" t="inlineStr">
        <is>
          <t>USA_gov</t>
        </is>
      </c>
    </row>
    <row r="147" ht="15" customHeight="1" s="24">
      <c r="A147" s="45" t="inlineStr">
        <is>
          <t>PS-0146</t>
        </is>
      </c>
      <c r="B147" s="45" t="inlineStr">
        <is>
          <t>2024-08-23</t>
        </is>
      </c>
      <c r="C147" s="45" t="inlineStr">
        <is>
          <t>2024</t>
        </is>
      </c>
      <c r="D147" s="45" t="inlineStr">
        <is>
          <t>ARG</t>
        </is>
      </c>
      <c r="E147" s="45" t="inlineStr">
        <is>
          <t>Government of Argentina and Government of the United States</t>
        </is>
      </c>
      <c r="F147" s="45" t="inlineStr">
        <is>
          <t>Signed by Foreign Minister Diana Mondino and US Under Secretary José W. Fernández</t>
        </is>
      </c>
      <c r="G147" s="45" t="inlineStr">
        <is>
          <t>minister_cabinet</t>
        </is>
      </c>
      <c r="H147" s="45" t="inlineStr">
        <is>
          <t>LatAm executive</t>
        </is>
      </c>
      <c r="I147" s="45" t="inlineStr">
        <is>
          <t>ARG</t>
        </is>
      </c>
      <c r="J147" s="45" t="inlineStr"/>
      <c r="K147" s="45" t="inlineStr">
        <is>
          <t>joint_declaration_or_mou</t>
        </is>
      </c>
      <c r="L147" s="45" t="inlineStr">
        <is>
          <t>Argentina-US MoU on critical minerals, Buenos Aires</t>
        </is>
      </c>
      <c r="M147" s="45" t="inlineStr">
        <is>
          <t>lithium;critical_minerals_general</t>
        </is>
      </c>
      <c r="N147" s="45" t="inlineStr">
        <is>
          <t>253090;282520;283691</t>
        </is>
      </c>
      <c r="O147" s="45" t="inlineStr">
        <is>
          <t>foreign_investment;processing_refining;energy_transition;financing_credit</t>
        </is>
      </c>
      <c r="P147" s="45" t="inlineStr">
        <is>
          <t>USA</t>
        </is>
      </c>
      <c r="Q147" s="45" t="inlineStr">
        <is>
          <t>not_mentioned</t>
        </is>
      </c>
      <c r="R147" s="45" t="inlineStr">
        <is>
          <t>positive</t>
        </is>
      </c>
      <c r="S147" s="45" t="inlineStr"/>
      <c r="T147" s="45" t="inlineStr">
        <is>
          <t>Argentina and the US signed an MoU to deepen cooperation on critical minerals, promoting investment in exploration, extraction, processing, refining and recycling and identifying co-financing opportunities, with Argentina linked to the Minerals Security Partnership.</t>
        </is>
      </c>
      <c r="U147" s="45" t="inlineStr">
        <is>
          <t>By signing this Memorandum, the United States and Argentina are advancing their shared interest in supporting the energy transition and deploying clean energy technologies</t>
        </is>
      </c>
      <c r="V147" s="45" t="inlineStr">
        <is>
          <t>By signing this Memorandum, the United States and Argentina are advancing their shared interest in supporting the energy transition and deploying clean energy technologies</t>
        </is>
      </c>
      <c r="W147" s="45" t="inlineStr">
        <is>
          <t>en</t>
        </is>
      </c>
      <c r="X147" s="45" t="inlineStr">
        <is>
          <t>Buenos Aires Times</t>
        </is>
      </c>
      <c r="Y147" s="45" t="inlineStr">
        <is>
          <t>https://batimes.com.ar/news/economy/argentina-united-states-ink-accord-for-cooperation-on-critical-minerals.phtml</t>
        </is>
      </c>
      <c r="Z147" s="45" t="inlineStr">
        <is>
          <t>news_media</t>
        </is>
      </c>
      <c r="AA147" s="45" t="inlineStr">
        <is>
          <t>secondary_reported</t>
        </is>
      </c>
      <c r="AB147" s="45" t="inlineStr">
        <is>
          <t>Quote is from US statement; Argentina collaborates with, but did not formally join, the MSP per Bloomberg Línea correction.</t>
        </is>
      </c>
      <c r="AC147" s="45" t="inlineStr">
        <is>
          <t>ARG</t>
        </is>
      </c>
    </row>
    <row r="148" ht="15" customHeight="1" s="24">
      <c r="A148" s="45" t="inlineStr">
        <is>
          <t>PS-0147</t>
        </is>
      </c>
      <c r="B148" s="45" t="inlineStr">
        <is>
          <t>2024-08-23</t>
        </is>
      </c>
      <c r="C148" s="45" t="inlineStr">
        <is>
          <t>2024</t>
        </is>
      </c>
      <c r="D148" s="45" t="inlineStr">
        <is>
          <t>ARG</t>
        </is>
      </c>
      <c r="E148" s="45" t="inlineStr">
        <is>
          <t>José W. Fernández</t>
        </is>
      </c>
      <c r="F148" s="45" t="inlineStr">
        <is>
          <t>U.S. Under Secretary of State for Economic Growth, Energy, and the Environment</t>
        </is>
      </c>
      <c r="G148" s="45" t="inlineStr">
        <is>
          <t>us_central_gov</t>
        </is>
      </c>
      <c r="H148" s="45" t="inlineStr">
        <is>
          <t>United States</t>
        </is>
      </c>
      <c r="I148" s="45" t="inlineStr">
        <is>
          <t>USA</t>
        </is>
      </c>
      <c r="J148" s="45" t="inlineStr">
        <is>
          <t>Biden administration</t>
        </is>
      </c>
      <c r="K148" s="45" t="inlineStr">
        <is>
          <t>joint_declaration_or_mou</t>
        </is>
      </c>
      <c r="L148" s="45" t="inlineStr">
        <is>
          <t>US-Argentina critical minerals MoU signing / MSP Forum Buenos Aires</t>
        </is>
      </c>
      <c r="M148" s="45" t="inlineStr">
        <is>
          <t>critical_minerals_general;lithium</t>
        </is>
      </c>
      <c r="N148" s="45" t="inlineStr">
        <is>
          <t>253090;282520;283691</t>
        </is>
      </c>
      <c r="O148" s="45" t="inlineStr">
        <is>
          <t>energy_transition;foreign_investment;processing_refining;financing_credit</t>
        </is>
      </c>
      <c r="P148" s="45" t="inlineStr">
        <is>
          <t>ARG</t>
        </is>
      </c>
      <c r="Q148" s="45" t="inlineStr">
        <is>
          <t>not_mentioned</t>
        </is>
      </c>
      <c r="R148" s="45" t="inlineStr">
        <is>
          <t>positive</t>
        </is>
      </c>
      <c r="S148" s="45" t="inlineStr">
        <is>
          <t>Minerals Security Partnership</t>
        </is>
      </c>
      <c r="T148" s="45" t="inlineStr">
        <is>
          <t>Fernández and FM Diana Mondino signed an MoU to promote trade and investment in exploration, extraction, processing, refining and recycling of critical minerals; the US said it advances shared interest in the energy transition.</t>
        </is>
      </c>
      <c r="U148" s="45" t="inlineStr">
        <is>
          <t>By signing this Memorandum, the United States and Argentina are advancing their shared interest in supporting the energy transition and deploying clean energy technologies.</t>
        </is>
      </c>
      <c r="V148" s="45" t="inlineStr">
        <is>
          <t>By signing this Memorandum, the United States and Argentina are advancing their shared interest in supporting the energy transition and deploying clean energy technologies.</t>
        </is>
      </c>
      <c r="W148" s="45" t="inlineStr">
        <is>
          <t>en</t>
        </is>
      </c>
      <c r="X148" s="45" t="inlineStr">
        <is>
          <t>Buenos Aires Times</t>
        </is>
      </c>
      <c r="Y148" s="45" t="inlineStr">
        <is>
          <t>https://batimes.com.ar/news/economy/argentina-united-states-ink-accord-for-cooperation-on-critical-minerals.phtml</t>
        </is>
      </c>
      <c r="Z148" s="45" t="inlineStr">
        <is>
          <t>news_media</t>
        </is>
      </c>
      <c r="AA148" s="45" t="inlineStr">
        <is>
          <t>secondary_reported</t>
        </is>
      </c>
      <c r="AB148" s="45" t="inlineStr"/>
      <c r="AC148" s="45" t="inlineStr">
        <is>
          <t>USA_gov</t>
        </is>
      </c>
    </row>
    <row r="149" ht="15" customHeight="1" s="24">
      <c r="A149" s="45" t="inlineStr">
        <is>
          <t>PS-0148</t>
        </is>
      </c>
      <c r="B149" s="45" t="inlineStr">
        <is>
          <t>2024-09-27</t>
        </is>
      </c>
      <c r="C149" s="45" t="inlineStr">
        <is>
          <t>2024</t>
        </is>
      </c>
      <c r="D149" s="45" t="inlineStr">
        <is>
          <t>ECU</t>
        </is>
      </c>
      <c r="E149" s="45" t="inlineStr">
        <is>
          <t>Minerals Security Partnership (co-chaired by U.S. Department of State)</t>
        </is>
      </c>
      <c r="F149" s="45" t="inlineStr">
        <is>
          <t>US-led multilateral minerals partnership; U.S. co-chair Under Sec. José W. Fernández</t>
        </is>
      </c>
      <c r="G149" s="45" t="inlineStr">
        <is>
          <t>us_central_gov</t>
        </is>
      </c>
      <c r="H149" s="45" t="inlineStr">
        <is>
          <t>United States</t>
        </is>
      </c>
      <c r="I149" s="45" t="inlineStr">
        <is>
          <t>USA</t>
        </is>
      </c>
      <c r="J149" s="45" t="inlineStr">
        <is>
          <t>Biden administration</t>
        </is>
      </c>
      <c r="K149" s="45" t="inlineStr">
        <is>
          <t>official_statement</t>
        </is>
      </c>
      <c r="L149" s="45" t="inlineStr">
        <is>
          <t>MSP Forum ministerial, UNGA week New York</t>
        </is>
      </c>
      <c r="M149" s="45" t="inlineStr">
        <is>
          <t>critical_minerals_general</t>
        </is>
      </c>
      <c r="N149" s="45" t="inlineStr"/>
      <c r="O149" s="45" t="inlineStr">
        <is>
          <t>foreign_investment;diplomatic_relations</t>
        </is>
      </c>
      <c r="P149" s="45" t="inlineStr">
        <is>
          <t>ECU;EU;other</t>
        </is>
      </c>
      <c r="Q149" s="45" t="inlineStr">
        <is>
          <t>not_mentioned</t>
        </is>
      </c>
      <c r="R149" s="45" t="inlineStr">
        <is>
          <t>positive</t>
        </is>
      </c>
      <c r="S149" s="45" t="inlineStr">
        <is>
          <t>Minerals Security Partnership Forum</t>
        </is>
      </c>
      <c r="T149" s="45" t="inlineStr">
        <is>
          <t>The US and EU welcomed seven new members to the MSP Forum, including Ecuador and the Dominican Republic, at a meeting co-chaired by US Under Secretary Fernández.</t>
        </is>
      </c>
      <c r="U149" s="45" t="inlineStr"/>
      <c r="V149" s="45" t="inlineStr"/>
      <c r="W149" s="45" t="inlineStr">
        <is>
          <t>en</t>
        </is>
      </c>
      <c r="X149" s="45" t="inlineStr">
        <is>
          <t>European Commission DG Trade</t>
        </is>
      </c>
      <c r="Y149" s="45" t="inlineStr">
        <is>
          <t>https://policy.trade.ec.europa.eu/news/eu-and-us-welcome-new-members-minerals-security-partnership-2024-09-27_pt</t>
        </is>
      </c>
      <c r="Z149" s="45" t="inlineStr">
        <is>
          <t>primary_official</t>
        </is>
      </c>
      <c r="AA149" s="45" t="inlineStr">
        <is>
          <t>primary_verified</t>
        </is>
      </c>
      <c r="AB149" s="45" t="inlineStr"/>
      <c r="AC149" s="45" t="inlineStr">
        <is>
          <t>USA_gov</t>
        </is>
      </c>
    </row>
    <row r="150" ht="15" customHeight="1" s="24">
      <c r="A150" s="45" t="inlineStr">
        <is>
          <t>PS-0149</t>
        </is>
      </c>
      <c r="B150" s="45" t="inlineStr">
        <is>
          <t>2024-09-30</t>
        </is>
      </c>
      <c r="C150" s="45" t="inlineStr">
        <is>
          <t>2024</t>
        </is>
      </c>
      <c r="D150" s="45" t="inlineStr">
        <is>
          <t>ARG</t>
        </is>
      </c>
      <c r="E150" s="45" t="inlineStr">
        <is>
          <t>Javier Milei</t>
        </is>
      </c>
      <c r="F150" s="45" t="inlineStr">
        <is>
          <t>President of Argentina</t>
        </is>
      </c>
      <c r="G150" s="45" t="inlineStr">
        <is>
          <t>head_of_state</t>
        </is>
      </c>
      <c r="H150" s="45" t="inlineStr">
        <is>
          <t>LatAm executive</t>
        </is>
      </c>
      <c r="I150" s="45" t="inlineStr">
        <is>
          <t>ARG</t>
        </is>
      </c>
      <c r="J150" s="45" t="inlineStr">
        <is>
          <t>La Libertad Avanza</t>
        </is>
      </c>
      <c r="K150" s="45" t="inlineStr">
        <is>
          <t>interview</t>
        </is>
      </c>
      <c r="L150" s="45" t="inlineStr">
        <is>
          <t>TV interview with Susana Giménez</t>
        </is>
      </c>
      <c r="M150" s="45" t="inlineStr">
        <is>
          <t>critical_minerals_general</t>
        </is>
      </c>
      <c r="N150" s="45" t="inlineStr"/>
      <c r="O150" s="45" t="inlineStr">
        <is>
          <t>diplomatic_relations;trade_deals_offtake</t>
        </is>
      </c>
      <c r="P150" s="45" t="inlineStr">
        <is>
          <t>CHN</t>
        </is>
      </c>
      <c r="Q150" s="45" t="inlineStr">
        <is>
          <t>positive</t>
        </is>
      </c>
      <c r="R150" s="45" t="inlineStr">
        <is>
          <t>not_mentioned</t>
        </is>
      </c>
      <c r="S150" s="45" t="inlineStr"/>
      <c r="T150" s="45" t="inlineStr">
        <is>
          <t>Milei called China a very interesting trade partner that demands nothing, said a meeting with the Chinese ambassador unblocked the currency swap, and confirmed a planned trip to China, marking a reversal from his campaign stance.</t>
        </is>
      </c>
      <c r="U150" s="45" t="inlineStr">
        <is>
          <t>China es un socio comercial muy interesante. No exigen nada, lo único que piden es que no los molesten</t>
        </is>
      </c>
      <c r="V150" s="45" t="inlineStr">
        <is>
          <t>China is a very interesting trade partner. They demand nothing; the only thing they ask is not to be bothered</t>
        </is>
      </c>
      <c r="W150" s="45" t="inlineStr">
        <is>
          <t>es</t>
        </is>
      </c>
      <c r="X150" s="45" t="inlineStr">
        <is>
          <t>La Capital (Rosario)</t>
        </is>
      </c>
      <c r="Y150" s="45" t="inlineStr">
        <is>
          <t>https://www.lacapital.com.ar/economia/javier-milei-y-el-sorpresivo-romance-china-no-exige-nada-n10156237.html</t>
        </is>
      </c>
      <c r="Z150" s="45" t="inlineStr">
        <is>
          <t>news_media</t>
        </is>
      </c>
      <c r="AA150" s="45" t="inlineStr">
        <is>
          <t>secondary_reported</t>
        </is>
      </c>
      <c r="AB150" s="45" t="inlineStr">
        <is>
          <t>General China stance, not mineral-specific; included per scope on Milei's China shift.</t>
        </is>
      </c>
      <c r="AC150" s="45" t="inlineStr">
        <is>
          <t>ARG</t>
        </is>
      </c>
    </row>
    <row r="151" ht="15" customHeight="1" s="24">
      <c r="A151" s="45" t="inlineStr">
        <is>
          <t>PS-0150</t>
        </is>
      </c>
      <c r="B151" s="45" t="inlineStr">
        <is>
          <t>2024-10-08</t>
        </is>
      </c>
      <c r="C151" s="45" t="inlineStr">
        <is>
          <t>2024</t>
        </is>
      </c>
      <c r="D151" s="45" t="inlineStr">
        <is>
          <t>MEX</t>
        </is>
      </c>
      <c r="E151" s="45" t="inlineStr">
        <is>
          <t>Claudia Sheinbaum</t>
        </is>
      </c>
      <c r="F151" s="45" t="inlineStr">
        <is>
          <t>President of Mexico</t>
        </is>
      </c>
      <c r="G151" s="45" t="inlineStr">
        <is>
          <t>head_of_state</t>
        </is>
      </c>
      <c r="H151" s="45" t="inlineStr">
        <is>
          <t>LatAm executive</t>
        </is>
      </c>
      <c r="I151" s="45" t="inlineStr">
        <is>
          <t>MEX</t>
        </is>
      </c>
      <c r="J151" s="45" t="inlineStr">
        <is>
          <t>Morena</t>
        </is>
      </c>
      <c r="K151" s="45" t="inlineStr">
        <is>
          <t>press_conference</t>
        </is>
      </c>
      <c r="L151" s="45" t="inlineStr">
        <is>
          <t>Mañanera on lithium technology and Plan Sonora</t>
        </is>
      </c>
      <c r="M151" s="45" t="inlineStr">
        <is>
          <t>lithium</t>
        </is>
      </c>
      <c r="N151" s="45" t="inlineStr">
        <is>
          <t>253090;282520;283691</t>
        </is>
      </c>
      <c r="O151" s="45" t="inlineStr">
        <is>
          <t>value_added_industrialization;state_control_nationalization;technology_transfer</t>
        </is>
      </c>
      <c r="P151" s="45" t="inlineStr">
        <is>
          <t>ARG</t>
        </is>
      </c>
      <c r="Q151" s="45" t="inlineStr">
        <is>
          <t>not_mentioned</t>
        </is>
      </c>
      <c r="R151" s="45" t="inlineStr">
        <is>
          <t>not_mentioned</t>
        </is>
      </c>
      <c r="S151" s="45" t="inlineStr">
        <is>
          <t>LitioMx;Plan Sonora;IMP;CAF</t>
        </is>
      </c>
      <c r="T151" s="45" t="inlineStr">
        <is>
          <t>Sheinbaum said Mexico's lithium has unique characteristics, mainly in Sonora clays, and that the goal is to use domestically developed technology to extract it and keep the whole production chain in Mexico rather than export it.</t>
        </is>
      </c>
      <c r="U151" s="45" t="inlineStr">
        <is>
          <t>Our goal is to implement this technology to extract lithium and establish the entire production chain within Mexico rather than exporting it.</t>
        </is>
      </c>
      <c r="V151" s="45" t="inlineStr">
        <is>
          <t>Our goal is to implement this technology to extract lithium and establish the entire production chain within Mexico rather than exporting it.</t>
        </is>
      </c>
      <c r="W151" s="45" t="inlineStr">
        <is>
          <t>en</t>
        </is>
      </c>
      <c r="X151" s="45" t="inlineStr">
        <is>
          <t>Mexico Business News</t>
        </is>
      </c>
      <c r="Y151" s="45" t="inlineStr">
        <is>
          <t>https://mexicobusiness.news/mining/news/sheinbaums-administration-develop-lithium-production-chain</t>
        </is>
      </c>
      <c r="Z151" s="45" t="inlineStr">
        <is>
          <t>news_media</t>
        </is>
      </c>
      <c r="AA151" s="45" t="inlineStr">
        <is>
          <t>secondary_reported</t>
        </is>
      </c>
      <c r="AB151" s="45" t="inlineStr">
        <is>
          <t>Quote is MBN English translation of Spanish original; statement date approximate (article date).</t>
        </is>
      </c>
      <c r="AC151" s="45" t="inlineStr">
        <is>
          <t>MEX</t>
        </is>
      </c>
    </row>
    <row r="152" ht="15" customHeight="1" s="24">
      <c r="A152" s="45" t="inlineStr">
        <is>
          <t>PS-0151</t>
        </is>
      </c>
      <c r="B152" s="45" t="inlineStr">
        <is>
          <t>2024-11</t>
        </is>
      </c>
      <c r="C152" s="45" t="inlineStr">
        <is>
          <t>2024</t>
        </is>
      </c>
      <c r="D152" s="45" t="inlineStr">
        <is>
          <t>BRA</t>
        </is>
      </c>
      <c r="E152" s="45" t="inlineStr">
        <is>
          <t>Indústrias Nucleares do Brasil (INB)</t>
        </is>
      </c>
      <c r="F152" s="45" t="inlineStr">
        <is>
          <t>State nuclear company</t>
        </is>
      </c>
      <c r="G152" s="45" t="inlineStr">
        <is>
          <t>state_company</t>
        </is>
      </c>
      <c r="H152" s="45" t="inlineStr">
        <is>
          <t>LatAm state company</t>
        </is>
      </c>
      <c r="I152" s="45" t="inlineStr">
        <is>
          <t>BRA</t>
        </is>
      </c>
      <c r="J152" s="45" t="inlineStr"/>
      <c r="K152" s="45" t="inlineStr">
        <is>
          <t>official_statement</t>
        </is>
      </c>
      <c r="L152" s="45" t="inlineStr">
        <is>
          <t>Sale of Mineração Taboca (Pitinga mine) to China's CNMC</t>
        </is>
      </c>
      <c r="M152" s="45" t="inlineStr">
        <is>
          <t>tin;niobium;tantalum;rare_earths</t>
        </is>
      </c>
      <c r="N152" s="45" t="inlineStr">
        <is>
          <t>261590;284690;720293;800110</t>
        </is>
      </c>
      <c r="O152" s="45" t="inlineStr">
        <is>
          <t>state_control_nationalization;foreign_investment;sovereignty</t>
        </is>
      </c>
      <c r="P152" s="45" t="inlineStr">
        <is>
          <t>CHN</t>
        </is>
      </c>
      <c r="Q152" s="45" t="inlineStr">
        <is>
          <t>neutral</t>
        </is>
      </c>
      <c r="R152" s="45" t="inlineStr">
        <is>
          <t>not_mentioned</t>
        </is>
      </c>
      <c r="S152" s="45" t="inlineStr">
        <is>
          <t>Mineração Taboca; Pitinga; CNMC; Minsur</t>
        </is>
      </c>
      <c r="T152" s="45" t="inlineStr">
        <is>
          <t>After Chinese state-owned CNMC agreed to buy Mineração Taboca for US$340m, INB stated the uranium in the Pitinga ore goes to tailings and that any uranium in Brazil is an INB monopoly requiring government authorisation.</t>
        </is>
      </c>
      <c r="U152" s="45" t="inlineStr"/>
      <c r="V152" s="45" t="inlineStr"/>
      <c r="W152" s="45" t="inlineStr">
        <is>
          <t>pt</t>
        </is>
      </c>
      <c r="X152" s="45" t="inlineStr">
        <is>
          <t>Poder360</t>
        </is>
      </c>
      <c r="Y152" s="45" t="inlineStr">
        <is>
          <t>https://www.poder360.com.br/poder-infra/mineracao-taboca-e-vendida-para-a-chinesa-cnmc-por-us-340-milhoes/</t>
        </is>
      </c>
      <c r="Z152" s="45" t="inlineStr">
        <is>
          <t>news_media</t>
        </is>
      </c>
      <c r="AA152" s="45" t="inlineStr">
        <is>
          <t>secondary_reported</t>
        </is>
      </c>
      <c r="AB152" s="45" t="inlineStr">
        <is>
          <t>Article dated 28 Nov 2024</t>
        </is>
      </c>
      <c r="AC152" s="45" t="inlineStr">
        <is>
          <t>BRA</t>
        </is>
      </c>
    </row>
    <row r="153" ht="15" customHeight="1" s="24">
      <c r="A153" s="45" t="inlineStr">
        <is>
          <t>PS-0152</t>
        </is>
      </c>
      <c r="B153" s="45" t="inlineStr">
        <is>
          <t>2024-11-08</t>
        </is>
      </c>
      <c r="C153" s="45" t="inlineStr">
        <is>
          <t>2024</t>
        </is>
      </c>
      <c r="D153" s="45" t="inlineStr">
        <is>
          <t>PER</t>
        </is>
      </c>
      <c r="E153" s="45" t="inlineStr">
        <is>
          <t>Elmer Schialer</t>
        </is>
      </c>
      <c r="F153" s="45" t="inlineStr">
        <is>
          <t>Minister of Foreign Affairs of Peru</t>
        </is>
      </c>
      <c r="G153" s="45" t="inlineStr">
        <is>
          <t>minister_cabinet</t>
        </is>
      </c>
      <c r="H153" s="45" t="inlineStr">
        <is>
          <t>LatAm executive</t>
        </is>
      </c>
      <c r="I153" s="45" t="inlineStr">
        <is>
          <t>PER</t>
        </is>
      </c>
      <c r="J153" s="45" t="inlineStr"/>
      <c r="K153" s="45" t="inlineStr">
        <is>
          <t>interview</t>
        </is>
      </c>
      <c r="L153" s="45" t="inlineStr">
        <is>
          <t>Ahead of Xi Jinping's APEC state visit and FTA upgrade signing</t>
        </is>
      </c>
      <c r="M153" s="45" t="inlineStr">
        <is>
          <t>mining_general</t>
        </is>
      </c>
      <c r="N153" s="45" t="inlineStr"/>
      <c r="O153" s="45" t="inlineStr">
        <is>
          <t>trade_deals_offtake;infrastructure_ports;foreign_investment</t>
        </is>
      </c>
      <c r="P153" s="45" t="inlineStr">
        <is>
          <t>CHN</t>
        </is>
      </c>
      <c r="Q153" s="45" t="inlineStr">
        <is>
          <t>positive</t>
        </is>
      </c>
      <c r="R153" s="45" t="inlineStr">
        <is>
          <t>not_mentioned</t>
        </is>
      </c>
      <c r="S153" s="45" t="inlineStr">
        <is>
          <t>Puerto de Chancay</t>
        </is>
      </c>
      <c r="T153" s="45" t="inlineStr">
        <is>
          <t>Ahead of Xi's visit, Schialer said the upgraded FTA with China, Peru's main trading partner, would boost trade dynamism and that Chancay would take Peru's trade to another level, citing a US$54 billion mining portfolio and China's interest in infrastructure.</t>
        </is>
      </c>
      <c r="U153" s="45" t="inlineStr">
        <is>
          <t>The port will launch Peru to another level of trade</t>
        </is>
      </c>
      <c r="V153" s="45" t="inlineStr">
        <is>
          <t>The port will launch Peru to another level of trade</t>
        </is>
      </c>
      <c r="W153" s="45" t="inlineStr">
        <is>
          <t>en</t>
        </is>
      </c>
      <c r="X153" s="45" t="inlineStr">
        <is>
          <t>Reuters via bilaterals.org</t>
        </is>
      </c>
      <c r="Y153" s="45" t="inlineStr">
        <is>
          <t>https://bilaterals.org/peru-and-china-to-sign</t>
        </is>
      </c>
      <c r="Z153" s="45" t="inlineStr">
        <is>
          <t>news_media</t>
        </is>
      </c>
      <c r="AA153" s="45" t="inlineStr">
        <is>
          <t>secondary_reported</t>
        </is>
      </c>
      <c r="AB153" s="45" t="inlineStr">
        <is>
          <t>Date approximate (8-9 Nov 2024); English translation of interview</t>
        </is>
      </c>
      <c r="AC153" s="45" t="inlineStr">
        <is>
          <t>PER</t>
        </is>
      </c>
    </row>
    <row r="154" ht="15" customHeight="1" s="24">
      <c r="A154" s="45" t="inlineStr">
        <is>
          <t>PS-0153</t>
        </is>
      </c>
      <c r="B154" s="45" t="inlineStr">
        <is>
          <t>2024-11-14</t>
        </is>
      </c>
      <c r="C154" s="45" t="inlineStr">
        <is>
          <t>2024</t>
        </is>
      </c>
      <c r="D154" s="45" t="inlineStr">
        <is>
          <t>PER</t>
        </is>
      </c>
      <c r="E154" s="45" t="inlineStr">
        <is>
          <t>Xi Jinping</t>
        </is>
      </c>
      <c r="F154" s="45" t="inlineStr">
        <is>
          <t>President of the People's Republic of China</t>
        </is>
      </c>
      <c r="G154" s="45" t="inlineStr">
        <is>
          <t>head_of_state</t>
        </is>
      </c>
      <c r="H154" s="45" t="inlineStr">
        <is>
          <t>China</t>
        </is>
      </c>
      <c r="I154" s="45" t="inlineStr">
        <is>
          <t>CHN</t>
        </is>
      </c>
      <c r="J154" s="45" t="inlineStr">
        <is>
          <t>CCP</t>
        </is>
      </c>
      <c r="K154" s="45" t="inlineStr">
        <is>
          <t>official_statement</t>
        </is>
      </c>
      <c r="L154" s="45" t="inlineStr">
        <is>
          <t>Arrival statement at Callao Air Base, Lima; state visit and APEC 2024</t>
        </is>
      </c>
      <c r="M154" s="45" t="inlineStr">
        <is>
          <t>mining_general</t>
        </is>
      </c>
      <c r="N154" s="45" t="inlineStr"/>
      <c r="O154" s="45" t="inlineStr">
        <is>
          <t>infrastructure_ports;foreign_investment;diplomatic_relations</t>
        </is>
      </c>
      <c r="P154" s="45" t="inlineStr">
        <is>
          <t>PER</t>
        </is>
      </c>
      <c r="Q154" s="45" t="inlineStr">
        <is>
          <t>positive</t>
        </is>
      </c>
      <c r="R154" s="45" t="inlineStr">
        <is>
          <t>not_mentioned</t>
        </is>
      </c>
      <c r="S154" s="45" t="inlineStr">
        <is>
          <t>Chancay Port</t>
        </is>
      </c>
      <c r="T154" s="45" t="inlineStr">
        <is>
          <t>In his written arrival statement in Lima, Xi said major cooperation projects in mining and infrastructure had made steady progress, noted China had been Peru's largest trading partner for ten years, and said he would attend the Chancay port inauguration with Boluarte.</t>
        </is>
      </c>
      <c r="U154" s="45" t="inlineStr">
        <is>
          <t>steady progress has been made on major cooperation projects in fields such as mining and infrastructure construction</t>
        </is>
      </c>
      <c r="V154" s="45" t="inlineStr">
        <is>
          <t>steady progress has been made on major cooperation projects in fields such as mining and infrastructure construction</t>
        </is>
      </c>
      <c r="W154" s="45" t="inlineStr">
        <is>
          <t>en</t>
        </is>
      </c>
      <c r="X154" s="45" t="inlineStr">
        <is>
          <t>Ministry of Foreign Affairs of the PRC</t>
        </is>
      </c>
      <c r="Y154" s="45" t="inlineStr">
        <is>
          <t>https://www.mfa.gov.cn/eng/xw/zyxw/202411/t20241118_11528090.html</t>
        </is>
      </c>
      <c r="Z154" s="45" t="inlineStr">
        <is>
          <t>primary_official</t>
        </is>
      </c>
      <c r="AA154" s="45" t="inlineStr">
        <is>
          <t>primary_verified</t>
        </is>
      </c>
      <c r="AB154" s="45" t="inlineStr">
        <is>
          <t>Arrival date 14 Nov 2024 (Lima local time).</t>
        </is>
      </c>
      <c r="AC154" s="45" t="inlineStr">
        <is>
          <t>CHN_gov</t>
        </is>
      </c>
    </row>
    <row r="155" ht="15" customHeight="1" s="24">
      <c r="A155" s="45" t="inlineStr">
        <is>
          <t>PS-0154</t>
        </is>
      </c>
      <c r="B155" s="45" t="inlineStr">
        <is>
          <t>2024-11-14</t>
        </is>
      </c>
      <c r="C155" s="45" t="inlineStr">
        <is>
          <t>2024</t>
        </is>
      </c>
      <c r="D155" s="45" t="inlineStr">
        <is>
          <t>PER</t>
        </is>
      </c>
      <c r="E155" s="45" t="inlineStr">
        <is>
          <t>Xi Jinping</t>
        </is>
      </c>
      <c r="F155" s="45" t="inlineStr">
        <is>
          <t>President of the People's Republic of China</t>
        </is>
      </c>
      <c r="G155" s="45" t="inlineStr">
        <is>
          <t>head_of_state</t>
        </is>
      </c>
      <c r="H155" s="45" t="inlineStr">
        <is>
          <t>China</t>
        </is>
      </c>
      <c r="I155" s="45" t="inlineStr">
        <is>
          <t>CHN</t>
        </is>
      </c>
      <c r="J155" s="45" t="inlineStr">
        <is>
          <t>CCP</t>
        </is>
      </c>
      <c r="K155" s="45" t="inlineStr">
        <is>
          <t>op_ed</t>
        </is>
      </c>
      <c r="L155" s="45" t="inlineStr">
        <is>
          <t>Signed article in Peruvian media ahead of state visit and APEC Lima 2024</t>
        </is>
      </c>
      <c r="M155" s="45" t="inlineStr">
        <is>
          <t>copper;mining_general</t>
        </is>
      </c>
      <c r="N155" s="45" t="inlineStr">
        <is>
          <t>260300;740200;740311</t>
        </is>
      </c>
      <c r="O155" s="45" t="inlineStr">
        <is>
          <t>foreign_investment;infrastructure_ports;diplomatic_relations</t>
        </is>
      </c>
      <c r="P155" s="45" t="inlineStr">
        <is>
          <t>PER</t>
        </is>
      </c>
      <c r="Q155" s="45" t="inlineStr">
        <is>
          <t>positive</t>
        </is>
      </c>
      <c r="R155" s="45" t="inlineStr">
        <is>
          <t>not_mentioned</t>
        </is>
      </c>
      <c r="S155" s="45" t="inlineStr">
        <is>
          <t>Las Bambas; MMG; Chancay Port</t>
        </is>
      </c>
      <c r="T155" s="45" t="inlineStr">
        <is>
          <t>In a signed article titled 'China-Peru Friendship: Setting Sail Toward an Even Brighter Future', Xi cited the Chinese-invested Las Bambas copper mine as contributing about 1% of Peru's GDP and creating tens of thousands of jobs, and said Chancay port's first phase would cut shipping time to China to 23 days.</t>
        </is>
      </c>
      <c r="U155" s="45" t="inlineStr">
        <is>
          <t>The Las Bambas copper mine, a project with investment from Chinese enterprises, contributes to about 1 percent of Peru's GDP, creating tens of thousands of job opportunities.</t>
        </is>
      </c>
      <c r="V155" s="45" t="inlineStr">
        <is>
          <t>The Las Bambas copper mine, a project with investment from Chinese enterprises, contributes to about 1 percent of Peru's GDP, creating tens of thousands of job opportunities.</t>
        </is>
      </c>
      <c r="W155" s="45" t="inlineStr">
        <is>
          <t>en</t>
        </is>
      </c>
      <c r="X155" s="45" t="inlineStr">
        <is>
          <t>Ministry of Foreign Affairs of the PRC</t>
        </is>
      </c>
      <c r="Y155" s="45" t="inlineStr">
        <is>
          <t>https://www.mfa.gov.cn/eng/xw/zyxw/202411/t20241114_11526463.html</t>
        </is>
      </c>
      <c r="Z155" s="45" t="inlineStr">
        <is>
          <t>primary_official</t>
        </is>
      </c>
      <c r="AA155" s="45" t="inlineStr">
        <is>
          <t>primary_verified</t>
        </is>
      </c>
      <c r="AB155" s="45" t="inlineStr">
        <is>
          <t>Published in Peruvian newspaper El Peruano (per MFA); date per MFA posting, print date may be 13 Nov. Las Bambas is operated by MMG.</t>
        </is>
      </c>
      <c r="AC155" s="45" t="inlineStr">
        <is>
          <t>CHN_gov</t>
        </is>
      </c>
    </row>
    <row r="156" ht="15" customHeight="1" s="24">
      <c r="A156" s="45" t="inlineStr">
        <is>
          <t>PS-0155</t>
        </is>
      </c>
      <c r="B156" s="45" t="inlineStr">
        <is>
          <t>2024-11-14</t>
        </is>
      </c>
      <c r="C156" s="45" t="inlineStr">
        <is>
          <t>2024</t>
        </is>
      </c>
      <c r="D156" s="45" t="inlineStr">
        <is>
          <t>PER</t>
        </is>
      </c>
      <c r="E156" s="45" t="inlineStr">
        <is>
          <t>Xi Jinping</t>
        </is>
      </c>
      <c r="F156" s="45" t="inlineStr">
        <is>
          <t>President of the People's Republic of China</t>
        </is>
      </c>
      <c r="G156" s="45" t="inlineStr">
        <is>
          <t>head_of_state</t>
        </is>
      </c>
      <c r="H156" s="45" t="inlineStr">
        <is>
          <t>China</t>
        </is>
      </c>
      <c r="I156" s="45" t="inlineStr">
        <is>
          <t>CHN</t>
        </is>
      </c>
      <c r="J156" s="45" t="inlineStr">
        <is>
          <t>CCP</t>
        </is>
      </c>
      <c r="K156" s="45" t="inlineStr">
        <is>
          <t>official_statement</t>
        </is>
      </c>
      <c r="L156" s="45" t="inlineStr">
        <is>
          <t>Talks with President Dina Boluarte at Government Palace, Lima; state visit / APEC 2024</t>
        </is>
      </c>
      <c r="M156" s="45" t="inlineStr">
        <is>
          <t>mining_general</t>
        </is>
      </c>
      <c r="N156" s="45" t="inlineStr"/>
      <c r="O156" s="45" t="inlineStr">
        <is>
          <t>infrastructure_ports;energy_transition;diplomatic_relations</t>
        </is>
      </c>
      <c r="P156" s="45" t="inlineStr">
        <is>
          <t>PER</t>
        </is>
      </c>
      <c r="Q156" s="45" t="inlineStr">
        <is>
          <t>positive</t>
        </is>
      </c>
      <c r="R156" s="45" t="inlineStr">
        <is>
          <t>not_mentioned</t>
        </is>
      </c>
      <c r="S156" s="45" t="inlineStr">
        <is>
          <t>Chancay Port</t>
        </is>
      </c>
      <c r="T156" s="45" t="inlineStr">
        <is>
          <t>In China's readout of talks in Lima, Xi said both sides should promote cooperation in traditional areas such as minerals and energy, infrastructure and transport, and proposed developing a China-Latin America land-sea corridor starting from Chancay port.</t>
        </is>
      </c>
      <c r="U156" s="45" t="inlineStr">
        <is>
          <t>Both sides should promote cooperation in traditional areas such as minerals and energy, infrastructure, and transportation.</t>
        </is>
      </c>
      <c r="V156" s="45" t="inlineStr">
        <is>
          <t>Both sides should promote cooperation in traditional areas such as minerals and energy, infrastructure, and transportation.</t>
        </is>
      </c>
      <c r="W156" s="45" t="inlineStr">
        <is>
          <t>en</t>
        </is>
      </c>
      <c r="X156" s="45" t="inlineStr">
        <is>
          <t>Ministry of Foreign Affairs of the PRC</t>
        </is>
      </c>
      <c r="Y156" s="45" t="inlineStr">
        <is>
          <t>https://www.fmprc.gov.cn/eng/xw/zyxw/202411/t20241118_11528098.html</t>
        </is>
      </c>
      <c r="Z156" s="45" t="inlineStr">
        <is>
          <t>primary_official</t>
        </is>
      </c>
      <c r="AA156" s="45" t="inlineStr">
        <is>
          <t>primary_verified</t>
        </is>
      </c>
      <c r="AB156" s="45" t="inlineStr">
        <is>
          <t>Distinct from the joint statement record (2024-11-15) and the Chancay inauguration record in PER.jsonl. Quote as rendered by the fetch tool; check exact MFA English wording.</t>
        </is>
      </c>
      <c r="AC156" s="45" t="inlineStr">
        <is>
          <t>CHN_gov</t>
        </is>
      </c>
    </row>
    <row r="157" ht="15" customHeight="1" s="24">
      <c r="A157" s="45" t="inlineStr">
        <is>
          <t>PS-0156</t>
        </is>
      </c>
      <c r="B157" s="45" t="inlineStr">
        <is>
          <t>2024-11-15</t>
        </is>
      </c>
      <c r="C157" s="45" t="inlineStr">
        <is>
          <t>2024</t>
        </is>
      </c>
      <c r="D157" s="45" t="inlineStr">
        <is>
          <t>PER</t>
        </is>
      </c>
      <c r="E157" s="45" t="inlineStr">
        <is>
          <t>Dina Boluarte</t>
        </is>
      </c>
      <c r="F157" s="45" t="inlineStr">
        <is>
          <t>President of Peru</t>
        </is>
      </c>
      <c r="G157" s="45" t="inlineStr">
        <is>
          <t>head_of_state</t>
        </is>
      </c>
      <c r="H157" s="45" t="inlineStr">
        <is>
          <t>LatAm executive</t>
        </is>
      </c>
      <c r="I157" s="45" t="inlineStr">
        <is>
          <t>PER</t>
        </is>
      </c>
      <c r="J157" s="45" t="inlineStr"/>
      <c r="K157" s="45" t="inlineStr">
        <is>
          <t>speech</t>
        </is>
      </c>
      <c r="L157" s="45" t="inlineStr">
        <is>
          <t>Chancay port inauguration with Xi Jinping</t>
        </is>
      </c>
      <c r="M157" s="45" t="inlineStr">
        <is>
          <t>mining_general</t>
        </is>
      </c>
      <c r="N157" s="45" t="inlineStr"/>
      <c r="O157" s="45" t="inlineStr">
        <is>
          <t>infrastructure_ports;diplomatic_relations</t>
        </is>
      </c>
      <c r="P157" s="45" t="inlineStr">
        <is>
          <t>CHN</t>
        </is>
      </c>
      <c r="Q157" s="45" t="inlineStr">
        <is>
          <t>positive</t>
        </is>
      </c>
      <c r="R157" s="45" t="inlineStr">
        <is>
          <t>not_mentioned</t>
        </is>
      </c>
      <c r="S157" s="45" t="inlineStr">
        <is>
          <t>Puerto de Chancay; Cosco Shipping</t>
        </is>
      </c>
      <c r="T157" s="45" t="inlineStr">
        <is>
          <t>Boluarte described Chancay as a magnificent project jointly built by Peru and China and a crucial step toward Peru becoming an international shipping and trade center.</t>
        </is>
      </c>
      <c r="U157" s="45" t="inlineStr"/>
      <c r="V157" s="45" t="inlineStr"/>
      <c r="W157" s="45" t="inlineStr">
        <is>
          <t>es</t>
        </is>
      </c>
      <c r="X157" s="45" t="inlineStr">
        <is>
          <t>Ministry of Foreign Affairs of the PRC</t>
        </is>
      </c>
      <c r="Y157" s="45" t="inlineStr">
        <is>
          <t>https://www.fmprc.gov.cn/eng/xw/zyxw/202411/t20241116_11527528.html</t>
        </is>
      </c>
      <c r="Z157" s="45" t="inlineStr">
        <is>
          <t>primary_official</t>
        </is>
      </c>
      <c r="AA157" s="45" t="inlineStr">
        <is>
          <t>primary_verified</t>
        </is>
      </c>
      <c r="AB157" s="45" t="inlineStr">
        <is>
          <t>Only Chinese MFA English rendering seen, so quote fields left empty; port record</t>
        </is>
      </c>
      <c r="AC157" s="45" t="inlineStr">
        <is>
          <t>PER</t>
        </is>
      </c>
    </row>
    <row r="158" ht="15" customHeight="1" s="24">
      <c r="A158" s="45" t="inlineStr">
        <is>
          <t>PS-0157</t>
        </is>
      </c>
      <c r="B158" s="45" t="inlineStr">
        <is>
          <t>2024-11-15</t>
        </is>
      </c>
      <c r="C158" s="45" t="inlineStr">
        <is>
          <t>2024</t>
        </is>
      </c>
      <c r="D158" s="45" t="inlineStr">
        <is>
          <t>PER</t>
        </is>
      </c>
      <c r="E158" s="45" t="inlineStr">
        <is>
          <t>Xi Jinping</t>
        </is>
      </c>
      <c r="F158" s="45" t="inlineStr">
        <is>
          <t>President of the People's Republic of China</t>
        </is>
      </c>
      <c r="G158" s="45" t="inlineStr">
        <is>
          <t>head_of_state</t>
        </is>
      </c>
      <c r="H158" s="45" t="inlineStr">
        <is>
          <t>China</t>
        </is>
      </c>
      <c r="I158" s="45" t="inlineStr">
        <is>
          <t>CHN</t>
        </is>
      </c>
      <c r="J158" s="45" t="inlineStr">
        <is>
          <t>CCP</t>
        </is>
      </c>
      <c r="K158" s="45" t="inlineStr">
        <is>
          <t>joint_declaration_or_mou</t>
        </is>
      </c>
      <c r="L158" s="45" t="inlineStr">
        <is>
          <t>State visit to Peru / APEC Lima 2024; joint statement with President Dina Boluarte</t>
        </is>
      </c>
      <c r="M158" s="45" t="inlineStr">
        <is>
          <t>mining_general</t>
        </is>
      </c>
      <c r="N158" s="45" t="inlineStr"/>
      <c r="O158" s="45" t="inlineStr">
        <is>
          <t>infrastructure_ports;foreign_investment;diplomatic_relations</t>
        </is>
      </c>
      <c r="P158" s="45" t="inlineStr">
        <is>
          <t>PER</t>
        </is>
      </c>
      <c r="Q158" s="45" t="inlineStr">
        <is>
          <t>positive</t>
        </is>
      </c>
      <c r="R158" s="45" t="inlineStr">
        <is>
          <t>not_mentioned</t>
        </is>
      </c>
      <c r="S158" s="45" t="inlineStr">
        <is>
          <t>Chancay Port</t>
        </is>
      </c>
      <c r="T158" s="45" t="inlineStr">
        <is>
          <t>The China-Peru joint statement on deepening the comprehensive strategic partnership says cooperation will deepen in strategic sectors such as infrastructure, energy and mining, lists minerals among key cooperation areas under the Belt and Road framework, and congratulates the opening of Chancay port.</t>
        </is>
      </c>
      <c r="U158" s="45" t="inlineStr">
        <is>
          <t>这将深化双方在基础设施、能源和矿业等战略领域的合作关系。</t>
        </is>
      </c>
      <c r="V158" s="45" t="inlineStr">
        <is>
          <t>This will deepen the two sides' cooperation in strategic fields such as infrastructure, energy and mining.</t>
        </is>
      </c>
      <c r="W158" s="45" t="inlineStr">
        <is>
          <t>zh</t>
        </is>
      </c>
      <c r="X158" s="45" t="inlineStr">
        <is>
          <t>Ministry of Foreign Affairs of the PRC</t>
        </is>
      </c>
      <c r="Y158" s="45" t="inlineStr">
        <is>
          <t>https://www.mfa.gov.cn/web/ziliao_674904/1179_674909/202412/t20241218_11497859.shtml</t>
        </is>
      </c>
      <c r="Z158" s="45" t="inlineStr">
        <is>
          <t>primary_official</t>
        </is>
      </c>
      <c r="AA158" s="45" t="inlineStr">
        <is>
          <t>primary_verified</t>
        </is>
      </c>
      <c r="AB158" s="45" t="inlineStr">
        <is>
          <t>Joint statement of Xi and Boluarte dated 2024-11-15; posted on MFA site 2024-12-18; also in People's Daily 2024-11-16.</t>
        </is>
      </c>
      <c r="AC158" s="45" t="inlineStr">
        <is>
          <t>CHN_gov</t>
        </is>
      </c>
    </row>
    <row r="159" ht="15" customHeight="1" s="24">
      <c r="A159" s="45" t="inlineStr">
        <is>
          <t>PS-0158</t>
        </is>
      </c>
      <c r="B159" s="45" t="inlineStr">
        <is>
          <t>2024-11-15</t>
        </is>
      </c>
      <c r="C159" s="45" t="inlineStr">
        <is>
          <t>2024</t>
        </is>
      </c>
      <c r="D159" s="45" t="inlineStr">
        <is>
          <t>PER</t>
        </is>
      </c>
      <c r="E159" s="45" t="inlineStr">
        <is>
          <t>Xi Jinping</t>
        </is>
      </c>
      <c r="F159" s="45" t="inlineStr">
        <is>
          <t>President of the People's Republic of China</t>
        </is>
      </c>
      <c r="G159" s="45" t="inlineStr">
        <is>
          <t>china_central_gov</t>
        </is>
      </c>
      <c r="H159" s="45" t="inlineStr">
        <is>
          <t>China</t>
        </is>
      </c>
      <c r="I159" s="45" t="inlineStr">
        <is>
          <t>CHN</t>
        </is>
      </c>
      <c r="J159" s="45" t="inlineStr">
        <is>
          <t>CCP</t>
        </is>
      </c>
      <c r="K159" s="45" t="inlineStr">
        <is>
          <t>speech</t>
        </is>
      </c>
      <c r="L159" s="45" t="inlineStr">
        <is>
          <t>Chancay port inauguration by video link, Lima state visit / APEC 2024</t>
        </is>
      </c>
      <c r="M159" s="45" t="inlineStr">
        <is>
          <t>mining_general</t>
        </is>
      </c>
      <c r="N159" s="45" t="inlineStr"/>
      <c r="O159" s="45" t="inlineStr">
        <is>
          <t>infrastructure_ports;diplomatic_relations</t>
        </is>
      </c>
      <c r="P159" s="45" t="inlineStr">
        <is>
          <t>CHN</t>
        </is>
      </c>
      <c r="Q159" s="45" t="inlineStr">
        <is>
          <t>positive</t>
        </is>
      </c>
      <c r="R159" s="45" t="inlineStr">
        <is>
          <t>not_mentioned</t>
        </is>
      </c>
      <c r="S159" s="45" t="inlineStr">
        <is>
          <t>Puerto de Chancay; Cosco Shipping; Belt and Road Initiative</t>
        </is>
      </c>
      <c r="T159" s="45" t="inlineStr">
        <is>
          <t>Xi, inaugurating Chancay with Boluarte by video link, called it South America's first smart, green port and the start of a new-era 'Inca Trail', presenting it as Belt and Road success in Peru.</t>
        </is>
      </c>
      <c r="U159" s="45" t="inlineStr">
        <is>
          <t>From Chancay to Shanghai, the Belt and Road Initiative is bearing fruit in Peru before our eyes.</t>
        </is>
      </c>
      <c r="V159" s="45" t="inlineStr">
        <is>
          <t>From Chancay to Shanghai, the Belt and Road Initiative is bearing fruit in Peru before our eyes.</t>
        </is>
      </c>
      <c r="W159" s="45" t="inlineStr">
        <is>
          <t>en</t>
        </is>
      </c>
      <c r="X159" s="45" t="inlineStr">
        <is>
          <t>Ministry of Foreign Affairs of the PRC</t>
        </is>
      </c>
      <c r="Y159" s="45" t="inlineStr">
        <is>
          <t>https://www.fmprc.gov.cn/eng/xw/zyxw/202411/t20241116_11527528.html</t>
        </is>
      </c>
      <c r="Z159" s="45" t="inlineStr">
        <is>
          <t>primary_official</t>
        </is>
      </c>
      <c r="AA159" s="45" t="inlineStr">
        <is>
          <t>primary_verified</t>
        </is>
      </c>
      <c r="AB159" s="45" t="inlineStr">
        <is>
          <t>Official English translation; port record, minerals relevance indirect</t>
        </is>
      </c>
      <c r="AC159" s="45" t="inlineStr">
        <is>
          <t>PER</t>
        </is>
      </c>
    </row>
    <row r="160" ht="15" customHeight="1" s="24">
      <c r="A160" s="45" t="inlineStr">
        <is>
          <t>PS-0159</t>
        </is>
      </c>
      <c r="B160" s="45" t="inlineStr">
        <is>
          <t>2024-11-18</t>
        </is>
      </c>
      <c r="C160" s="45" t="inlineStr">
        <is>
          <t>2024</t>
        </is>
      </c>
      <c r="D160" s="45" t="inlineStr">
        <is>
          <t>PER</t>
        </is>
      </c>
      <c r="E160" s="45" t="inlineStr">
        <is>
          <t>Desilú León</t>
        </is>
      </c>
      <c r="F160" s="45" t="inlineStr">
        <is>
          <t>Minister of Foreign Trade and Tourism of Peru</t>
        </is>
      </c>
      <c r="G160" s="45" t="inlineStr">
        <is>
          <t>minister_cabinet</t>
        </is>
      </c>
      <c r="H160" s="45" t="inlineStr">
        <is>
          <t>LatAm executive</t>
        </is>
      </c>
      <c r="I160" s="45" t="inlineStr">
        <is>
          <t>PER</t>
        </is>
      </c>
      <c r="J160" s="45" t="inlineStr"/>
      <c r="K160" s="45" t="inlineStr">
        <is>
          <t>press_conference</t>
        </is>
      </c>
      <c r="L160" s="45" t="inlineStr">
        <is>
          <t>Response to Claver-Carone 60% tariff proposal on Chancay</t>
        </is>
      </c>
      <c r="M160" s="45" t="inlineStr">
        <is>
          <t>mining_general</t>
        </is>
      </c>
      <c r="N160" s="45" t="inlineStr"/>
      <c r="O160" s="45" t="inlineStr">
        <is>
          <t>tariffs_trade_policy;infrastructure_ports;foreign_investment</t>
        </is>
      </c>
      <c r="P160" s="45" t="inlineStr">
        <is>
          <t>USA;CHN;BRA</t>
        </is>
      </c>
      <c r="Q160" s="45" t="inlineStr">
        <is>
          <t>neutral</t>
        </is>
      </c>
      <c r="R160" s="45" t="inlineStr">
        <is>
          <t>neutral</t>
        </is>
      </c>
      <c r="S160" s="45" t="inlineStr">
        <is>
          <t>Puerto de Chancay</t>
        </is>
      </c>
      <c r="T160" s="45" t="inlineStr">
        <is>
          <t>León downplayed the proposed US tariff, saying the US was invited to use Chancay but was not necessarily among its users, and that many countries saw an opportunity; ministers pointed to US$50 billion in mining projects open to US investment.</t>
        </is>
      </c>
      <c r="U160" s="45" t="inlineStr">
        <is>
          <t>Estados Unidos, si bien está invitado a poder usar el Megapuerto Chancay, no necesariamente es uno de los países que lo va a usar.</t>
        </is>
      </c>
      <c r="V160" s="45" t="inlineStr">
        <is>
          <t>The United States, although invited to use the Chancay Megaport, is not necessarily one of the countries that will use it.</t>
        </is>
      </c>
      <c r="W160" s="45" t="inlineStr">
        <is>
          <t>es</t>
        </is>
      </c>
      <c r="X160" s="45" t="inlineStr">
        <is>
          <t>Peru Retail</t>
        </is>
      </c>
      <c r="Y160" s="45" t="inlineStr">
        <is>
          <t>https://www.peru-retail.com/megapuerto-de-chancay-ministros-responden-a-propuesta-de-asesor-de-trump-sobre-aranceles-de-60/</t>
        </is>
      </c>
      <c r="Z160" s="45" t="inlineStr">
        <is>
          <t>news_media</t>
        </is>
      </c>
      <c r="AA160" s="45" t="inlineStr">
        <is>
          <t>secondary_reported</t>
        </is>
      </c>
      <c r="AB160" s="45" t="inlineStr"/>
      <c r="AC160" s="45" t="inlineStr">
        <is>
          <t>PER</t>
        </is>
      </c>
    </row>
    <row r="161" ht="15" customHeight="1" s="24">
      <c r="A161" s="45" t="inlineStr">
        <is>
          <t>PS-0160</t>
        </is>
      </c>
      <c r="B161" s="45" t="inlineStr">
        <is>
          <t>2024-11-18</t>
        </is>
      </c>
      <c r="C161" s="45" t="inlineStr">
        <is>
          <t>2024</t>
        </is>
      </c>
      <c r="D161" s="45" t="inlineStr">
        <is>
          <t>PER</t>
        </is>
      </c>
      <c r="E161" s="45" t="inlineStr">
        <is>
          <t>Mauricio Claver-Carone</t>
        </is>
      </c>
      <c r="F161" s="45" t="inlineStr">
        <is>
          <t>Incoming Special Envoy for Latin America (Trump transition)</t>
        </is>
      </c>
      <c r="G161" s="45" t="inlineStr">
        <is>
          <t>us_central_gov</t>
        </is>
      </c>
      <c r="H161" s="45" t="inlineStr">
        <is>
          <t>United States</t>
        </is>
      </c>
      <c r="I161" s="45" t="inlineStr">
        <is>
          <t>USA</t>
        </is>
      </c>
      <c r="J161" s="45" t="inlineStr">
        <is>
          <t>Republican</t>
        </is>
      </c>
      <c r="K161" s="45" t="inlineStr">
        <is>
          <t>interview</t>
        </is>
      </c>
      <c r="L161" s="45" t="inlineStr">
        <is>
          <t>Reaction to Chancay port inauguration</t>
        </is>
      </c>
      <c r="M161" s="45" t="inlineStr">
        <is>
          <t>mining_general</t>
        </is>
      </c>
      <c r="N161" s="45" t="inlineStr"/>
      <c r="O161" s="45" t="inlineStr">
        <is>
          <t>tariffs_trade_policy;geopolitics_security;infrastructure_ports</t>
        </is>
      </c>
      <c r="P161" s="45" t="inlineStr">
        <is>
          <t>CHN;PER</t>
        </is>
      </c>
      <c r="Q161" s="45" t="inlineStr">
        <is>
          <t>negative</t>
        </is>
      </c>
      <c r="R161" s="45" t="inlineStr">
        <is>
          <t>not_mentioned</t>
        </is>
      </c>
      <c r="S161" s="45" t="inlineStr">
        <is>
          <t>Puerto de Chancay; Cosco Shipping</t>
        </is>
      </c>
      <c r="T161" s="45" t="inlineStr">
        <is>
          <t>Claver-Carone proposed that any product transiting Chancay or other Chinese-owned or controlled ports in the region face a 60% tariff as if it were Chinese, to prevent transshipment.</t>
        </is>
      </c>
      <c r="U161" s="45" t="inlineStr">
        <is>
          <t>Any product passing through Chancay or any Chinese-owned or controlled port in the region should be subject to a 60% tariff as if the product were from China.</t>
        </is>
      </c>
      <c r="V161" s="45" t="inlineStr">
        <is>
          <t>Any product passing through Chancay or any Chinese-owned or controlled port in the region should be subject to a 60% tariff as if the product were from China.</t>
        </is>
      </c>
      <c r="W161" s="45" t="inlineStr">
        <is>
          <t>en</t>
        </is>
      </c>
      <c r="X161" s="45" t="inlineStr">
        <is>
          <t>FreshFruitPortal</t>
        </is>
      </c>
      <c r="Y161" s="45" t="inlineStr">
        <is>
          <t>https://www.freshfruitportal.com/news/2024/11/19/trump-advisor-proposes-tariffs-on-products-passing-through-new-chinese-built-peruvian-port/</t>
        </is>
      </c>
      <c r="Z161" s="45" t="inlineStr">
        <is>
          <t>news_media</t>
        </is>
      </c>
      <c r="AA161" s="45" t="inlineStr">
        <is>
          <t>secondary_reported</t>
        </is>
      </c>
      <c r="AB161" s="45" t="inlineStr">
        <is>
          <t>Role: had been named/advised Trump transition; formally appointed envoy later. Quote may be translated from Spanish-language interview</t>
        </is>
      </c>
      <c r="AC161" s="45" t="inlineStr">
        <is>
          <t>PER</t>
        </is>
      </c>
    </row>
    <row r="162" ht="15" customHeight="1" s="24">
      <c r="A162" s="45" t="inlineStr">
        <is>
          <t>PS-0161</t>
        </is>
      </c>
      <c r="B162" s="45" t="inlineStr">
        <is>
          <t>2024-11-19</t>
        </is>
      </c>
      <c r="C162" s="45" t="inlineStr">
        <is>
          <t>2024</t>
        </is>
      </c>
      <c r="D162" s="45" t="inlineStr">
        <is>
          <t>BRA</t>
        </is>
      </c>
      <c r="E162" s="45" t="inlineStr">
        <is>
          <t>Joe Biden</t>
        </is>
      </c>
      <c r="F162" s="45" t="inlineStr">
        <is>
          <t>President of the United States</t>
        </is>
      </c>
      <c r="G162" s="45" t="inlineStr">
        <is>
          <t>head_of_state</t>
        </is>
      </c>
      <c r="H162" s="45" t="inlineStr">
        <is>
          <t>United States</t>
        </is>
      </c>
      <c r="I162" s="45" t="inlineStr">
        <is>
          <t>USA</t>
        </is>
      </c>
      <c r="J162" s="45" t="inlineStr">
        <is>
          <t>Democratic</t>
        </is>
      </c>
      <c r="K162" s="45" t="inlineStr">
        <is>
          <t>official_statement</t>
        </is>
      </c>
      <c r="L162" s="45" t="inlineStr">
        <is>
          <t>Biden-Lula meeting, G20 Rio de Janeiro; launch of Brazil-U.S. Partnership for the Energy Transition</t>
        </is>
      </c>
      <c r="M162" s="45" t="inlineStr">
        <is>
          <t>critical_minerals_general</t>
        </is>
      </c>
      <c r="N162" s="45" t="inlineStr"/>
      <c r="O162" s="45" t="inlineStr">
        <is>
          <t>energy_transition;diplomatic_relations</t>
        </is>
      </c>
      <c r="P162" s="45" t="inlineStr">
        <is>
          <t>BRA</t>
        </is>
      </c>
      <c r="Q162" s="45" t="inlineStr">
        <is>
          <t>not_mentioned</t>
        </is>
      </c>
      <c r="R162" s="45" t="inlineStr">
        <is>
          <t>positive</t>
        </is>
      </c>
      <c r="S162" s="45" t="inlineStr">
        <is>
          <t>Brazil-U.S. Partnership for the Energy Transition</t>
        </is>
      </c>
      <c r="T162" s="45" t="inlineStr">
        <is>
          <t>White House readout said Biden and Lula launched a partnership for the energy transition aiming, among other things, to expand energy and mineral supply chain development.</t>
        </is>
      </c>
      <c r="U162" s="45" t="inlineStr">
        <is>
          <t>expand energy and mineral supply chain development</t>
        </is>
      </c>
      <c r="V162" s="45" t="inlineStr">
        <is>
          <t>expand energy and mineral supply chain development</t>
        </is>
      </c>
      <c r="W162" s="45" t="inlineStr">
        <is>
          <t>en</t>
        </is>
      </c>
      <c r="X162" s="45" t="inlineStr">
        <is>
          <t>The White House (Biden archive)</t>
        </is>
      </c>
      <c r="Y162" s="45" t="inlineStr">
        <is>
          <t>https://bidenwhitehouse.archives.gov/briefing-room/statements-releases/2024/11/19/readout-of-president-joe-bidens-meeting-with-president-luiz-inacio-lula-da-silva-of-brazil/</t>
        </is>
      </c>
      <c r="Z162" s="45" t="inlineStr">
        <is>
          <t>primary_official</t>
        </is>
      </c>
      <c r="AA162" s="45" t="inlineStr">
        <is>
          <t>primary_verified</t>
        </is>
      </c>
      <c r="AB162" s="45" t="inlineStr"/>
      <c r="AC162" s="45" t="inlineStr">
        <is>
          <t>USA_gov</t>
        </is>
      </c>
    </row>
    <row r="163" ht="15" customHeight="1" s="24">
      <c r="A163" s="45" t="inlineStr">
        <is>
          <t>PS-0162</t>
        </is>
      </c>
      <c r="B163" s="45" t="inlineStr">
        <is>
          <t>2024-11-20</t>
        </is>
      </c>
      <c r="C163" s="45" t="inlineStr">
        <is>
          <t>2024</t>
        </is>
      </c>
      <c r="D163" s="45" t="inlineStr">
        <is>
          <t>BRA</t>
        </is>
      </c>
      <c r="E163" s="45" t="inlineStr">
        <is>
          <t>National Development and Reform Commission (NDRC)</t>
        </is>
      </c>
      <c r="F163" s="45" t="inlineStr">
        <is>
          <t>Chinese central government planning agency</t>
        </is>
      </c>
      <c r="G163" s="45" t="inlineStr">
        <is>
          <t>china_central_gov</t>
        </is>
      </c>
      <c r="H163" s="45" t="inlineStr">
        <is>
          <t>China</t>
        </is>
      </c>
      <c r="I163" s="45" t="inlineStr">
        <is>
          <t>CHN</t>
        </is>
      </c>
      <c r="J163" s="45" t="inlineStr"/>
      <c r="K163" s="45" t="inlineStr">
        <is>
          <t>joint_declaration_or_mou</t>
        </is>
      </c>
      <c r="L163" s="45" t="inlineStr">
        <is>
          <t>Xi Jinping state visit to Brazil (Brasilia), list of 38 cooperation documents</t>
        </is>
      </c>
      <c r="M163" s="45" t="inlineStr">
        <is>
          <t>mining_general</t>
        </is>
      </c>
      <c r="N163" s="45" t="inlineStr"/>
      <c r="O163" s="45" t="inlineStr">
        <is>
          <t>environment_water;foreign_investment;diplomatic_relations</t>
        </is>
      </c>
      <c r="P163" s="45" t="inlineStr">
        <is>
          <t>BRA</t>
        </is>
      </c>
      <c r="Q163" s="45" t="inlineStr">
        <is>
          <t>positive</t>
        </is>
      </c>
      <c r="R163" s="45" t="inlineStr">
        <is>
          <t>not_mentioned</t>
        </is>
      </c>
      <c r="S163" s="45" t="inlineStr">
        <is>
          <t>Ministério de Minas e Energia (Brazil)</t>
        </is>
      </c>
      <c r="T163" s="45" t="inlineStr">
        <is>
          <t>Among the 38 documents signed during Xi Jinping's state visit to Brazil, China's NDRC and Brazil's Ministry of Mines and Energy signed a memorandum of understanding on cooperation in sustainable mining development. The MFA's outcome list gives only the title, not the text.</t>
        </is>
      </c>
      <c r="U163" s="45" t="inlineStr">
        <is>
          <t>关于开展矿业可持续发展合作的谅解备忘录</t>
        </is>
      </c>
      <c r="V163" s="45" t="inlineStr">
        <is>
          <t>Memorandum of understanding on carrying out cooperation in sustainable mining development</t>
        </is>
      </c>
      <c r="W163" s="45" t="inlineStr">
        <is>
          <t>zh</t>
        </is>
      </c>
      <c r="X163" s="45" t="inlineStr">
        <is>
          <t>Ministry of Foreign Affairs of the PRC</t>
        </is>
      </c>
      <c r="Y163" s="45" t="inlineStr">
        <is>
          <t>https://www.mfa.gov.cn/web/zyxw/202412/t20241218_11497507.shtml</t>
        </is>
      </c>
      <c r="Z163" s="45" t="inlineStr">
        <is>
          <t>primary_official</t>
        </is>
      </c>
      <c r="AA163" s="45" t="inlineStr">
        <is>
          <t>primary_verified</t>
        </is>
      </c>
      <c r="AB163" s="45" t="inlineStr">
        <is>
          <t>Item 2 of 'List of outcome documents of President Xi Jinping's state visit to Brazil' (dated 2024-11-21; signing 2024-11-20). Also printed in People's Daily 2024-11-22. Quote is the MoU title only; MoU text not seen.</t>
        </is>
      </c>
      <c r="AC163" s="45" t="inlineStr">
        <is>
          <t>CHN_gov</t>
        </is>
      </c>
    </row>
    <row r="164" ht="15" customHeight="1" s="24">
      <c r="A164" s="45" t="inlineStr">
        <is>
          <t>PS-0163</t>
        </is>
      </c>
      <c r="B164" s="45" t="inlineStr">
        <is>
          <t>2024-11-26</t>
        </is>
      </c>
      <c r="C164" s="45" t="inlineStr">
        <is>
          <t>2024</t>
        </is>
      </c>
      <c r="D164" s="45" t="inlineStr">
        <is>
          <t>MEX</t>
        </is>
      </c>
      <c r="E164" s="45" t="inlineStr">
        <is>
          <t>Óscar Ocampo</t>
        </is>
      </c>
      <c r="F164" s="45" t="inlineStr">
        <is>
          <t>Energy and Environment Coordinator, IMCO</t>
        </is>
      </c>
      <c r="G164" s="45" t="inlineStr">
        <is>
          <t>other</t>
        </is>
      </c>
      <c r="H164" s="45" t="inlineStr">
        <is>
          <t>Other (business, civil society, third countries)</t>
        </is>
      </c>
      <c r="I164" s="45" t="inlineStr">
        <is>
          <t>MEX</t>
        </is>
      </c>
      <c r="J164" s="45" t="inlineStr"/>
      <c r="K164" s="45" t="inlineStr">
        <is>
          <t>report</t>
        </is>
      </c>
      <c r="L164" s="45" t="inlineStr">
        <is>
          <t>Analysis of LitioMx 2025 budget</t>
        </is>
      </c>
      <c r="M164" s="45" t="inlineStr">
        <is>
          <t>lithium</t>
        </is>
      </c>
      <c r="N164" s="45" t="inlineStr">
        <is>
          <t>253090;282520;283691</t>
        </is>
      </c>
      <c r="O164" s="45" t="inlineStr">
        <is>
          <t>state_control_nationalization;financing_credit</t>
        </is>
      </c>
      <c r="P164" s="45" t="inlineStr">
        <is>
          <t>none</t>
        </is>
      </c>
      <c r="Q164" s="45" t="inlineStr">
        <is>
          <t>not_mentioned</t>
        </is>
      </c>
      <c r="R164" s="45" t="inlineStr">
        <is>
          <t>not_mentioned</t>
        </is>
      </c>
      <c r="S164" s="45" t="inlineStr">
        <is>
          <t>LitioMx</t>
        </is>
      </c>
      <c r="T164" s="45" t="inlineStr">
        <is>
          <t>IMCO's Ocampo said that although LitioMx's proposed 2025 funding rose about 31.6% it remained insufficient to develop lithium projects.</t>
        </is>
      </c>
      <c r="U164" s="45" t="inlineStr"/>
      <c r="V164" s="45" t="inlineStr"/>
      <c r="W164" s="45" t="inlineStr">
        <is>
          <t>en</t>
        </is>
      </c>
      <c r="X164" s="45" t="inlineStr">
        <is>
          <t>Mexico Business News</t>
        </is>
      </c>
      <c r="Y164" s="45" t="inlineStr">
        <is>
          <t>https://mexicobusiness.news/mining/news/2025-pef-funding-litiomx-remains-insufficient</t>
        </is>
      </c>
      <c r="Z164" s="45" t="inlineStr">
        <is>
          <t>news_media</t>
        </is>
      </c>
      <c r="AA164" s="45" t="inlineStr">
        <is>
          <t>secondary_reported</t>
        </is>
      </c>
      <c r="AB164" s="45" t="inlineStr">
        <is>
          <t>Think tank actor; quote attribution in article unclear, so paraphrased.</t>
        </is>
      </c>
      <c r="AC164" s="45" t="inlineStr">
        <is>
          <t>MEX</t>
        </is>
      </c>
    </row>
    <row r="165" ht="15" customHeight="1" s="24">
      <c r="A165" s="45" t="inlineStr">
        <is>
          <t>PS-0164</t>
        </is>
      </c>
      <c r="B165" s="45" t="inlineStr">
        <is>
          <t>2024-11-27</t>
        </is>
      </c>
      <c r="C165" s="45" t="inlineStr">
        <is>
          <t>2024</t>
        </is>
      </c>
      <c r="D165" s="45" t="inlineStr">
        <is>
          <t>ARG</t>
        </is>
      </c>
      <c r="E165" s="45" t="inlineStr">
        <is>
          <t>Carlos Sadir</t>
        </is>
      </c>
      <c r="F165" s="45" t="inlineStr">
        <is>
          <t>Governor of Jujuy</t>
        </is>
      </c>
      <c r="G165" s="45" t="inlineStr">
        <is>
          <t>subnational_gov</t>
        </is>
      </c>
      <c r="H165" s="45" t="inlineStr">
        <is>
          <t>LatAm executive</t>
        </is>
      </c>
      <c r="I165" s="45" t="inlineStr">
        <is>
          <t>ARG</t>
        </is>
      </c>
      <c r="J165" s="45" t="inlineStr">
        <is>
          <t>UCR</t>
        </is>
      </c>
      <c r="K165" s="45" t="inlineStr">
        <is>
          <t>speech</t>
        </is>
      </c>
      <c r="L165" s="45" t="inlineStr">
        <is>
          <t>Cumbre de Minería Sostenible 2024, Mendoza</t>
        </is>
      </c>
      <c r="M165" s="45" t="inlineStr">
        <is>
          <t>lithium</t>
        </is>
      </c>
      <c r="N165" s="45" t="inlineStr">
        <is>
          <t>253090;282520;283691</t>
        </is>
      </c>
      <c r="O165" s="45" t="inlineStr">
        <is>
          <t>indigenous_community_rights;energy_transition;infrastructure_ports</t>
        </is>
      </c>
      <c r="P165" s="45" t="inlineStr">
        <is>
          <t>none</t>
        </is>
      </c>
      <c r="Q165" s="45" t="inlineStr">
        <is>
          <t>not_mentioned</t>
        </is>
      </c>
      <c r="R165" s="45" t="inlineStr">
        <is>
          <t>not_mentioned</t>
        </is>
      </c>
      <c r="S165" s="45" t="inlineStr">
        <is>
          <t>Minera Exar; Cauchari solar plant; Corredor Bioceánico Capricornio</t>
        </is>
      </c>
      <c r="T165" s="45" t="inlineStr">
        <is>
          <t>Sadir said Jujuy's two lithium producers would reach about 50,000 tonnes that year but must produce more, highlighting clean energy use and that communities must grow alongside mining projects.</t>
        </is>
      </c>
      <c r="U165" s="45" t="inlineStr">
        <is>
          <t>dos empresas produciendo litio, las que este año alcanzarán un volumen aproximado a las 50.000 toneladas, pero hay que producir más</t>
        </is>
      </c>
      <c r="V165" s="45" t="inlineStr">
        <is>
          <t>two companies producing lithium, which this year will reach roughly 50,000 tonnes, but we must produce more</t>
        </is>
      </c>
      <c r="W165" s="45" t="inlineStr">
        <is>
          <t>es</t>
        </is>
      </c>
      <c r="X165" s="45" t="inlineStr">
        <is>
          <t>TodoJujuy</t>
        </is>
      </c>
      <c r="Y165" s="45" t="inlineStr">
        <is>
          <t>https://www.todojujuy.com/carlos-sadirreafirmo-mendoza-el-compromiso-del-modelo-jujeno-mineria-n261459</t>
        </is>
      </c>
      <c r="Z165" s="45" t="inlineStr">
        <is>
          <t>news_media</t>
        </is>
      </c>
      <c r="AA165" s="45" t="inlineStr">
        <is>
          <t>secondary_reported</t>
        </is>
      </c>
      <c r="AB165" s="45" t="inlineStr"/>
      <c r="AC165" s="45" t="inlineStr">
        <is>
          <t>ARG</t>
        </is>
      </c>
    </row>
    <row r="166" ht="15" customHeight="1" s="24">
      <c r="A166" s="45" t="inlineStr">
        <is>
          <t>PS-0165</t>
        </is>
      </c>
      <c r="B166" s="45" t="inlineStr">
        <is>
          <t>2024-11-29</t>
        </is>
      </c>
      <c r="C166" s="45" t="inlineStr">
        <is>
          <t>2024</t>
        </is>
      </c>
      <c r="D166" s="45" t="inlineStr">
        <is>
          <t>PER</t>
        </is>
      </c>
      <c r="E166" s="45" t="inlineStr">
        <is>
          <t>Congress of the Republic of Peru</t>
        </is>
      </c>
      <c r="F166" s="45" t="inlineStr">
        <is>
          <t>Plenary of Congress</t>
        </is>
      </c>
      <c r="G166" s="45" t="inlineStr">
        <is>
          <t>legislature_body</t>
        </is>
      </c>
      <c r="H166" s="45" t="inlineStr">
        <is>
          <t>LatAm legislature</t>
        </is>
      </c>
      <c r="I166" s="45" t="inlineStr">
        <is>
          <t>PER</t>
        </is>
      </c>
      <c r="J166" s="45" t="inlineStr"/>
      <c r="K166" s="45" t="inlineStr">
        <is>
          <t>legislative_debate</t>
        </is>
      </c>
      <c r="L166" s="45" t="inlineStr">
        <is>
          <t>Vote extending REINFO informal mining registry to 30 Jun 2025</t>
        </is>
      </c>
      <c r="M166" s="45" t="inlineStr">
        <is>
          <t>mining_general</t>
        </is>
      </c>
      <c r="N166" s="45" t="inlineStr"/>
      <c r="O166" s="45" t="inlineStr">
        <is>
          <t>corruption_governance;labor_social_conflict</t>
        </is>
      </c>
      <c r="P166" s="45" t="inlineStr">
        <is>
          <t>none</t>
        </is>
      </c>
      <c r="Q166" s="45" t="inlineStr">
        <is>
          <t>not_mentioned</t>
        </is>
      </c>
      <c r="R166" s="45" t="inlineStr">
        <is>
          <t>not_mentioned</t>
        </is>
      </c>
      <c r="S166" s="45" t="inlineStr">
        <is>
          <t>REINFO</t>
        </is>
      </c>
      <c r="T166" s="45" t="inlineStr">
        <is>
          <t>After 12 days of blockades by informal miners, the plenary approved with 87 votes a six-month REINFO extension to 30 June 2025, extendable another six months by supreme decree; the text was presented by Energy and Mines Commission chair Paul Gutiérrez.</t>
        </is>
      </c>
      <c r="U166" s="45" t="inlineStr"/>
      <c r="V166" s="45" t="inlineStr"/>
      <c r="W166" s="45" t="inlineStr">
        <is>
          <t>es</t>
        </is>
      </c>
      <c r="X166" s="45" t="inlineStr">
        <is>
          <t>El Búho</t>
        </is>
      </c>
      <c r="Y166" s="45" t="inlineStr">
        <is>
          <t>https://elbuho.pe/2024/11/congreso-aprueba-ampliar-el-reinfo-por-seis-meses/</t>
        </is>
      </c>
      <c r="Z166" s="45" t="inlineStr">
        <is>
          <t>news_media</t>
        </is>
      </c>
      <c r="AA166" s="45" t="inlineStr">
        <is>
          <t>secondary_reported</t>
        </is>
      </c>
      <c r="AB166" s="45" t="inlineStr"/>
      <c r="AC166" s="45" t="inlineStr">
        <is>
          <t>PER</t>
        </is>
      </c>
    </row>
    <row r="167" ht="15" customHeight="1" s="24">
      <c r="A167" s="45" t="inlineStr">
        <is>
          <t>PS-0166</t>
        </is>
      </c>
      <c r="B167" s="45" t="inlineStr">
        <is>
          <t>2024-12-09</t>
        </is>
      </c>
      <c r="C167" s="45" t="inlineStr">
        <is>
          <t>2024</t>
        </is>
      </c>
      <c r="D167" s="45" t="inlineStr">
        <is>
          <t>BOL</t>
        </is>
      </c>
      <c r="E167" s="45" t="inlineStr">
        <is>
          <t>Teresa Morales</t>
        </is>
      </c>
      <c r="F167" s="45" t="inlineStr">
        <is>
          <t>Former Minister (Morales government); evista MAS faction</t>
        </is>
      </c>
      <c r="G167" s="45" t="inlineStr">
        <is>
          <t>other</t>
        </is>
      </c>
      <c r="H167" s="45" t="inlineStr">
        <is>
          <t>Other (business, civil society, third countries)</t>
        </is>
      </c>
      <c r="I167" s="45" t="inlineStr">
        <is>
          <t>BOL</t>
        </is>
      </c>
      <c r="J167" s="45" t="inlineStr">
        <is>
          <t>MAS (evista faction)</t>
        </is>
      </c>
      <c r="K167" s="45" t="inlineStr">
        <is>
          <t>press_conference</t>
        </is>
      </c>
      <c r="L167" s="45" t="inlineStr">
        <is>
          <t>Announcement of responsibility trial against Arce over lithium contracts</t>
        </is>
      </c>
      <c r="M167" s="45" t="inlineStr">
        <is>
          <t>lithium</t>
        </is>
      </c>
      <c r="N167" s="45" t="inlineStr">
        <is>
          <t>253090;282520;283691</t>
        </is>
      </c>
      <c r="O167" s="45" t="inlineStr">
        <is>
          <t>corruption_governance;sovereignty</t>
        </is>
      </c>
      <c r="P167" s="45" t="inlineStr">
        <is>
          <t>RUS</t>
        </is>
      </c>
      <c r="Q167" s="45" t="inlineStr">
        <is>
          <t>not_mentioned</t>
        </is>
      </c>
      <c r="R167" s="45" t="inlineStr">
        <is>
          <t>not_mentioned</t>
        </is>
      </c>
      <c r="S167" s="45" t="inlineStr">
        <is>
          <t>Uranium One Group; YLB</t>
        </is>
      </c>
      <c r="T167" s="45" t="inlineStr">
        <is>
          <t>Former ministers Teresa Morales and Wilma Alanoca announced a responsibility trial against President Arce for 'treason', alleging the Uranium One contract violated the Constitution and its cost rose from US$450m to US$976m without justification.</t>
        </is>
      </c>
      <c r="U167" s="45" t="inlineStr"/>
      <c r="V167" s="45" t="inlineStr"/>
      <c r="W167" s="45" t="inlineStr">
        <is>
          <t>es</t>
        </is>
      </c>
      <c r="X167" s="45" t="inlineStr">
        <is>
          <t>EJU.tv</t>
        </is>
      </c>
      <c r="Y167" s="45" t="inlineStr">
        <is>
          <t>https://eju.tv/?p=4445411</t>
        </is>
      </c>
      <c r="Z167" s="45" t="inlineStr">
        <is>
          <t>news_media</t>
        </is>
      </c>
      <c r="AA167" s="45" t="inlineStr">
        <is>
          <t>secondary_reported</t>
        </is>
      </c>
      <c r="AB167" s="45" t="inlineStr">
        <is>
          <t>Only paraphrase/translated fragments available.</t>
        </is>
      </c>
      <c r="AC167" s="45" t="inlineStr">
        <is>
          <t>BOL</t>
        </is>
      </c>
    </row>
    <row r="168" ht="15" customHeight="1" s="24">
      <c r="A168" s="45" t="inlineStr">
        <is>
          <t>PS-0167</t>
        </is>
      </c>
      <c r="B168" s="45" t="inlineStr">
        <is>
          <t>2024-12-14</t>
        </is>
      </c>
      <c r="C168" s="45" t="inlineStr">
        <is>
          <t>2024</t>
        </is>
      </c>
      <c r="D168" s="45" t="inlineStr">
        <is>
          <t>PER</t>
        </is>
      </c>
      <c r="E168" s="45" t="inlineStr">
        <is>
          <t>Congress of the Republic of Peru</t>
        </is>
      </c>
      <c r="F168" s="45" t="inlineStr">
        <is>
          <t>Plenary of Congress</t>
        </is>
      </c>
      <c r="G168" s="45" t="inlineStr">
        <is>
          <t>legislature_body</t>
        </is>
      </c>
      <c r="H168" s="45" t="inlineStr">
        <is>
          <t>LatAm legislature</t>
        </is>
      </c>
      <c r="I168" s="45" t="inlineStr">
        <is>
          <t>PER</t>
        </is>
      </c>
      <c r="J168" s="45" t="inlineStr"/>
      <c r="K168" s="45" t="inlineStr">
        <is>
          <t>bill_or_law</t>
        </is>
      </c>
      <c r="L168" s="45" t="inlineStr">
        <is>
          <t>Framework law on Private Special Economic Zones (ZEEP)</t>
        </is>
      </c>
      <c r="M168" s="45" t="inlineStr">
        <is>
          <t>mining_general</t>
        </is>
      </c>
      <c r="N168" s="45" t="inlineStr"/>
      <c r="O168" s="45" t="inlineStr">
        <is>
          <t>foreign_investment;value_added_industrialization;royalties_taxation;infrastructure_ports</t>
        </is>
      </c>
      <c r="P168" s="45" t="inlineStr">
        <is>
          <t>none</t>
        </is>
      </c>
      <c r="Q168" s="45" t="inlineStr">
        <is>
          <t>not_mentioned</t>
        </is>
      </c>
      <c r="R168" s="45" t="inlineStr">
        <is>
          <t>not_mentioned</t>
        </is>
      </c>
      <c r="S168" s="45" t="inlineStr">
        <is>
          <t>Puerto de Chancay; ZEEP</t>
        </is>
      </c>
      <c r="T168" s="45" t="inlineStr">
        <is>
          <t>Congress approved (80-15-5) a framework law for private special economic zones with a 0% income tax for five years then graduated rates, aimed at value-added exports; a separate proposal to create zones in Chancay, Ancón and Iñapari failed to win enough votes.</t>
        </is>
      </c>
      <c r="U168" s="45" t="inlineStr"/>
      <c r="V168" s="45" t="inlineStr"/>
      <c r="W168" s="45" t="inlineStr">
        <is>
          <t>es</t>
        </is>
      </c>
      <c r="X168" s="45" t="inlineStr">
        <is>
          <t>Peru Retail</t>
        </is>
      </c>
      <c r="Y168" s="45" t="inlineStr">
        <is>
          <t>https://www.peru-retail.com/congreso-establece-ley-marco-para-la-creacion-de-zonas-economicas-especiales-privadas/</t>
        </is>
      </c>
      <c r="Z168" s="45" t="inlineStr">
        <is>
          <t>news_media</t>
        </is>
      </c>
      <c r="AA168" s="45" t="inlineStr">
        <is>
          <t>secondary_reported</t>
        </is>
      </c>
      <c r="AB168" s="45" t="inlineStr">
        <is>
          <t>Minerals relevance indirect (industrial/processing zones near Chancay); enacted as Ley 32449 per congress.gob.pe</t>
        </is>
      </c>
      <c r="AC168" s="45" t="inlineStr">
        <is>
          <t>PER</t>
        </is>
      </c>
    </row>
    <row r="169" ht="15" customHeight="1" s="24">
      <c r="A169" s="45" t="inlineStr">
        <is>
          <t>PS-0168</t>
        </is>
      </c>
      <c r="B169" s="45" t="inlineStr">
        <is>
          <t>2024-12-23</t>
        </is>
      </c>
      <c r="C169" s="45" t="inlineStr">
        <is>
          <t>2024</t>
        </is>
      </c>
      <c r="D169" s="45" t="inlineStr">
        <is>
          <t>MEX</t>
        </is>
      </c>
      <c r="E169" s="45" t="inlineStr">
        <is>
          <t>Marcelo Ebrard</t>
        </is>
      </c>
      <c r="F169" s="45" t="inlineStr">
        <is>
          <t>Secretary of Economy of Mexico</t>
        </is>
      </c>
      <c r="G169" s="45" t="inlineStr">
        <is>
          <t>minister_cabinet</t>
        </is>
      </c>
      <c r="H169" s="45" t="inlineStr">
        <is>
          <t>LatAm executive</t>
        </is>
      </c>
      <c r="I169" s="45" t="inlineStr">
        <is>
          <t>MEX</t>
        </is>
      </c>
      <c r="J169" s="45" t="inlineStr">
        <is>
          <t>Morena</t>
        </is>
      </c>
      <c r="K169" s="45" t="inlineStr">
        <is>
          <t>press_conference</t>
        </is>
      </c>
      <c r="L169" s="45" t="inlineStr">
        <is>
          <t>Plan Sonora progress with US support</t>
        </is>
      </c>
      <c r="M169" s="45" t="inlineStr">
        <is>
          <t>lithium</t>
        </is>
      </c>
      <c r="N169" s="45" t="inlineStr">
        <is>
          <t>253090;282520;283691</t>
        </is>
      </c>
      <c r="O169" s="45" t="inlineStr">
        <is>
          <t>value_added_industrialization;foreign_investment;energy_transition</t>
        </is>
      </c>
      <c r="P169" s="45" t="inlineStr">
        <is>
          <t>USA</t>
        </is>
      </c>
      <c r="Q169" s="45" t="inlineStr">
        <is>
          <t>not_mentioned</t>
        </is>
      </c>
      <c r="R169" s="45" t="inlineStr">
        <is>
          <t>positive</t>
        </is>
      </c>
      <c r="S169" s="45" t="inlineStr">
        <is>
          <t>Plan Sonora;LitioMx;Pemex;University of Arizona</t>
        </is>
      </c>
      <c r="T169" s="45" t="inlineStr">
        <is>
          <t>Ebrard said the Economy Ministry was facilitating agreements to speed up Mexico's lithium production on Sheinbaum's instruction, describing Plan Sonora as jointly designed with the United States around electromobility and semiconductors.</t>
        </is>
      </c>
      <c r="U169" s="45" t="inlineStr">
        <is>
          <t>The Ministry of Economy is facilitating the necessary agreements, and President Sheinbaum's directive is to expedite Mexico's lithium production</t>
        </is>
      </c>
      <c r="V169" s="45" t="inlineStr">
        <is>
          <t>The Ministry of Economy is facilitating the necessary agreements, and President Sheinbaum's directive is to expedite Mexico's lithium production</t>
        </is>
      </c>
      <c r="W169" s="45" t="inlineStr">
        <is>
          <t>en</t>
        </is>
      </c>
      <c r="X169" s="45" t="inlineStr">
        <is>
          <t>Mexico Business News</t>
        </is>
      </c>
      <c r="Y169" s="45" t="inlineStr">
        <is>
          <t>https://mexicobusiness.news/mining/news/sonora-plan-advance-2025-us-support-ebrard</t>
        </is>
      </c>
      <c r="Z169" s="45" t="inlineStr">
        <is>
          <t>news_media</t>
        </is>
      </c>
      <c r="AA169" s="45" t="inlineStr">
        <is>
          <t>secondary_reported</t>
        </is>
      </c>
      <c r="AB169" s="45" t="inlineStr">
        <is>
          <t>Quote is MBN English translation; date approximate (article date).</t>
        </is>
      </c>
      <c r="AC169" s="45" t="inlineStr">
        <is>
          <t>MEX</t>
        </is>
      </c>
    </row>
    <row r="170" ht="15" customHeight="1" s="24">
      <c r="A170" s="45" t="inlineStr">
        <is>
          <t>PS-0169</t>
        </is>
      </c>
      <c r="B170" s="45" t="inlineStr">
        <is>
          <t>2025-02</t>
        </is>
      </c>
      <c r="C170" s="45" t="inlineStr">
        <is>
          <t>2025</t>
        </is>
      </c>
      <c r="D170" s="45" t="inlineStr">
        <is>
          <t>BOL</t>
        </is>
      </c>
      <c r="E170" s="45" t="inlineStr">
        <is>
          <t>Dmitry Verchenko</t>
        </is>
      </c>
      <c r="F170" s="45" t="inlineStr">
        <is>
          <t>Russian Ambassador to Bolivia</t>
        </is>
      </c>
      <c r="G170" s="45" t="inlineStr">
        <is>
          <t>other</t>
        </is>
      </c>
      <c r="H170" s="45" t="inlineStr">
        <is>
          <t>Other (business, civil society, third countries)</t>
        </is>
      </c>
      <c r="I170" s="45" t="inlineStr">
        <is>
          <t>RUS</t>
        </is>
      </c>
      <c r="J170" s="45" t="inlineStr"/>
      <c r="K170" s="45" t="inlineStr">
        <is>
          <t>interview</t>
        </is>
      </c>
      <c r="L170" s="45" t="inlineStr">
        <is>
          <t>Statement to local media on Uranium One contract</t>
        </is>
      </c>
      <c r="M170" s="45" t="inlineStr">
        <is>
          <t>lithium</t>
        </is>
      </c>
      <c r="N170" s="45" t="inlineStr">
        <is>
          <t>253090;282520;283691</t>
        </is>
      </c>
      <c r="O170" s="45" t="inlineStr">
        <is>
          <t>foreign_investment;diplomatic_relations</t>
        </is>
      </c>
      <c r="P170" s="45" t="inlineStr">
        <is>
          <t>RUS</t>
        </is>
      </c>
      <c r="Q170" s="45" t="inlineStr">
        <is>
          <t>not_mentioned</t>
        </is>
      </c>
      <c r="R170" s="45" t="inlineStr">
        <is>
          <t>not_mentioned</t>
        </is>
      </c>
      <c r="S170" s="45" t="inlineStr">
        <is>
          <t>Uranium One Group</t>
        </is>
      </c>
      <c r="T170" s="45" t="inlineStr">
        <is>
          <t>The Russian ambassador said Moscow expected prompt legislative approval of Uranium One's lithium contract.</t>
        </is>
      </c>
      <c r="U170" s="45" t="inlineStr"/>
      <c r="V170" s="45" t="inlineStr"/>
      <c r="W170" s="45" t="inlineStr">
        <is>
          <t>es</t>
        </is>
      </c>
      <c r="X170" s="45" t="inlineStr">
        <is>
          <t>Bloomberg Línea</t>
        </is>
      </c>
      <c r="Y170" s="45" t="inlineStr">
        <is>
          <t>https://www.bloomberglinea.com/latinoamerica/bolivia/el-nuevo-gobierno-de-bolivia-quiere-reescribir-las-reglas-del-litio-en-plena-crisis-economica/</t>
        </is>
      </c>
      <c r="Z170" s="45" t="inlineStr">
        <is>
          <t>news_media</t>
        </is>
      </c>
      <c r="AA170" s="45" t="inlineStr">
        <is>
          <t>secondary_reported</t>
        </is>
      </c>
      <c r="AB170" s="45" t="inlineStr">
        <is>
          <t>Reported indirectly in Nov 2025 article ('February statement'); exact date unknown; no Russian embassy category in codebook, coded 'other'.</t>
        </is>
      </c>
      <c r="AC170" s="45" t="inlineStr">
        <is>
          <t>BOL</t>
        </is>
      </c>
    </row>
    <row r="171" ht="15" customHeight="1" s="24">
      <c r="A171" s="45" t="inlineStr">
        <is>
          <t>PS-0170</t>
        </is>
      </c>
      <c r="B171" s="45" t="inlineStr">
        <is>
          <t>2025-02</t>
        </is>
      </c>
      <c r="C171" s="45" t="inlineStr">
        <is>
          <t>2025</t>
        </is>
      </c>
      <c r="D171" s="45" t="inlineStr">
        <is>
          <t>BOL</t>
        </is>
      </c>
      <c r="E171" s="45" t="inlineStr">
        <is>
          <t>Donny Alí</t>
        </is>
      </c>
      <c r="F171" s="45" t="inlineStr">
        <is>
          <t>Community leader, Río Grande (Potosí)</t>
        </is>
      </c>
      <c r="G171" s="45" t="inlineStr">
        <is>
          <t>other</t>
        </is>
      </c>
      <c r="H171" s="45" t="inlineStr">
        <is>
          <t>Other (business, civil society, third countries)</t>
        </is>
      </c>
      <c r="I171" s="45" t="inlineStr">
        <is>
          <t>BOL</t>
        </is>
      </c>
      <c r="J171" s="45" t="inlineStr"/>
      <c r="K171" s="45" t="inlineStr">
        <is>
          <t>interview</t>
        </is>
      </c>
      <c r="L171" s="45" t="inlineStr">
        <is>
          <t>Mongabay report on lithium contracts</t>
        </is>
      </c>
      <c r="M171" s="45" t="inlineStr">
        <is>
          <t>lithium</t>
        </is>
      </c>
      <c r="N171" s="45" t="inlineStr">
        <is>
          <t>253090;282520;283691</t>
        </is>
      </c>
      <c r="O171" s="45" t="inlineStr">
        <is>
          <t>environment_water;indigenous_community_rights</t>
        </is>
      </c>
      <c r="P171" s="45" t="inlineStr">
        <is>
          <t>none</t>
        </is>
      </c>
      <c r="Q171" s="45" t="inlineStr">
        <is>
          <t>not_mentioned</t>
        </is>
      </c>
      <c r="R171" s="45" t="inlineStr">
        <is>
          <t>not_mentioned</t>
        </is>
      </c>
      <c r="S171" s="45" t="inlineStr">
        <is>
          <t>Salar de Uyuni</t>
        </is>
      </c>
      <c r="T171" s="45" t="inlineStr">
        <is>
          <t>A Río Grande community leader warned that over-exploitation of brine under the new contracts would leave communities practically without water.</t>
        </is>
      </c>
      <c r="U171" s="45" t="inlineStr">
        <is>
          <t>Una sobreexplotación nos dejaría prácticamente sin agua</t>
        </is>
      </c>
      <c r="V171" s="45" t="inlineStr">
        <is>
          <t>Over-exploitation would leave us practically without water</t>
        </is>
      </c>
      <c r="W171" s="45" t="inlineStr">
        <is>
          <t>es</t>
        </is>
      </c>
      <c r="X171" s="45" t="inlineStr">
        <is>
          <t>Mongabay Latam</t>
        </is>
      </c>
      <c r="Y171" s="45" t="inlineStr">
        <is>
          <t>https://es.mongabay.com/2025/02/litio-bolivia-contratos-empresas-de-china-rusia/</t>
        </is>
      </c>
      <c r="Z171" s="45" t="inlineStr">
        <is>
          <t>news_media</t>
        </is>
      </c>
      <c r="AA171" s="45" t="inlineStr">
        <is>
          <t>secondary_reported</t>
        </is>
      </c>
      <c r="AB171" s="45" t="inlineStr">
        <is>
          <t>Exact day unknown.</t>
        </is>
      </c>
      <c r="AC171" s="45" t="inlineStr">
        <is>
          <t>BOL</t>
        </is>
      </c>
    </row>
    <row r="172" ht="15" customHeight="1" s="24">
      <c r="A172" s="45" t="inlineStr">
        <is>
          <t>PS-0171</t>
        </is>
      </c>
      <c r="B172" s="45" t="inlineStr">
        <is>
          <t>2025-02</t>
        </is>
      </c>
      <c r="C172" s="45" t="inlineStr">
        <is>
          <t>2025</t>
        </is>
      </c>
      <c r="D172" s="45" t="inlineStr">
        <is>
          <t>BOL</t>
        </is>
      </c>
      <c r="E172" s="45" t="inlineStr">
        <is>
          <t>Omar Alarcón</t>
        </is>
      </c>
      <c r="F172" s="45" t="inlineStr">
        <is>
          <t>President of YLB</t>
        </is>
      </c>
      <c r="G172" s="45" t="inlineStr">
        <is>
          <t>state_company</t>
        </is>
      </c>
      <c r="H172" s="45" t="inlineStr">
        <is>
          <t>LatAm state company</t>
        </is>
      </c>
      <c r="I172" s="45" t="inlineStr">
        <is>
          <t>BOL</t>
        </is>
      </c>
      <c r="J172" s="45" t="inlineStr">
        <is>
          <t>YLB</t>
        </is>
      </c>
      <c r="K172" s="45" t="inlineStr">
        <is>
          <t>interview</t>
        </is>
      </c>
      <c r="L172" s="45" t="inlineStr">
        <is>
          <t>Mongabay report on CBC/Uranium One contracts and water concerns</t>
        </is>
      </c>
      <c r="M172" s="45" t="inlineStr">
        <is>
          <t>lithium</t>
        </is>
      </c>
      <c r="N172" s="45" t="inlineStr">
        <is>
          <t>253090;282520;283691</t>
        </is>
      </c>
      <c r="O172" s="45" t="inlineStr">
        <is>
          <t>environment_water</t>
        </is>
      </c>
      <c r="P172" s="45" t="inlineStr">
        <is>
          <t>CHN;RUS</t>
        </is>
      </c>
      <c r="Q172" s="45" t="inlineStr">
        <is>
          <t>not_mentioned</t>
        </is>
      </c>
      <c r="R172" s="45" t="inlineStr">
        <is>
          <t>not_mentioned</t>
        </is>
      </c>
      <c r="S172" s="45" t="inlineStr">
        <is>
          <t>YLB; CBC; Uranium One Group</t>
        </is>
      </c>
      <c r="T172" s="45" t="inlineStr">
        <is>
          <t>Alarcón said an environmental impact assessment would be carried out once the contracts are approved, as communities warned of water over-exploitation.</t>
        </is>
      </c>
      <c r="U172" s="45" t="inlineStr">
        <is>
          <t>Al inicio, una vez que se tenga aprobado el contrato, vamos a tener una evaluación de impacto ambiental</t>
        </is>
      </c>
      <c r="V172" s="45" t="inlineStr">
        <is>
          <t>At the start, once the contract is approved, we will have an environmental impact assessment</t>
        </is>
      </c>
      <c r="W172" s="45" t="inlineStr">
        <is>
          <t>es</t>
        </is>
      </c>
      <c r="X172" s="45" t="inlineStr">
        <is>
          <t>Mongabay Latam</t>
        </is>
      </c>
      <c r="Y172" s="45" t="inlineStr">
        <is>
          <t>https://es.mongabay.com/2025/02/litio-bolivia-contratos-empresas-de-china-rusia/</t>
        </is>
      </c>
      <c r="Z172" s="45" t="inlineStr">
        <is>
          <t>news_media</t>
        </is>
      </c>
      <c r="AA172" s="45" t="inlineStr">
        <is>
          <t>secondary_reported</t>
        </is>
      </c>
      <c r="AB172" s="45" t="inlineStr">
        <is>
          <t>Exact day in Feb 2025 unknown.</t>
        </is>
      </c>
      <c r="AC172" s="45" t="inlineStr">
        <is>
          <t>BOL</t>
        </is>
      </c>
    </row>
    <row r="173" ht="15" customHeight="1" s="24">
      <c r="A173" s="45" t="inlineStr">
        <is>
          <t>PS-0172</t>
        </is>
      </c>
      <c r="B173" s="45" t="inlineStr">
        <is>
          <t>2025-02-05</t>
        </is>
      </c>
      <c r="C173" s="45" t="inlineStr">
        <is>
          <t>2025</t>
        </is>
      </c>
      <c r="D173" s="45" t="inlineStr">
        <is>
          <t>BOL</t>
        </is>
      </c>
      <c r="E173" s="45" t="inlineStr">
        <is>
          <t>Omar Alarcón</t>
        </is>
      </c>
      <c r="F173" s="45" t="inlineStr">
        <is>
          <t>President of YLB</t>
        </is>
      </c>
      <c r="G173" s="45" t="inlineStr">
        <is>
          <t>state_company</t>
        </is>
      </c>
      <c r="H173" s="45" t="inlineStr">
        <is>
          <t>LatAm state company</t>
        </is>
      </c>
      <c r="I173" s="45" t="inlineStr">
        <is>
          <t>BOL</t>
        </is>
      </c>
      <c r="J173" s="45" t="inlineStr">
        <is>
          <t>YLB</t>
        </is>
      </c>
      <c r="K173" s="45" t="inlineStr">
        <is>
          <t>official_statement</t>
        </is>
      </c>
      <c r="L173" s="45" t="inlineStr">
        <is>
          <t>Legislative review of CBC and Uranium One contracts</t>
        </is>
      </c>
      <c r="M173" s="45" t="inlineStr">
        <is>
          <t>lithium</t>
        </is>
      </c>
      <c r="N173" s="45" t="inlineStr">
        <is>
          <t>253090;282520;283691</t>
        </is>
      </c>
      <c r="O173" s="45" t="inlineStr">
        <is>
          <t>foreign_investment;value_added_industrialization</t>
        </is>
      </c>
      <c r="P173" s="45" t="inlineStr">
        <is>
          <t>CHN;RUS</t>
        </is>
      </c>
      <c r="Q173" s="45" t="inlineStr">
        <is>
          <t>positive</t>
        </is>
      </c>
      <c r="R173" s="45" t="inlineStr">
        <is>
          <t>not_mentioned</t>
        </is>
      </c>
      <c r="S173" s="45" t="inlineStr">
        <is>
          <t>YLB; CBC; Uranium One Group</t>
        </is>
      </c>
      <c r="T173" s="45" t="inlineStr">
        <is>
          <t>YLB's president urged legislators to approve both lithium contracts to develop a large-scale industry, projecting about US$19bn in revenue from the CBC contract alone, amid civil-society objections.</t>
        </is>
      </c>
      <c r="U173" s="45" t="inlineStr">
        <is>
          <t>desarrollar una industria a gran escala</t>
        </is>
      </c>
      <c r="V173" s="45" t="inlineStr">
        <is>
          <t>develop a large-scale industry</t>
        </is>
      </c>
      <c r="W173" s="45" t="inlineStr">
        <is>
          <t>es</t>
        </is>
      </c>
      <c r="X173" s="45" t="inlineStr">
        <is>
          <t>Correo del Sur</t>
        </is>
      </c>
      <c r="Y173" s="45" t="inlineStr">
        <is>
          <t>https://correodelsur.com/economia/20250205/litio-mas-observaciones-apuntan-a-contrato-con-la-rusa-uranium-one.html</t>
        </is>
      </c>
      <c r="Z173" s="45" t="inlineStr">
        <is>
          <t>news_media</t>
        </is>
      </c>
      <c r="AA173" s="45" t="inlineStr">
        <is>
          <t>secondary_reported</t>
        </is>
      </c>
      <c r="AB173" s="45" t="inlineStr"/>
      <c r="AC173" s="45" t="inlineStr">
        <is>
          <t>BOL</t>
        </is>
      </c>
    </row>
    <row r="174" ht="15" customHeight="1" s="24">
      <c r="A174" s="45" t="inlineStr">
        <is>
          <t>PS-0173</t>
        </is>
      </c>
      <c r="B174" s="45" t="inlineStr">
        <is>
          <t>2025-02-11</t>
        </is>
      </c>
      <c r="C174" s="45" t="inlineStr">
        <is>
          <t>2025</t>
        </is>
      </c>
      <c r="D174" s="45" t="inlineStr">
        <is>
          <t>BOL</t>
        </is>
      </c>
      <c r="E174" s="45" t="inlineStr">
        <is>
          <t>Freddy Soto</t>
        </is>
      </c>
      <c r="F174" s="45" t="inlineStr">
        <is>
          <t>President of District 2, Potosí (civic leader)</t>
        </is>
      </c>
      <c r="G174" s="45" t="inlineStr">
        <is>
          <t>other</t>
        </is>
      </c>
      <c r="H174" s="45" t="inlineStr">
        <is>
          <t>Other (business, civil society, third countries)</t>
        </is>
      </c>
      <c r="I174" s="45" t="inlineStr">
        <is>
          <t>BOL</t>
        </is>
      </c>
      <c r="J174" s="45" t="inlineStr"/>
      <c r="K174" s="45" t="inlineStr">
        <is>
          <t>interview</t>
        </is>
      </c>
      <c r="L174" s="45" t="inlineStr">
        <is>
          <t>Potosí protest demanding lithium royalties and contract transparency</t>
        </is>
      </c>
      <c r="M174" s="45" t="inlineStr">
        <is>
          <t>lithium</t>
        </is>
      </c>
      <c r="N174" s="45" t="inlineStr">
        <is>
          <t>253090;282520;283691</t>
        </is>
      </c>
      <c r="O174" s="45" t="inlineStr">
        <is>
          <t>royalties_taxation;corruption_governance;labor_social_conflict</t>
        </is>
      </c>
      <c r="P174" s="45" t="inlineStr">
        <is>
          <t>CHN;RUS</t>
        </is>
      </c>
      <c r="Q174" s="45" t="inlineStr">
        <is>
          <t>not_mentioned</t>
        </is>
      </c>
      <c r="R174" s="45" t="inlineStr">
        <is>
          <t>not_mentioned</t>
        </is>
      </c>
      <c r="S174" s="45" t="inlineStr">
        <is>
          <t>CBC; Uranium One Group; Comcipo</t>
        </is>
      </c>
      <c r="T174" s="45" t="inlineStr">
        <is>
          <t>Potosí protesters demanded at least 12% participation in lithium benefits and suspension of the CBC and Uranium One contracts until community demands are met.</t>
        </is>
      </c>
      <c r="U174" s="45" t="inlineStr">
        <is>
          <t>El litio es de Potosí, pero lo están negociando sin considerar a la población</t>
        </is>
      </c>
      <c r="V174" s="45" t="inlineStr">
        <is>
          <t>Lithium belongs to Potosí, but they are negotiating it without considering the population</t>
        </is>
      </c>
      <c r="W174" s="45" t="inlineStr">
        <is>
          <t>es</t>
        </is>
      </c>
      <c r="X174" s="45" t="inlineStr">
        <is>
          <t>Los Tiempos</t>
        </is>
      </c>
      <c r="Y174" s="45" t="inlineStr">
        <is>
          <t>https://www.lostiempos.com/actualidad/economia/20250212/potosi-exige-mas-regalias-del-litio-transparencia-contratos</t>
        </is>
      </c>
      <c r="Z174" s="45" t="inlineStr">
        <is>
          <t>news_media</t>
        </is>
      </c>
      <c r="AA174" s="45" t="inlineStr">
        <is>
          <t>secondary_reported</t>
        </is>
      </c>
      <c r="AB174" s="45" t="inlineStr"/>
      <c r="AC174" s="45" t="inlineStr">
        <is>
          <t>BOL</t>
        </is>
      </c>
    </row>
    <row r="175" ht="15" customHeight="1" s="24">
      <c r="A175" s="45" t="inlineStr">
        <is>
          <t>PS-0174</t>
        </is>
      </c>
      <c r="B175" s="45" t="inlineStr">
        <is>
          <t>2025-02-12</t>
        </is>
      </c>
      <c r="C175" s="45" t="inlineStr">
        <is>
          <t>2025</t>
        </is>
      </c>
      <c r="D175" s="45" t="inlineStr">
        <is>
          <t>ARG</t>
        </is>
      </c>
      <c r="E175" s="45" t="inlineStr">
        <is>
          <t>Gustavo Sáenz</t>
        </is>
      </c>
      <c r="F175" s="45" t="inlineStr">
        <is>
          <t>Governor of Salta</t>
        </is>
      </c>
      <c r="G175" s="45" t="inlineStr">
        <is>
          <t>subnational_gov</t>
        </is>
      </c>
      <c r="H175" s="45" t="inlineStr">
        <is>
          <t>LatAm executive</t>
        </is>
      </c>
      <c r="I175" s="45" t="inlineStr">
        <is>
          <t>ARG</t>
        </is>
      </c>
      <c r="J175" s="45" t="inlineStr">
        <is>
          <t>Primero Salta</t>
        </is>
      </c>
      <c r="K175" s="45" t="inlineStr">
        <is>
          <t>speech</t>
        </is>
      </c>
      <c r="L175" s="45" t="inlineStr">
        <is>
          <t>Inauguration of Ganfeng's Mariana lithium chloride plant</t>
        </is>
      </c>
      <c r="M175" s="45" t="inlineStr">
        <is>
          <t>lithium</t>
        </is>
      </c>
      <c r="N175" s="45" t="inlineStr">
        <is>
          <t>253090;282520;283691</t>
        </is>
      </c>
      <c r="O175" s="45" t="inlineStr">
        <is>
          <t>foreign_investment;processing_refining;energy_transition</t>
        </is>
      </c>
      <c r="P175" s="45" t="inlineStr">
        <is>
          <t>CHN</t>
        </is>
      </c>
      <c r="Q175" s="45" t="inlineStr">
        <is>
          <t>positive</t>
        </is>
      </c>
      <c r="R175" s="45" t="inlineStr">
        <is>
          <t>not_mentioned</t>
        </is>
      </c>
      <c r="S175" s="45" t="inlineStr">
        <is>
          <t>Ganfeng Lithium; Mariana</t>
        </is>
      </c>
      <c r="T175" s="45" t="inlineStr">
        <is>
          <t>At the opening of Chinese firm Ganfeng's Mariana plant, Sáenz hailed a day of great significance for Salta and Argentina, noting 600 workers and 20,000 tonnes a year of lithium chloride.</t>
        </is>
      </c>
      <c r="U175" s="45" t="inlineStr">
        <is>
          <t>Avanzamos hacia un futuro donde la minería y la sostenibilidad caminan juntas</t>
        </is>
      </c>
      <c r="V175" s="45" t="inlineStr">
        <is>
          <t>We are moving toward a future where mining and sustainability walk together</t>
        </is>
      </c>
      <c r="W175" s="45" t="inlineStr">
        <is>
          <t>es</t>
        </is>
      </c>
      <c r="X175" s="45" t="inlineStr">
        <is>
          <t>Ámbito</t>
        </is>
      </c>
      <c r="Y175" s="45" t="inlineStr">
        <is>
          <t>https://www.ambito.com/ambito-nacional/gustavo-saenz-celebro-inicio-la-produccion-cloruro-litio-salta-es-protagonista-la-transicion-energetica-n6112963</t>
        </is>
      </c>
      <c r="Z175" s="45" t="inlineStr">
        <is>
          <t>news_media</t>
        </is>
      </c>
      <c r="AA175" s="45" t="inlineStr">
        <is>
          <t>secondary_reported</t>
        </is>
      </c>
      <c r="AB175" s="45" t="inlineStr">
        <is>
          <t>Stance toward China inferred from celebrating Chinese-owned project. Project later denied RIGI (Jul 2025).</t>
        </is>
      </c>
      <c r="AC175" s="45" t="inlineStr">
        <is>
          <t>ARG</t>
        </is>
      </c>
    </row>
    <row r="176" ht="15" customHeight="1" s="24">
      <c r="A176" s="45" t="inlineStr">
        <is>
          <t>PS-0175</t>
        </is>
      </c>
      <c r="B176" s="45" t="inlineStr">
        <is>
          <t>2025-02-13</t>
        </is>
      </c>
      <c r="C176" s="45" t="inlineStr">
        <is>
          <t>2025</t>
        </is>
      </c>
      <c r="D176" s="45" t="inlineStr">
        <is>
          <t>REG</t>
        </is>
      </c>
      <c r="E176" s="45" t="inlineStr">
        <is>
          <t>Alvin Holsey</t>
        </is>
      </c>
      <c r="F176" s="45" t="inlineStr">
        <is>
          <t>Admiral, Commander, U.S. Southern Command</t>
        </is>
      </c>
      <c r="G176" s="45" t="inlineStr">
        <is>
          <t>us_central_gov</t>
        </is>
      </c>
      <c r="H176" s="45" t="inlineStr">
        <is>
          <t>United States</t>
        </is>
      </c>
      <c r="I176" s="45" t="inlineStr">
        <is>
          <t>USA</t>
        </is>
      </c>
      <c r="J176" s="45" t="inlineStr"/>
      <c r="K176" s="45" t="inlineStr">
        <is>
          <t>report</t>
        </is>
      </c>
      <c r="L176" s="45" t="inlineStr">
        <is>
          <t>SOUTHCOM 2025 Posture Statement to Senate Armed Services Committee</t>
        </is>
      </c>
      <c r="M176" s="45" t="inlineStr">
        <is>
          <t>lithium;rare_earths;critical_minerals_general</t>
        </is>
      </c>
      <c r="N176" s="45" t="inlineStr">
        <is>
          <t>253090;282520;283691;284690</t>
        </is>
      </c>
      <c r="O176" s="45" t="inlineStr">
        <is>
          <t>geopolitics_security;infrastructure_ports;foreign_investment</t>
        </is>
      </c>
      <c r="P176" s="45" t="inlineStr">
        <is>
          <t>CHN;ARG;BOL;CHL</t>
        </is>
      </c>
      <c r="Q176" s="45" t="inlineStr">
        <is>
          <t>negative</t>
        </is>
      </c>
      <c r="R176" s="45" t="inlineStr">
        <is>
          <t>positive</t>
        </is>
      </c>
      <c r="S176" s="45" t="inlineStr">
        <is>
          <t>Belt and Road Initiative</t>
        </is>
      </c>
      <c r="T176" s="45" t="inlineStr">
        <is>
          <t>Holsey's posture statement said China is 'plowing fertile ground' in a region holding half the world's lithium reserves and a quarter of strategic metals, and that Chinese SOEs dominate rare earth mining and refining and use BRI to gain access to rare earths and ports.</t>
        </is>
      </c>
      <c r="U176" s="45" t="inlineStr">
        <is>
          <t>Fifty percent of the world's lithium reserves are found in Argentina, Bolivia, and Chile.</t>
        </is>
      </c>
      <c r="V176" s="45" t="inlineStr">
        <is>
          <t>Fifty percent of the world's lithium reserves are found in Argentina, Bolivia, and Chile.</t>
        </is>
      </c>
      <c r="W176" s="45" t="inlineStr">
        <is>
          <t>en</t>
        </is>
      </c>
      <c r="X176" s="45" t="inlineStr">
        <is>
          <t>U.S. Senate Armed Services Committee</t>
        </is>
      </c>
      <c r="Y176" s="45" t="inlineStr">
        <is>
          <t>https://www.armed-services.senate.gov/imo/media/doc/holsey_statement.pdf</t>
        </is>
      </c>
      <c r="Z176" s="45" t="inlineStr">
        <is>
          <t>legislative_record</t>
        </is>
      </c>
      <c r="AA176" s="45" t="inlineStr">
        <is>
          <t>primary_verified</t>
        </is>
      </c>
      <c r="AB176" s="45" t="inlineStr">
        <is>
          <t>Written statement dated 13 Feb 2025 (SASC); also delivered to HASC 1 Apr 2025.</t>
        </is>
      </c>
      <c r="AC176" s="45" t="inlineStr">
        <is>
          <t>USA_gov</t>
        </is>
      </c>
    </row>
    <row r="177" ht="15" customHeight="1" s="24">
      <c r="A177" s="45" t="inlineStr">
        <is>
          <t>PS-0176</t>
        </is>
      </c>
      <c r="B177" s="45" t="inlineStr">
        <is>
          <t>2025-02-17</t>
        </is>
      </c>
      <c r="C177" s="45" t="inlineStr">
        <is>
          <t>2025</t>
        </is>
      </c>
      <c r="D177" s="45" t="inlineStr">
        <is>
          <t>BOL</t>
        </is>
      </c>
      <c r="E177" s="45" t="inlineStr">
        <is>
          <t>Gualberto Arispe</t>
        </is>
      </c>
      <c r="F177" s="45" t="inlineStr">
        <is>
          <t>Deputy (MAS, evista bloc)</t>
        </is>
      </c>
      <c r="G177" s="45" t="inlineStr">
        <is>
          <t>legislator</t>
        </is>
      </c>
      <c r="H177" s="45" t="inlineStr">
        <is>
          <t>LatAm legislature</t>
        </is>
      </c>
      <c r="I177" s="45" t="inlineStr">
        <is>
          <t>BOL</t>
        </is>
      </c>
      <c r="J177" s="45" t="inlineStr">
        <is>
          <t>MAS (evista faction)</t>
        </is>
      </c>
      <c r="K177" s="45" t="inlineStr">
        <is>
          <t>interview</t>
        </is>
      </c>
      <c r="L177" s="45" t="inlineStr">
        <is>
          <t>Chamber of Deputies review of lithium contracts</t>
        </is>
      </c>
      <c r="M177" s="45" t="inlineStr">
        <is>
          <t>lithium</t>
        </is>
      </c>
      <c r="N177" s="45" t="inlineStr">
        <is>
          <t>253090;282520;283691</t>
        </is>
      </c>
      <c r="O177" s="45" t="inlineStr">
        <is>
          <t>sovereignty;royalties_taxation</t>
        </is>
      </c>
      <c r="P177" s="45" t="inlineStr">
        <is>
          <t>CHN;RUS</t>
        </is>
      </c>
      <c r="Q177" s="45" t="inlineStr">
        <is>
          <t>negative</t>
        </is>
      </c>
      <c r="R177" s="45" t="inlineStr">
        <is>
          <t>not_mentioned</t>
        </is>
      </c>
      <c r="S177" s="45" t="inlineStr">
        <is>
          <t>CBC; Uranium One Group</t>
        </is>
      </c>
      <c r="T177" s="45" t="inlineStr">
        <is>
          <t>Arispe said the Evo Morales-aligned bloc would not approve the lithium contracts with Chinese and Russian firms, arguing the state's 51% share plus interest payments left foreign firms with more than half the value.</t>
        </is>
      </c>
      <c r="U177" s="45" t="inlineStr">
        <is>
          <t>No vamos a dar curso, porque no vemos conveniente para el pueblo boliviano</t>
        </is>
      </c>
      <c r="V177" s="45" t="inlineStr">
        <is>
          <t>We will not let it proceed, because we do not see it as convenient for the Bolivian people</t>
        </is>
      </c>
      <c r="W177" s="45" t="inlineStr">
        <is>
          <t>es</t>
        </is>
      </c>
      <c r="X177" s="45" t="inlineStr">
        <is>
          <t>EJU.tv</t>
        </is>
      </c>
      <c r="Y177" s="45" t="inlineStr">
        <is>
          <t>https://eju.tv/?p=4518265</t>
        </is>
      </c>
      <c r="Z177" s="45" t="inlineStr">
        <is>
          <t>news_media</t>
        </is>
      </c>
      <c r="AA177" s="45" t="inlineStr">
        <is>
          <t>secondary_reported</t>
        </is>
      </c>
      <c r="AB177" s="45" t="inlineStr"/>
      <c r="AC177" s="45" t="inlineStr">
        <is>
          <t>BOL</t>
        </is>
      </c>
    </row>
    <row r="178" ht="15" customHeight="1" s="24">
      <c r="A178" s="45" t="inlineStr">
        <is>
          <t>PS-0177</t>
        </is>
      </c>
      <c r="B178" s="45" t="inlineStr">
        <is>
          <t>2025-02-19</t>
        </is>
      </c>
      <c r="C178" s="45" t="inlineStr">
        <is>
          <t>2025</t>
        </is>
      </c>
      <c r="D178" s="45" t="inlineStr">
        <is>
          <t>BOL</t>
        </is>
      </c>
      <c r="E178" s="45" t="inlineStr">
        <is>
          <t>Janira Román</t>
        </is>
      </c>
      <c r="F178" s="45" t="inlineStr">
        <is>
          <t>Deputy (Comunidad Ciudadana)</t>
        </is>
      </c>
      <c r="G178" s="45" t="inlineStr">
        <is>
          <t>legislator</t>
        </is>
      </c>
      <c r="H178" s="45" t="inlineStr">
        <is>
          <t>LatAm legislature</t>
        </is>
      </c>
      <c r="I178" s="45" t="inlineStr">
        <is>
          <t>BOL</t>
        </is>
      </c>
      <c r="J178" s="45" t="inlineStr">
        <is>
          <t>Comunidad Ciudadana</t>
        </is>
      </c>
      <c r="K178" s="45" t="inlineStr">
        <is>
          <t>official_statement</t>
        </is>
      </c>
      <c r="L178" s="45" t="inlineStr">
        <is>
          <t>Chamber of Deputies review of Uranium One contract</t>
        </is>
      </c>
      <c r="M178" s="45" t="inlineStr">
        <is>
          <t>lithium</t>
        </is>
      </c>
      <c r="N178" s="45" t="inlineStr">
        <is>
          <t>253090;282520;283691</t>
        </is>
      </c>
      <c r="O178" s="45" t="inlineStr">
        <is>
          <t>corruption_governance;geopolitics_security</t>
        </is>
      </c>
      <c r="P178" s="45" t="inlineStr">
        <is>
          <t>RUS</t>
        </is>
      </c>
      <c r="Q178" s="45" t="inlineStr">
        <is>
          <t>not_mentioned</t>
        </is>
      </c>
      <c r="R178" s="45" t="inlineStr">
        <is>
          <t>not_mentioned</t>
        </is>
      </c>
      <c r="S178" s="45" t="inlineStr">
        <is>
          <t>Uranium One Group; YLB</t>
        </is>
      </c>
      <c r="T178" s="45" t="inlineStr">
        <is>
          <t>Román argued Uranium One's registered Bolivian branch is focused on nuclear materials, not lithium, and called on the legislature to reject the contract.</t>
        </is>
      </c>
      <c r="U178" s="45" t="inlineStr">
        <is>
          <t>la sucursal rusa puede realizar trabajos geofísicos, exploración y extracción de minerales que contengan sustancias nucleares</t>
        </is>
      </c>
      <c r="V178" s="45" t="inlineStr">
        <is>
          <t>the Russian branch can carry out geophysical work, exploration and extraction of minerals containing nuclear substances</t>
        </is>
      </c>
      <c r="W178" s="45" t="inlineStr">
        <is>
          <t>es</t>
        </is>
      </c>
      <c r="X178" s="45" t="inlineStr">
        <is>
          <t>EJU.tv</t>
        </is>
      </c>
      <c r="Y178" s="45" t="inlineStr">
        <is>
          <t>https://eju.tv/?p=4521361</t>
        </is>
      </c>
      <c r="Z178" s="45" t="inlineStr">
        <is>
          <t>news_media</t>
        </is>
      </c>
      <c r="AA178" s="45" t="inlineStr">
        <is>
          <t>secondary_reported</t>
        </is>
      </c>
      <c r="AB178" s="45" t="inlineStr"/>
      <c r="AC178" s="45" t="inlineStr">
        <is>
          <t>BOL</t>
        </is>
      </c>
    </row>
    <row r="179" ht="15" customHeight="1" s="24">
      <c r="A179" s="45" t="inlineStr">
        <is>
          <t>PS-0178</t>
        </is>
      </c>
      <c r="B179" s="45" t="inlineStr">
        <is>
          <t>2025-02-20</t>
        </is>
      </c>
      <c r="C179" s="45" t="inlineStr">
        <is>
          <t>2025</t>
        </is>
      </c>
      <c r="D179" s="45" t="inlineStr">
        <is>
          <t>BOL</t>
        </is>
      </c>
      <c r="E179" s="45" t="inlineStr">
        <is>
          <t>Constitutional Chamber, La Paz</t>
        </is>
      </c>
      <c r="F179" s="45" t="inlineStr">
        <is>
          <t>Departmental court constitutional chamber</t>
        </is>
      </c>
      <c r="G179" s="45" t="inlineStr">
        <is>
          <t>judiciary</t>
        </is>
      </c>
      <c r="H179" s="45" t="inlineStr">
        <is>
          <t>LatAm judiciary</t>
        </is>
      </c>
      <c r="I179" s="45" t="inlineStr">
        <is>
          <t>BOL</t>
        </is>
      </c>
      <c r="J179" s="45" t="inlineStr"/>
      <c r="K179" s="45" t="inlineStr">
        <is>
          <t>court_ruling</t>
        </is>
      </c>
      <c r="L179" s="45" t="inlineStr">
        <is>
          <t>Challenge to Uranium One lithium contract</t>
        </is>
      </c>
      <c r="M179" s="45" t="inlineStr">
        <is>
          <t>lithium</t>
        </is>
      </c>
      <c r="N179" s="45" t="inlineStr">
        <is>
          <t>253090;282520;283691</t>
        </is>
      </c>
      <c r="O179" s="45" t="inlineStr">
        <is>
          <t>corruption_governance;indigenous_community_rights</t>
        </is>
      </c>
      <c r="P179" s="45" t="inlineStr">
        <is>
          <t>RUS</t>
        </is>
      </c>
      <c r="Q179" s="45" t="inlineStr">
        <is>
          <t>not_mentioned</t>
        </is>
      </c>
      <c r="R179" s="45" t="inlineStr">
        <is>
          <t>not_mentioned</t>
        </is>
      </c>
      <c r="S179" s="45" t="inlineStr">
        <is>
          <t>Uranium One Group; YLB</t>
        </is>
      </c>
      <c r="T179" s="45" t="inlineStr">
        <is>
          <t>A La Paz constitutional chamber rejected a challenge to the lithium contract, reasoning that it would not be perfected until the legislative procedure was completed.</t>
        </is>
      </c>
      <c r="U179" s="45" t="inlineStr"/>
      <c r="V179" s="45" t="inlineStr"/>
      <c r="W179" s="45" t="inlineStr">
        <is>
          <t>es</t>
        </is>
      </c>
      <c r="X179" s="45" t="inlineStr">
        <is>
          <t>Swissinfo (EFE)</t>
        </is>
      </c>
      <c r="Y179" s="45" t="inlineStr">
        <is>
          <t>https://www.swissinfo.ch/spa/juzgado-boliviano-revierte-orden-que-detuvo-contratos-con-rusia-y-china-para-extraer-litio/89476306</t>
        </is>
      </c>
      <c r="Z179" s="45" t="inlineStr">
        <is>
          <t>news_media</t>
        </is>
      </c>
      <c r="AA179" s="45" t="inlineStr">
        <is>
          <t>secondary_reported</t>
        </is>
      </c>
      <c r="AB179" s="45" t="inlineStr">
        <is>
          <t>Reported in background of June 2025 article.</t>
        </is>
      </c>
      <c r="AC179" s="45" t="inlineStr">
        <is>
          <t>BOL</t>
        </is>
      </c>
    </row>
    <row r="180" ht="15" customHeight="1" s="24">
      <c r="A180" s="45" t="inlineStr">
        <is>
          <t>PS-0179</t>
        </is>
      </c>
      <c r="B180" s="45" t="inlineStr">
        <is>
          <t>2025-04-06</t>
        </is>
      </c>
      <c r="C180" s="45" t="inlineStr">
        <is>
          <t>2025</t>
        </is>
      </c>
      <c r="D180" s="45" t="inlineStr">
        <is>
          <t>CHL</t>
        </is>
      </c>
      <c r="E180" s="45" t="inlineStr">
        <is>
          <t>Niu Qingbao</t>
        </is>
      </c>
      <c r="F180" s="45" t="inlineStr">
        <is>
          <t>Chinese Ambassador to Chile</t>
        </is>
      </c>
      <c r="G180" s="45" t="inlineStr">
        <is>
          <t>china_embassy</t>
        </is>
      </c>
      <c r="H180" s="45" t="inlineStr">
        <is>
          <t>China</t>
        </is>
      </c>
      <c r="I180" s="45" t="inlineStr">
        <is>
          <t>CHN</t>
        </is>
      </c>
      <c r="J180" s="45" t="inlineStr">
        <is>
          <t>CCP</t>
        </is>
      </c>
      <c r="K180" s="45" t="inlineStr">
        <is>
          <t>interview</t>
        </is>
      </c>
      <c r="L180" s="45" t="inlineStr">
        <is>
          <t>La Tercera interview amid US tariff escalation</t>
        </is>
      </c>
      <c r="M180" s="45" t="inlineStr">
        <is>
          <t>lithium;copper</t>
        </is>
      </c>
      <c r="N180" s="45" t="inlineStr">
        <is>
          <t>253090;260300;282520;283691;740200;740311</t>
        </is>
      </c>
      <c r="O180" s="45" t="inlineStr">
        <is>
          <t>geopolitics_security;foreign_investment;tariffs_trade_policy</t>
        </is>
      </c>
      <c r="P180" s="45" t="inlineStr">
        <is>
          <t>USA</t>
        </is>
      </c>
      <c r="Q180" s="45" t="inlineStr">
        <is>
          <t>positive</t>
        </is>
      </c>
      <c r="R180" s="45" t="inlineStr">
        <is>
          <t>negative</t>
        </is>
      </c>
      <c r="S180" s="45" t="inlineStr">
        <is>
          <t>Tianqi; Codelco; SQM</t>
        </is>
      </c>
      <c r="T180" s="45" t="inlineStr">
        <is>
          <t>The ambassador said US hegemonic measures would not change China-Chile cooperation, noted China is the largest lithium consumer, and hoped Chilean authorities would protect Tianqi's legitimate rights in the Codelco-SQM deal.</t>
        </is>
      </c>
      <c r="U180" s="45" t="inlineStr">
        <is>
          <t>las autoridades chilenas protegerán efectivamente los derechos e intereses legítimos de Tianqi</t>
        </is>
      </c>
      <c r="V180" s="45" t="inlineStr">
        <is>
          <t>Chilean authorities will effectively protect Tianqi's legitimate rights and interests</t>
        </is>
      </c>
      <c r="W180" s="45" t="inlineStr">
        <is>
          <t>es</t>
        </is>
      </c>
      <c r="X180" s="45" t="inlineStr">
        <is>
          <t>La Tercera</t>
        </is>
      </c>
      <c r="Y180" s="45" t="inlineStr">
        <is>
          <t>https://www.latercera.com/la-tercera-domingo/noticia/entrevista-a-niu-qingbao-embajador-de-china-las-amenazas-de-eeuu-no-cambiaran-la-base-de-la-cooperacion-entre-china-y-chile/</t>
        </is>
      </c>
      <c r="Z180" s="45" t="inlineStr">
        <is>
          <t>news_media</t>
        </is>
      </c>
      <c r="AA180" s="45" t="inlineStr">
        <is>
          <t>secondary_reported</t>
        </is>
      </c>
      <c r="AB180" s="45" t="inlineStr">
        <is>
          <t>Quote phrased as hope in original interview</t>
        </is>
      </c>
      <c r="AC180" s="45" t="inlineStr">
        <is>
          <t>CHL</t>
        </is>
      </c>
    </row>
    <row r="181" ht="15" customHeight="1" s="24">
      <c r="A181" s="45" t="inlineStr">
        <is>
          <t>PS-0180</t>
        </is>
      </c>
      <c r="B181" s="45" t="inlineStr">
        <is>
          <t>2025-04-14</t>
        </is>
      </c>
      <c r="C181" s="45" t="inlineStr">
        <is>
          <t>2025</t>
        </is>
      </c>
      <c r="D181" s="45" t="inlineStr">
        <is>
          <t>ARG</t>
        </is>
      </c>
      <c r="E181" s="45" t="inlineStr">
        <is>
          <t>Scott Bessent</t>
        </is>
      </c>
      <c r="F181" s="45" t="inlineStr">
        <is>
          <t>U.S. Secretary of the Treasury</t>
        </is>
      </c>
      <c r="G181" s="45" t="inlineStr">
        <is>
          <t>us_central_gov</t>
        </is>
      </c>
      <c r="H181" s="45" t="inlineStr">
        <is>
          <t>United States</t>
        </is>
      </c>
      <c r="I181" s="45" t="inlineStr">
        <is>
          <t>USA</t>
        </is>
      </c>
      <c r="J181" s="45" t="inlineStr">
        <is>
          <t>Republican (Trump administration)</t>
        </is>
      </c>
      <c r="K181" s="45" t="inlineStr">
        <is>
          <t>interview</t>
        </is>
      </c>
      <c r="L181" s="45" t="inlineStr">
        <is>
          <t>Bessent visit to Buenos Aires after IMF deal; remarks on China swap</t>
        </is>
      </c>
      <c r="M181" s="45" t="inlineStr">
        <is>
          <t>mining_general</t>
        </is>
      </c>
      <c r="N181" s="45" t="inlineStr"/>
      <c r="O181" s="45" t="inlineStr">
        <is>
          <t>geopolitics_security;financing_credit</t>
        </is>
      </c>
      <c r="P181" s="45" t="inlineStr">
        <is>
          <t>CHN;ARG</t>
        </is>
      </c>
      <c r="Q181" s="45" t="inlineStr">
        <is>
          <t>negative</t>
        </is>
      </c>
      <c r="R181" s="45" t="inlineStr">
        <is>
          <t>positive</t>
        </is>
      </c>
      <c r="S181" s="45" t="inlineStr">
        <is>
          <t>PBOC-BCRA swap</t>
        </is>
      </c>
      <c r="T181" s="45" t="inlineStr">
        <is>
          <t>During his Buenos Aires visit, Bessent urged Argentina to wind down its currency swap with China and warned against Chinese 'predatory' deals like those in Africa, where China took over mineral rights and saddled countries with debt.</t>
        </is>
      </c>
      <c r="U181" s="45" t="inlineStr"/>
      <c r="V181" s="45" t="inlineStr"/>
      <c r="W181" s="45" t="inlineStr">
        <is>
          <t>en</t>
        </is>
      </c>
      <c r="X181" s="45" t="inlineStr">
        <is>
          <t>La Política Online</t>
        </is>
      </c>
      <c r="Y181" s="45" t="inlineStr">
        <is>
          <t>https://www.lapoliticaonline.com/politica/el-secretario-del-tesoro-de-trump-rechazo-darle-un-prestamo-a-milei-y-le-pidio-que-desarme-el-swap-con-china/</t>
        </is>
      </c>
      <c r="Z181" s="45" t="inlineStr">
        <is>
          <t>news_media</t>
        </is>
      </c>
      <c r="AA181" s="45" t="inlineStr">
        <is>
          <t>secondary_reported</t>
        </is>
      </c>
      <c r="AB181" s="45" t="inlineStr">
        <is>
          <t>Remarks (reportedly to Bloomberg) quoted only in Spanish translation; quote fields left empty. Minerals reference is to Africa as cautionary example for Argentina.</t>
        </is>
      </c>
      <c r="AC181" s="45" t="inlineStr">
        <is>
          <t>USA_gov</t>
        </is>
      </c>
    </row>
    <row r="182" ht="15" customHeight="1" s="24">
      <c r="A182" s="45" t="inlineStr">
        <is>
          <t>PS-0181</t>
        </is>
      </c>
      <c r="B182" s="45" t="inlineStr">
        <is>
          <t>2025-04-15</t>
        </is>
      </c>
      <c r="C182" s="45" t="inlineStr">
        <is>
          <t>2025</t>
        </is>
      </c>
      <c r="D182" s="45" t="inlineStr">
        <is>
          <t>CHL</t>
        </is>
      </c>
      <c r="E182" s="45" t="inlineStr">
        <is>
          <t>Aisén Etcheverry</t>
        </is>
      </c>
      <c r="F182" s="45" t="inlineStr">
        <is>
          <t>Government Spokesperson (Minister Secretary General of Government)</t>
        </is>
      </c>
      <c r="G182" s="45" t="inlineStr">
        <is>
          <t>minister_cabinet</t>
        </is>
      </c>
      <c r="H182" s="45" t="inlineStr">
        <is>
          <t>LatAm executive</t>
        </is>
      </c>
      <c r="I182" s="45" t="inlineStr">
        <is>
          <t>CHL</t>
        </is>
      </c>
      <c r="J182" s="45" t="inlineStr">
        <is>
          <t>Independent (Boric government)</t>
        </is>
      </c>
      <c r="K182" s="45" t="inlineStr">
        <is>
          <t>press_conference</t>
        </is>
      </c>
      <c r="L182" s="45" t="inlineStr">
        <is>
          <t>Government response to Matthei on Codelco-SQM</t>
        </is>
      </c>
      <c r="M182" s="45" t="inlineStr">
        <is>
          <t>lithium</t>
        </is>
      </c>
      <c r="N182" s="45" t="inlineStr">
        <is>
          <t>253090;282520;283691</t>
        </is>
      </c>
      <c r="O182" s="45" t="inlineStr">
        <is>
          <t>state_control_nationalization</t>
        </is>
      </c>
      <c r="P182" s="45" t="inlineStr">
        <is>
          <t>none</t>
        </is>
      </c>
      <c r="Q182" s="45" t="inlineStr">
        <is>
          <t>not_mentioned</t>
        </is>
      </c>
      <c r="R182" s="45" t="inlineStr">
        <is>
          <t>not_mentioned</t>
        </is>
      </c>
      <c r="S182" s="45" t="inlineStr">
        <is>
          <t>Codelco; SQM</t>
        </is>
      </c>
      <c r="T182" s="45" t="inlineStr">
        <is>
          <t>The government spokesperson defended the Codelco-SQM deal as fundamental and valued by national and international experts and urged Matthei to retract her doubts.</t>
        </is>
      </c>
      <c r="U182" s="45" t="inlineStr">
        <is>
          <t>ojalá la candidata se desdiga de este manto de dudas que está instalando</t>
        </is>
      </c>
      <c r="V182" s="45" t="inlineStr">
        <is>
          <t>hopefully the candidate will retract this cloak of doubt she is spreading</t>
        </is>
      </c>
      <c r="W182" s="45" t="inlineStr">
        <is>
          <t>es</t>
        </is>
      </c>
      <c r="X182" s="45" t="inlineStr">
        <is>
          <t>El Dínamo</t>
        </is>
      </c>
      <c r="Y182" s="45" t="inlineStr">
        <is>
          <t>https://www.eldinamo.cl/pais/2025/04/15/la-moneda-lanza-ofensiva-contra-evelyn-matthei-tras-cuestionar-acuerdo-codelco-sqm-por-el-litio/</t>
        </is>
      </c>
      <c r="Z182" s="45" t="inlineStr">
        <is>
          <t>news_media</t>
        </is>
      </c>
      <c r="AA182" s="45" t="inlineStr">
        <is>
          <t>secondary_reported</t>
        </is>
      </c>
      <c r="AB182" s="45" t="inlineStr"/>
      <c r="AC182" s="45" t="inlineStr">
        <is>
          <t>CHL</t>
        </is>
      </c>
    </row>
    <row r="183" ht="15" customHeight="1" s="24">
      <c r="A183" s="45" t="inlineStr">
        <is>
          <t>PS-0182</t>
        </is>
      </c>
      <c r="B183" s="45" t="inlineStr">
        <is>
          <t>2025-04-15</t>
        </is>
      </c>
      <c r="C183" s="45" t="inlineStr">
        <is>
          <t>2025</t>
        </is>
      </c>
      <c r="D183" s="45" t="inlineStr">
        <is>
          <t>CHL</t>
        </is>
      </c>
      <c r="E183" s="45" t="inlineStr">
        <is>
          <t>Codelco</t>
        </is>
      </c>
      <c r="F183" s="45" t="inlineStr">
        <is>
          <t>State copper company (corporate statement)</t>
        </is>
      </c>
      <c r="G183" s="45" t="inlineStr">
        <is>
          <t>state_company</t>
        </is>
      </c>
      <c r="H183" s="45" t="inlineStr">
        <is>
          <t>LatAm state company</t>
        </is>
      </c>
      <c r="I183" s="45" t="inlineStr">
        <is>
          <t>CHL</t>
        </is>
      </c>
      <c r="J183" s="45" t="inlineStr"/>
      <c r="K183" s="45" t="inlineStr">
        <is>
          <t>official_statement</t>
        </is>
      </c>
      <c r="L183" s="45" t="inlineStr">
        <is>
          <t>Codelco response to Matthei on SQM agreement</t>
        </is>
      </c>
      <c r="M183" s="45" t="inlineStr">
        <is>
          <t>lithium</t>
        </is>
      </c>
      <c r="N183" s="45" t="inlineStr">
        <is>
          <t>253090;282520;283691</t>
        </is>
      </c>
      <c r="O183" s="45" t="inlineStr">
        <is>
          <t>corruption_governance;state_control_nationalization</t>
        </is>
      </c>
      <c r="P183" s="45" t="inlineStr">
        <is>
          <t>EU</t>
        </is>
      </c>
      <c r="Q183" s="45" t="inlineStr">
        <is>
          <t>not_mentioned</t>
        </is>
      </c>
      <c r="R183" s="45" t="inlineStr">
        <is>
          <t>not_mentioned</t>
        </is>
      </c>
      <c r="S183" s="45" t="inlineStr">
        <is>
          <t>Codelco; SQM</t>
        </is>
      </c>
      <c r="T183" s="45" t="inlineStr">
        <is>
          <t>Codelco said the SQM partnership had been scrutinised in several jurisdictions, approved without conditions by the EU and upheld by Chile's higher courts, and asked that it not become an electoral issue.</t>
        </is>
      </c>
      <c r="U183" s="45" t="inlineStr">
        <is>
          <t>nuestros Tribunales Superiores de Justicia han confirmado la validez y legalidad</t>
        </is>
      </c>
      <c r="V183" s="45" t="inlineStr">
        <is>
          <t>our Higher Courts of Justice have confirmed the validity and legality</t>
        </is>
      </c>
      <c r="W183" s="45" t="inlineStr">
        <is>
          <t>es</t>
        </is>
      </c>
      <c r="X183" s="45" t="inlineStr">
        <is>
          <t>El Dínamo</t>
        </is>
      </c>
      <c r="Y183" s="45" t="inlineStr">
        <is>
          <t>https://www.eldinamo.cl/pais/2025/04/15/la-moneda-lanza-ofensiva-contra-evelyn-matthei-tras-cuestionar-acuerdo-codelco-sqm-por-el-litio/</t>
        </is>
      </c>
      <c r="Z183" s="45" t="inlineStr">
        <is>
          <t>news_media</t>
        </is>
      </c>
      <c r="AA183" s="45" t="inlineStr">
        <is>
          <t>secondary_reported</t>
        </is>
      </c>
      <c r="AB183" s="45" t="inlineStr"/>
      <c r="AC183" s="45" t="inlineStr">
        <is>
          <t>CHL</t>
        </is>
      </c>
    </row>
    <row r="184" ht="15" customHeight="1" s="24">
      <c r="A184" s="45" t="inlineStr">
        <is>
          <t>PS-0183</t>
        </is>
      </c>
      <c r="B184" s="45" t="inlineStr">
        <is>
          <t>2025-04-15</t>
        </is>
      </c>
      <c r="C184" s="45" t="inlineStr">
        <is>
          <t>2025</t>
        </is>
      </c>
      <c r="D184" s="45" t="inlineStr">
        <is>
          <t>CHL</t>
        </is>
      </c>
      <c r="E184" s="45" t="inlineStr">
        <is>
          <t>Evelyn Matthei</t>
        </is>
      </c>
      <c r="F184" s="45" t="inlineStr">
        <is>
          <t>Presidential pre-candidate (Chile Vamos)</t>
        </is>
      </c>
      <c r="G184" s="45" t="inlineStr">
        <is>
          <t>political_party_candidate</t>
        </is>
      </c>
      <c r="H184" s="45" t="inlineStr">
        <is>
          <t>LatAm party/candidate</t>
        </is>
      </c>
      <c r="I184" s="45" t="inlineStr">
        <is>
          <t>CHL</t>
        </is>
      </c>
      <c r="J184" s="45" t="inlineStr">
        <is>
          <t>UDI / Chile Vamos</t>
        </is>
      </c>
      <c r="K184" s="45" t="inlineStr">
        <is>
          <t>campaign_statement</t>
        </is>
      </c>
      <c r="L184" s="45" t="inlineStr">
        <is>
          <t>Questioning of Codelco-SQM lithium deal</t>
        </is>
      </c>
      <c r="M184" s="45" t="inlineStr">
        <is>
          <t>lithium</t>
        </is>
      </c>
      <c r="N184" s="45" t="inlineStr">
        <is>
          <t>253090;282520;283691</t>
        </is>
      </c>
      <c r="O184" s="45" t="inlineStr">
        <is>
          <t>corruption_governance;state_control_nationalization</t>
        </is>
      </c>
      <c r="P184" s="45" t="inlineStr">
        <is>
          <t>none</t>
        </is>
      </c>
      <c r="Q184" s="45" t="inlineStr">
        <is>
          <t>not_mentioned</t>
        </is>
      </c>
      <c r="R184" s="45" t="inlineStr">
        <is>
          <t>not_mentioned</t>
        </is>
      </c>
      <c r="S184" s="45" t="inlineStr">
        <is>
          <t>Codelco; SQM</t>
        </is>
      </c>
      <c r="T184" s="45" t="inlineStr">
        <is>
          <t>Matthei asked Chile Vamos legislators to request all information on the Codelco-SQM agreement to review whether it was convenient for the country.</t>
        </is>
      </c>
      <c r="U184" s="45" t="inlineStr">
        <is>
          <t>he pedido a los parlamentarios de Chile Vamos que soliciten toda la información respecto del acuerdo SQM-Codelco</t>
        </is>
      </c>
      <c r="V184" s="45" t="inlineStr">
        <is>
          <t>I have asked Chile Vamos legislators to request all the information regarding the SQM-Codelco agreement</t>
        </is>
      </c>
      <c r="W184" s="45" t="inlineStr">
        <is>
          <t>es</t>
        </is>
      </c>
      <c r="X184" s="45" t="inlineStr">
        <is>
          <t>El Dínamo</t>
        </is>
      </c>
      <c r="Y184" s="45" t="inlineStr">
        <is>
          <t>https://www.eldinamo.cl/pais/2025/04/15/la-moneda-lanza-ofensiva-contra-evelyn-matthei-tras-cuestionar-acuerdo-codelco-sqm-por-el-litio/</t>
        </is>
      </c>
      <c r="Z184" s="45" t="inlineStr">
        <is>
          <t>news_media</t>
        </is>
      </c>
      <c r="AA184" s="45" t="inlineStr">
        <is>
          <t>secondary_reported</t>
        </is>
      </c>
      <c r="AB184" s="45" t="inlineStr"/>
      <c r="AC184" s="45" t="inlineStr">
        <is>
          <t>CHL</t>
        </is>
      </c>
    </row>
    <row r="185" ht="15" customHeight="1" s="24">
      <c r="A185" s="45" t="inlineStr">
        <is>
          <t>PS-0184</t>
        </is>
      </c>
      <c r="B185" s="45" t="inlineStr">
        <is>
          <t>2025-04-16</t>
        </is>
      </c>
      <c r="C185" s="45" t="inlineStr">
        <is>
          <t>2025</t>
        </is>
      </c>
      <c r="D185" s="45" t="inlineStr">
        <is>
          <t>MEX</t>
        </is>
      </c>
      <c r="E185" s="45" t="inlineStr">
        <is>
          <t>Claudia Sheinbaum</t>
        </is>
      </c>
      <c r="F185" s="45" t="inlineStr">
        <is>
          <t>President of Mexico</t>
        </is>
      </c>
      <c r="G185" s="45" t="inlineStr">
        <is>
          <t>head_of_state</t>
        </is>
      </c>
      <c r="H185" s="45" t="inlineStr">
        <is>
          <t>LatAm executive</t>
        </is>
      </c>
      <c r="I185" s="45" t="inlineStr">
        <is>
          <t>MEX</t>
        </is>
      </c>
      <c r="J185" s="45" t="inlineStr">
        <is>
          <t>Morena</t>
        </is>
      </c>
      <c r="K185" s="45" t="inlineStr">
        <is>
          <t>press_conference</t>
        </is>
      </c>
      <c r="L185" s="45" t="inlineStr">
        <is>
          <t>New national lithium strategy expanding LitioMx</t>
        </is>
      </c>
      <c r="M185" s="45" t="inlineStr">
        <is>
          <t>lithium</t>
        </is>
      </c>
      <c r="N185" s="45" t="inlineStr">
        <is>
          <t>253090;282520;283691</t>
        </is>
      </c>
      <c r="O185" s="45" t="inlineStr">
        <is>
          <t>value_added_industrialization;state_control_nationalization;energy_transition;technology_transfer</t>
        </is>
      </c>
      <c r="P185" s="45" t="inlineStr">
        <is>
          <t>none</t>
        </is>
      </c>
      <c r="Q185" s="45" t="inlineStr">
        <is>
          <t>not_mentioned</t>
        </is>
      </c>
      <c r="R185" s="45" t="inlineStr">
        <is>
          <t>not_mentioned</t>
        </is>
      </c>
      <c r="S185" s="45" t="inlineStr">
        <is>
          <t>LitioMx;Pemex;Pemex Litio;IMP</t>
        </is>
      </c>
      <c r="T185" s="45" t="inlineStr">
        <is>
          <t>Sheinbaum announced a broadened role for LitioMx beyond extraction, including research and battery and solar panel manufacturing, with Pemex to create a lithium subsidiary to lead exploration and exploitation.</t>
        </is>
      </c>
      <c r="U185" s="45" t="inlineStr"/>
      <c r="V185" s="45" t="inlineStr"/>
      <c r="W185" s="45" t="inlineStr">
        <is>
          <t>es</t>
        </is>
      </c>
      <c r="X185" s="45" t="inlineStr">
        <is>
          <t>Mexico Business News</t>
        </is>
      </c>
      <c r="Y185" s="45" t="inlineStr">
        <is>
          <t>https://mexicobusiness.news/mining/news/litiomx-go-beyond-extraction-under-new-national-strategy</t>
        </is>
      </c>
      <c r="Z185" s="45" t="inlineStr">
        <is>
          <t>news_media</t>
        </is>
      </c>
      <c r="AA185" s="45" t="inlineStr">
        <is>
          <t>secondary_reported</t>
        </is>
      </c>
      <c r="AB185" s="45" t="inlineStr">
        <is>
          <t>Date approximate (article date).</t>
        </is>
      </c>
      <c r="AC185" s="45" t="inlineStr">
        <is>
          <t>MEX</t>
        </is>
      </c>
    </row>
    <row r="186" ht="15" customHeight="1" s="24">
      <c r="A186" s="45" t="inlineStr">
        <is>
          <t>PS-0185</t>
        </is>
      </c>
      <c r="B186" s="45" t="inlineStr">
        <is>
          <t>2025-04-23</t>
        </is>
      </c>
      <c r="C186" s="45" t="inlineStr">
        <is>
          <t>2025</t>
        </is>
      </c>
      <c r="D186" s="45" t="inlineStr">
        <is>
          <t>BRA</t>
        </is>
      </c>
      <c r="E186" s="45" t="inlineStr">
        <is>
          <t>Alexandre Silveira</t>
        </is>
      </c>
      <c r="F186" s="45" t="inlineStr">
        <is>
          <t>Minister of Mines and Energy of Brazil</t>
        </is>
      </c>
      <c r="G186" s="45" t="inlineStr">
        <is>
          <t>minister_cabinet</t>
        </is>
      </c>
      <c r="H186" s="45" t="inlineStr">
        <is>
          <t>LatAm executive</t>
        </is>
      </c>
      <c r="I186" s="45" t="inlineStr">
        <is>
          <t>BRA</t>
        </is>
      </c>
      <c r="J186" s="45" t="inlineStr">
        <is>
          <t>PSD</t>
        </is>
      </c>
      <c r="K186" s="45" t="inlineStr">
        <is>
          <t>speech</t>
        </is>
      </c>
      <c r="L186" s="45" t="inlineStr">
        <is>
          <t>Summit Valor Econômico Brazil-China 2025, Shanghai</t>
        </is>
      </c>
      <c r="M186" s="45" t="inlineStr">
        <is>
          <t>critical_minerals_general;lithium;niobium;rare_earths</t>
        </is>
      </c>
      <c r="N186" s="45" t="inlineStr">
        <is>
          <t>253090;261590;282520;283691;284690;720293</t>
        </is>
      </c>
      <c r="O186" s="45" t="inlineStr">
        <is>
          <t>foreign_investment;environment_water;diplomatic_relations</t>
        </is>
      </c>
      <c r="P186" s="45" t="inlineStr">
        <is>
          <t>CHN</t>
        </is>
      </c>
      <c r="Q186" s="45" t="inlineStr">
        <is>
          <t>positive</t>
        </is>
      </c>
      <c r="R186" s="45" t="inlineStr">
        <is>
          <t>not_mentioned</t>
        </is>
      </c>
      <c r="S186" s="45" t="inlineStr">
        <is>
          <t>CMOC; Sigma Lithium; Vale</t>
        </is>
      </c>
      <c r="T186" s="45" t="inlineStr">
        <is>
          <t>In Shanghai, Silveira announced that Brazil would establish a national critical minerals policy in 2025 to strengthen the chain and speed environmental licensing without abandoning legal rigour, seeking investment amid strong Chinese interest.</t>
        </is>
      </c>
      <c r="U186" s="45" t="inlineStr"/>
      <c r="V186" s="45" t="inlineStr"/>
      <c r="W186" s="45" t="inlineStr">
        <is>
          <t>pt</t>
        </is>
      </c>
      <c r="X186" s="45" t="inlineStr">
        <is>
          <t>Movimento Econômico</t>
        </is>
      </c>
      <c r="Y186" s="45" t="inlineStr">
        <is>
          <t>https://movimentoeconomico.com.br/economia/2025/04/23/brasil-promete-politica-nacional-para-minerais-criticos-de-olho-na-china/</t>
        </is>
      </c>
      <c r="Z186" s="45" t="inlineStr">
        <is>
          <t>news_media</t>
        </is>
      </c>
      <c r="AA186" s="45" t="inlineStr">
        <is>
          <t>secondary_reported</t>
        </is>
      </c>
      <c r="AB186" s="45" t="inlineStr">
        <is>
          <t>stance_china inferred from investment-pitch context</t>
        </is>
      </c>
      <c r="AC186" s="45" t="inlineStr">
        <is>
          <t>BRA</t>
        </is>
      </c>
    </row>
    <row r="187" ht="15" customHeight="1" s="24">
      <c r="A187" s="45" t="inlineStr">
        <is>
          <t>PS-0186</t>
        </is>
      </c>
      <c r="B187" s="45" t="inlineStr">
        <is>
          <t>2025-04-28</t>
        </is>
      </c>
      <c r="C187" s="45" t="inlineStr">
        <is>
          <t>2025</t>
        </is>
      </c>
      <c r="D187" s="45" t="inlineStr">
        <is>
          <t>PER</t>
        </is>
      </c>
      <c r="E187" s="45" t="inlineStr">
        <is>
          <t>Song Yang</t>
        </is>
      </c>
      <c r="F187" s="45" t="inlineStr">
        <is>
          <t>Chinese Ambassador to Peru</t>
        </is>
      </c>
      <c r="G187" s="45" t="inlineStr">
        <is>
          <t>china_embassy</t>
        </is>
      </c>
      <c r="H187" s="45" t="inlineStr">
        <is>
          <t>China</t>
        </is>
      </c>
      <c r="I187" s="45" t="inlineStr">
        <is>
          <t>CHN</t>
        </is>
      </c>
      <c r="J187" s="45" t="inlineStr">
        <is>
          <t>CCP</t>
        </is>
      </c>
      <c r="K187" s="45" t="inlineStr">
        <is>
          <t>op_ed</t>
        </is>
      </c>
      <c r="L187" s="45" t="inlineStr">
        <is>
          <t>US reciprocal tariffs; Chancay; ZEEP</t>
        </is>
      </c>
      <c r="M187" s="45" t="inlineStr">
        <is>
          <t>mining_general</t>
        </is>
      </c>
      <c r="N187" s="45" t="inlineStr"/>
      <c r="O187" s="45" t="inlineStr">
        <is>
          <t>tariffs_trade_policy;infrastructure_ports;foreign_investment;geopolitics_security</t>
        </is>
      </c>
      <c r="P187" s="45" t="inlineStr">
        <is>
          <t>USA;CHN</t>
        </is>
      </c>
      <c r="Q187" s="45" t="inlineStr">
        <is>
          <t>positive</t>
        </is>
      </c>
      <c r="R187" s="45" t="inlineStr">
        <is>
          <t>negative</t>
        </is>
      </c>
      <c r="S187" s="45" t="inlineStr">
        <is>
          <t>Puerto de Chancay; ZEEP</t>
        </is>
      </c>
      <c r="T187" s="45" t="inlineStr">
        <is>
          <t>Song Yang criticized US reciprocal tariffs as harming the world trade order, said Chancay had opened a new historic era in relations, and encouraged Peru to promote special economic zones that would open doors for more Chinese investment.</t>
        </is>
      </c>
      <c r="U187" s="45" t="inlineStr">
        <is>
          <t>La política estadounidense de 'aranceles recíprocos' no solo perjudica el orden del comercio económico mundial</t>
        </is>
      </c>
      <c r="V187" s="45" t="inlineStr">
        <is>
          <t>The US 'reciprocal tariffs' policy not only harms the world economic trade order</t>
        </is>
      </c>
      <c r="W187" s="45" t="inlineStr">
        <is>
          <t>es</t>
        </is>
      </c>
      <c r="X187" s="45" t="inlineStr">
        <is>
          <t>ProActivo</t>
        </is>
      </c>
      <c r="Y187" s="45" t="inlineStr">
        <is>
          <t>https://proactivo.com.pe/china-anima-a-peru-a-fortalecer-su-proyeccion-asia-pacifico-frente-a-desafios-arancelarios/</t>
        </is>
      </c>
      <c r="Z187" s="45" t="inlineStr">
        <is>
          <t>news_media</t>
        </is>
      </c>
      <c r="AA187" s="45" t="inlineStr">
        <is>
          <t>secondary_reported</t>
        </is>
      </c>
      <c r="AB187" s="45" t="inlineStr">
        <is>
          <t>Channel uncertain (op-ed or speech)</t>
        </is>
      </c>
      <c r="AC187" s="45" t="inlineStr">
        <is>
          <t>PER</t>
        </is>
      </c>
    </row>
    <row r="188" ht="15" customHeight="1" s="24">
      <c r="A188" s="45" t="inlineStr">
        <is>
          <t>PS-0187</t>
        </is>
      </c>
      <c r="B188" s="45" t="inlineStr">
        <is>
          <t>2025-04-30</t>
        </is>
      </c>
      <c r="C188" s="45" t="inlineStr">
        <is>
          <t>2025</t>
        </is>
      </c>
      <c r="D188" s="45" t="inlineStr">
        <is>
          <t>CHL</t>
        </is>
      </c>
      <c r="E188" s="45" t="inlineStr">
        <is>
          <t>Máximo Pacheco</t>
        </is>
      </c>
      <c r="F188" s="45" t="inlineStr">
        <is>
          <t>Chairman of Codelco</t>
        </is>
      </c>
      <c r="G188" s="45" t="inlineStr">
        <is>
          <t>state_company</t>
        </is>
      </c>
      <c r="H188" s="45" t="inlineStr">
        <is>
          <t>LatAm state company</t>
        </is>
      </c>
      <c r="I188" s="45" t="inlineStr">
        <is>
          <t>CHL</t>
        </is>
      </c>
      <c r="J188" s="45" t="inlineStr"/>
      <c r="K188" s="45" t="inlineStr">
        <is>
          <t>speech</t>
        </is>
      </c>
      <c r="L188" s="45" t="inlineStr">
        <is>
          <t>Codelco shareholders meeting</t>
        </is>
      </c>
      <c r="M188" s="45" t="inlineStr">
        <is>
          <t>copper;lithium</t>
        </is>
      </c>
      <c r="N188" s="45" t="inlineStr">
        <is>
          <t>253090;260300;282520;283691;740200;740311</t>
        </is>
      </c>
      <c r="O188" s="45" t="inlineStr">
        <is>
          <t>processing_refining;foreign_investment</t>
        </is>
      </c>
      <c r="P188" s="45" t="inlineStr">
        <is>
          <t>CHN</t>
        </is>
      </c>
      <c r="Q188" s="45" t="inlineStr">
        <is>
          <t>positive</t>
        </is>
      </c>
      <c r="R188" s="45" t="inlineStr">
        <is>
          <t>not_mentioned</t>
        </is>
      </c>
      <c r="S188" s="45" t="inlineStr">
        <is>
          <t>Codelco; SQM</t>
        </is>
      </c>
      <c r="T188" s="45" t="inlineStr">
        <is>
          <t>Pacheco called the SQM deal perhaps the most transparent business deal in Chilean history, said he was optimistic China would approve it as Chilean lithium is highly valued there, and advocated a new copper smelter.</t>
        </is>
      </c>
      <c r="U188" s="45" t="inlineStr">
        <is>
          <t>Estamos optimistas de que esto va a salir, porque el litio chileno es tremendamente importante y valorado en China</t>
        </is>
      </c>
      <c r="V188" s="45" t="inlineStr">
        <is>
          <t>We are optimistic this will go through, because Chilean lithium is tremendously important and valued in China</t>
        </is>
      </c>
      <c r="W188" s="45" t="inlineStr">
        <is>
          <t>es</t>
        </is>
      </c>
      <c r="X188" s="45" t="inlineStr">
        <is>
          <t>Diario Financiero</t>
        </is>
      </c>
      <c r="Y188" s="45" t="inlineStr">
        <is>
          <t>https://www.df.cl/empresas/juntas-de-accionistas/codelco-estamos-en-un-momento-critico-de-la-historia-y-no-podemos-repetir</t>
        </is>
      </c>
      <c r="Z188" s="45" t="inlineStr">
        <is>
          <t>news_media</t>
        </is>
      </c>
      <c r="AA188" s="45" t="inlineStr">
        <is>
          <t>secondary_reported</t>
        </is>
      </c>
      <c r="AB188" s="45" t="inlineStr"/>
      <c r="AC188" s="45" t="inlineStr">
        <is>
          <t>CHL</t>
        </is>
      </c>
    </row>
    <row r="189" ht="15" customHeight="1" s="24">
      <c r="A189" s="45" t="inlineStr">
        <is>
          <t>PS-0188</t>
        </is>
      </c>
      <c r="B189" s="45" t="inlineStr">
        <is>
          <t>2025-05-04</t>
        </is>
      </c>
      <c r="C189" s="45" t="inlineStr">
        <is>
          <t>2025</t>
        </is>
      </c>
      <c r="D189" s="45" t="inlineStr">
        <is>
          <t>PER</t>
        </is>
      </c>
      <c r="E189" s="45" t="inlineStr">
        <is>
          <t>Jorge Montero</t>
        </is>
      </c>
      <c r="F189" s="45" t="inlineStr">
        <is>
          <t>Minister of Energy and Mines of Peru</t>
        </is>
      </c>
      <c r="G189" s="45" t="inlineStr">
        <is>
          <t>minister_cabinet</t>
        </is>
      </c>
      <c r="H189" s="45" t="inlineStr">
        <is>
          <t>LatAm executive</t>
        </is>
      </c>
      <c r="I189" s="45" t="inlineStr">
        <is>
          <t>PER</t>
        </is>
      </c>
      <c r="J189" s="45" t="inlineStr"/>
      <c r="K189" s="45" t="inlineStr">
        <is>
          <t>press_conference</t>
        </is>
      </c>
      <c r="L189" s="45" t="inlineStr">
        <is>
          <t>Visit to Arequipa; Tía María and Pataz violence</t>
        </is>
      </c>
      <c r="M189" s="45" t="inlineStr">
        <is>
          <t>copper</t>
        </is>
      </c>
      <c r="N189" s="45" t="inlineStr">
        <is>
          <t>260300;740200;740311</t>
        </is>
      </c>
      <c r="O189" s="45" t="inlineStr">
        <is>
          <t>foreign_investment;environment_water;geopolitics_security</t>
        </is>
      </c>
      <c r="P189" s="45" t="inlineStr">
        <is>
          <t>none</t>
        </is>
      </c>
      <c r="Q189" s="45" t="inlineStr">
        <is>
          <t>not_mentioned</t>
        </is>
      </c>
      <c r="R189" s="45" t="inlineStr">
        <is>
          <t>not_mentioned</t>
        </is>
      </c>
      <c r="S189" s="45" t="inlineStr">
        <is>
          <t>Tía María; Southern Copper; Pataz</t>
        </is>
      </c>
      <c r="T189" s="45" t="inlineStr">
        <is>
          <t>Montero said Tía María would move forward in the coming months with construction starting in 2025, noting it would use seawater, and pledged to radicalize emergency measures in Pataz.</t>
        </is>
      </c>
      <c r="U189" s="45" t="inlineStr">
        <is>
          <t>Lo que están manifestando es que ese proyecto va adelante en los próximos meses.</t>
        </is>
      </c>
      <c r="V189" s="45" t="inlineStr">
        <is>
          <t>What they are stating is that this project goes ahead in the coming months.</t>
        </is>
      </c>
      <c r="W189" s="45" t="inlineStr">
        <is>
          <t>es</t>
        </is>
      </c>
      <c r="X189" s="45" t="inlineStr">
        <is>
          <t>El Búho</t>
        </is>
      </c>
      <c r="Y189" s="45" t="inlineStr">
        <is>
          <t>https://elbuho.pe/2025/05/arequipa-ministro-anuncia-radicalizacion-para-pataz-proyecto-tia-maria/</t>
        </is>
      </c>
      <c r="Z189" s="45" t="inlineStr">
        <is>
          <t>news_media</t>
        </is>
      </c>
      <c r="AA189" s="45" t="inlineStr">
        <is>
          <t>secondary_reported</t>
        </is>
      </c>
      <c r="AB189" s="45" t="inlineStr"/>
      <c r="AC189" s="45" t="inlineStr">
        <is>
          <t>PER</t>
        </is>
      </c>
    </row>
    <row r="190" ht="15" customHeight="1" s="24">
      <c r="A190" s="45" t="inlineStr">
        <is>
          <t>PS-0189</t>
        </is>
      </c>
      <c r="B190" s="45" t="inlineStr">
        <is>
          <t>2025-05-08</t>
        </is>
      </c>
      <c r="C190" s="45" t="inlineStr">
        <is>
          <t>2025</t>
        </is>
      </c>
      <c r="D190" s="45" t="inlineStr">
        <is>
          <t>CHL</t>
        </is>
      </c>
      <c r="E190" s="45" t="inlineStr">
        <is>
          <t>CORFO</t>
        </is>
      </c>
      <c r="F190" s="45" t="inlineStr">
        <is>
          <t>Chilean Production Development Corporation</t>
        </is>
      </c>
      <c r="G190" s="45" t="inlineStr">
        <is>
          <t>other_executive</t>
        </is>
      </c>
      <c r="H190" s="45" t="inlineStr">
        <is>
          <t>LatAm executive</t>
        </is>
      </c>
      <c r="I190" s="45" t="inlineStr">
        <is>
          <t>CHL</t>
        </is>
      </c>
      <c r="J190" s="45" t="inlineStr"/>
      <c r="K190" s="45" t="inlineStr">
        <is>
          <t>official_statement</t>
        </is>
      </c>
      <c r="L190" s="45" t="inlineStr">
        <is>
          <t>BYD and Tsingshan withdrawal from preferential-price lithium value-added projects</t>
        </is>
      </c>
      <c r="M190" s="45" t="inlineStr">
        <is>
          <t>lithium</t>
        </is>
      </c>
      <c r="N190" s="45" t="inlineStr">
        <is>
          <t>253090;282520;283691</t>
        </is>
      </c>
      <c r="O190" s="45" t="inlineStr">
        <is>
          <t>value_added_industrialization;foreign_investment</t>
        </is>
      </c>
      <c r="P190" s="45" t="inlineStr">
        <is>
          <t>CHN</t>
        </is>
      </c>
      <c r="Q190" s="45" t="inlineStr">
        <is>
          <t>neutral</t>
        </is>
      </c>
      <c r="R190" s="45" t="inlineStr">
        <is>
          <t>not_mentioned</t>
        </is>
      </c>
      <c r="S190" s="45" t="inlineStr">
        <is>
          <t>BYD; Tsingshan; CORFO</t>
        </is>
      </c>
      <c r="T190" s="45" t="inlineStr">
        <is>
          <t>CORFO said the companies it selected for preferential lithium supply (BYD and Tsingshan) had been affected in their investment decisions by global market conditions and the sharp fall in lithium prices.</t>
        </is>
      </c>
      <c r="U190" s="45" t="inlineStr"/>
      <c r="V190" s="45" t="inlineStr"/>
      <c r="W190" s="45" t="inlineStr">
        <is>
          <t>en</t>
        </is>
      </c>
      <c r="X190" s="45" t="inlineStr">
        <is>
          <t>electrive</t>
        </is>
      </c>
      <c r="Y190" s="45" t="inlineStr">
        <is>
          <t>https://electrive.com/2025/05/08/byd-tsingshan-pull-out-of-chile-lithium-projects</t>
        </is>
      </c>
      <c r="Z190" s="45" t="inlineStr">
        <is>
          <t>news_media</t>
        </is>
      </c>
      <c r="AA190" s="45" t="inlineStr">
        <is>
          <t>secondary_reported</t>
        </is>
      </c>
      <c r="AB190" s="45" t="inlineStr">
        <is>
          <t>Quote only available in English translation; date of statement approx. 7-8 May 2025</t>
        </is>
      </c>
      <c r="AC190" s="45" t="inlineStr">
        <is>
          <t>CHL</t>
        </is>
      </c>
    </row>
    <row r="191" ht="15" customHeight="1" s="24">
      <c r="A191" s="45" t="inlineStr">
        <is>
          <t>PS-0190</t>
        </is>
      </c>
      <c r="B191" s="45" t="inlineStr">
        <is>
          <t>2025-05-09</t>
        </is>
      </c>
      <c r="C191" s="45" t="inlineStr">
        <is>
          <t>2025</t>
        </is>
      </c>
      <c r="D191" s="45" t="inlineStr">
        <is>
          <t>CHL</t>
        </is>
      </c>
      <c r="E191" s="45" t="inlineStr">
        <is>
          <t>Embassy of the People's Republic of China in Chile</t>
        </is>
      </c>
      <c r="F191" s="45" t="inlineStr">
        <is>
          <t>Chinese Embassy in Chile</t>
        </is>
      </c>
      <c r="G191" s="45" t="inlineStr">
        <is>
          <t>china_embassy</t>
        </is>
      </c>
      <c r="H191" s="45" t="inlineStr">
        <is>
          <t>China</t>
        </is>
      </c>
      <c r="I191" s="45" t="inlineStr">
        <is>
          <t>CHN</t>
        </is>
      </c>
      <c r="J191" s="45" t="inlineStr">
        <is>
          <t>CCP</t>
        </is>
      </c>
      <c r="K191" s="45" t="inlineStr">
        <is>
          <t>official_statement</t>
        </is>
      </c>
      <c r="L191" s="45" t="inlineStr">
        <is>
          <t>Response to reports BYD and Tsingshan abandoned lithium projects</t>
        </is>
      </c>
      <c r="M191" s="45" t="inlineStr">
        <is>
          <t>lithium</t>
        </is>
      </c>
      <c r="N191" s="45" t="inlineStr">
        <is>
          <t>253090;282520;283691</t>
        </is>
      </c>
      <c r="O191" s="45" t="inlineStr">
        <is>
          <t>foreign_investment;diplomatic_relations</t>
        </is>
      </c>
      <c r="P191" s="45" t="inlineStr">
        <is>
          <t>none</t>
        </is>
      </c>
      <c r="Q191" s="45" t="inlineStr">
        <is>
          <t>positive</t>
        </is>
      </c>
      <c r="R191" s="45" t="inlineStr">
        <is>
          <t>not_mentioned</t>
        </is>
      </c>
      <c r="S191" s="45" t="inlineStr">
        <is>
          <t>BYD; Tsingshan</t>
        </is>
      </c>
      <c r="T191" s="45" t="inlineStr">
        <is>
          <t>The Chinese embassy said that after checking with BYD and Tsingshan neither had ended their investments in Chile and both remained willing to continue dialogue, contradicting the Chilean government.</t>
        </is>
      </c>
      <c r="U191" s="45" t="inlineStr">
        <is>
          <t>Tras verificar con las dos empresas, resulta que ambas nunca han manifestado haber terminado sus inversiones en Chile y mantienen la disposición de continuar el diálogo</t>
        </is>
      </c>
      <c r="V191" s="45" t="inlineStr">
        <is>
          <t>After checking with the two companies, it turns out neither has ever stated it ended its investments in Chile and both remain willing to continue dialogue</t>
        </is>
      </c>
      <c r="W191" s="45" t="inlineStr">
        <is>
          <t>es</t>
        </is>
      </c>
      <c r="X191" s="45" t="inlineStr">
        <is>
          <t>Forbes Chile</t>
        </is>
      </c>
      <c r="Y191" s="45" t="inlineStr">
        <is>
          <t>https://forbes.cl/negocios/2025-05-09/la-embajada-de-china-en-chile-contradice-al-gobierno-y-asegura-que-byd-y-tsingshan-mantienen-sus-proyectos-en-el-pais</t>
        </is>
      </c>
      <c r="Z191" s="45" t="inlineStr">
        <is>
          <t>news_media</t>
        </is>
      </c>
      <c r="AA191" s="45" t="inlineStr">
        <is>
          <t>secondary_reported</t>
        </is>
      </c>
      <c r="AB191" s="45" t="inlineStr">
        <is>
          <t>Statement issued days before Boric's state visit to China</t>
        </is>
      </c>
      <c r="AC191" s="45" t="inlineStr">
        <is>
          <t>CHL</t>
        </is>
      </c>
    </row>
    <row r="192" ht="15" customHeight="1" s="24">
      <c r="A192" s="45" t="inlineStr">
        <is>
          <t>PS-0191</t>
        </is>
      </c>
      <c r="B192" s="45" t="inlineStr">
        <is>
          <t>2025-05-09</t>
        </is>
      </c>
      <c r="C192" s="45" t="inlineStr">
        <is>
          <t>2025</t>
        </is>
      </c>
      <c r="D192" s="45" t="inlineStr">
        <is>
          <t>CHL</t>
        </is>
      </c>
      <c r="E192" s="45" t="inlineStr">
        <is>
          <t>Nicolás Grau</t>
        </is>
      </c>
      <c r="F192" s="45" t="inlineStr">
        <is>
          <t>Minister of Economy</t>
        </is>
      </c>
      <c r="G192" s="45" t="inlineStr">
        <is>
          <t>minister_cabinet</t>
        </is>
      </c>
      <c r="H192" s="45" t="inlineStr">
        <is>
          <t>LatAm executive</t>
        </is>
      </c>
      <c r="I192" s="45" t="inlineStr">
        <is>
          <t>CHL</t>
        </is>
      </c>
      <c r="J192" s="45" t="inlineStr">
        <is>
          <t>Frente Amplio</t>
        </is>
      </c>
      <c r="K192" s="45" t="inlineStr">
        <is>
          <t>interview</t>
        </is>
      </c>
      <c r="L192" s="45" t="inlineStr">
        <is>
          <t>Radio ADN; clarification after Chinese embassy statement on BYD/Tsingshan</t>
        </is>
      </c>
      <c r="M192" s="45" t="inlineStr">
        <is>
          <t>lithium</t>
        </is>
      </c>
      <c r="N192" s="45" t="inlineStr">
        <is>
          <t>253090;282520;283691</t>
        </is>
      </c>
      <c r="O192" s="45" t="inlineStr">
        <is>
          <t>value_added_industrialization;foreign_investment;diplomatic_relations</t>
        </is>
      </c>
      <c r="P192" s="45" t="inlineStr">
        <is>
          <t>CHN</t>
        </is>
      </c>
      <c r="Q192" s="45" t="inlineStr">
        <is>
          <t>neutral</t>
        </is>
      </c>
      <c r="R192" s="45" t="inlineStr">
        <is>
          <t>not_mentioned</t>
        </is>
      </c>
      <c r="S192" s="45" t="inlineStr">
        <is>
          <t>BYD; Tsingshan; CORFO</t>
        </is>
      </c>
      <c r="T192" s="45" t="inlineStr">
        <is>
          <t>Grau said BYD and Tsingshan declined CORFO's preferential lithium contracts but could still invest in lithium through other channels, after speaking by phone with Ambassador Niu Qingbao.</t>
        </is>
      </c>
      <c r="U192" s="45" t="inlineStr">
        <is>
          <t>Son dos informaciones distintas</t>
        </is>
      </c>
      <c r="V192" s="45" t="inlineStr">
        <is>
          <t>These are two different pieces of information</t>
        </is>
      </c>
      <c r="W192" s="45" t="inlineStr">
        <is>
          <t>es</t>
        </is>
      </c>
      <c r="X192" s="45" t="inlineStr">
        <is>
          <t>Diario Financiero</t>
        </is>
      </c>
      <c r="Y192" s="45" t="inlineStr">
        <is>
          <t>https://www.df.cl/economia-y-politica/gobierno/grau-aclara-que-chinas-byd-y-tsingshan-declinaron-de-participar-en</t>
        </is>
      </c>
      <c r="Z192" s="45" t="inlineStr">
        <is>
          <t>news_media</t>
        </is>
      </c>
      <c r="AA192" s="45" t="inlineStr">
        <is>
          <t>secondary_reported</t>
        </is>
      </c>
      <c r="AB192" s="45" t="inlineStr"/>
      <c r="AC192" s="45" t="inlineStr">
        <is>
          <t>CHL</t>
        </is>
      </c>
    </row>
    <row r="193" ht="15" customHeight="1" s="24">
      <c r="A193" s="45" t="inlineStr">
        <is>
          <t>PS-0192</t>
        </is>
      </c>
      <c r="B193" s="45" t="inlineStr">
        <is>
          <t>2025-05-13</t>
        </is>
      </c>
      <c r="C193" s="45" t="inlineStr">
        <is>
          <t>2025</t>
        </is>
      </c>
      <c r="D193" s="45" t="inlineStr">
        <is>
          <t>REG</t>
        </is>
      </c>
      <c r="E193" s="45" t="inlineStr">
        <is>
          <t>China-CELAC Forum (Fourth Ministerial Meeting)</t>
        </is>
      </c>
      <c r="F193" s="45" t="inlineStr">
        <is>
          <t>Joint document of China and CELAC member states</t>
        </is>
      </c>
      <c r="G193" s="45" t="inlineStr">
        <is>
          <t>china_central_gov</t>
        </is>
      </c>
      <c r="H193" s="45" t="inlineStr">
        <is>
          <t>China</t>
        </is>
      </c>
      <c r="I193" s="45" t="inlineStr">
        <is>
          <t>CHN</t>
        </is>
      </c>
      <c r="J193" s="45" t="inlineStr"/>
      <c r="K193" s="45" t="inlineStr">
        <is>
          <t>joint_declaration_or_mou</t>
        </is>
      </c>
      <c r="L193" s="45" t="inlineStr">
        <is>
          <t>China-CELAC Forum Fourth Ministerial Meeting, Beijing; Joint Action Plan 2025-2027</t>
        </is>
      </c>
      <c r="M193" s="45" t="inlineStr">
        <is>
          <t>mining_general</t>
        </is>
      </c>
      <c r="N193" s="45" t="inlineStr"/>
      <c r="O193" s="45" t="inlineStr">
        <is>
          <t>energy_transition;corruption_governance;diplomatic_relations</t>
        </is>
      </c>
      <c r="P193" s="45" t="inlineStr">
        <is>
          <t>none</t>
        </is>
      </c>
      <c r="Q193" s="45" t="inlineStr">
        <is>
          <t>positive</t>
        </is>
      </c>
      <c r="R193" s="45" t="inlineStr">
        <is>
          <t>not_mentioned</t>
        </is>
      </c>
      <c r="S193" s="45" t="inlineStr">
        <is>
          <t>CELAC</t>
        </is>
      </c>
      <c r="T193" s="45" t="inlineStr">
        <is>
          <t>The China-CELAC Joint Action Plan 2025-2027 contains an 'Energy and resources' chapter that commits to exploring investment in energy transition and advanced energy storage and to geoscience cooperation; it names no specific minerals. Its law-enforcement section calls for exchanges on combating illegal mining and illegal trade in precious metals.</t>
        </is>
      </c>
      <c r="U193" s="45" t="inlineStr">
        <is>
          <t>探索双方能源转型与先进储能技术合作投资机遇，助力双方共同实现能源绿色低碳转型。</t>
        </is>
      </c>
      <c r="V193" s="45" t="inlineStr">
        <is>
          <t>Explore cooperation and investment opportunities in energy transition and advanced energy storage technology, helping both sides achieve a green, low-carbon energy transition.</t>
        </is>
      </c>
      <c r="W193" s="45" t="inlineStr">
        <is>
          <t>zh</t>
        </is>
      </c>
      <c r="X193" s="45" t="inlineStr">
        <is>
          <t>Ministry of Foreign Affairs of the PRC</t>
        </is>
      </c>
      <c r="Y193" s="45" t="inlineStr">
        <is>
          <t>https://www.mfa.gov.cn/web/ziliao_674904/1179_674909/202505/t20250513_11622237.shtml</t>
        </is>
      </c>
      <c r="Z193" s="45" t="inlineStr">
        <is>
          <t>primary_official</t>
        </is>
      </c>
      <c r="AA193" s="45" t="inlineStr">
        <is>
          <t>primary_verified</t>
        </is>
      </c>
      <c r="AB193" s="45" t="inlineStr">
        <is>
          <t>No explicit lithium/copper language; Spanish version: static.poder360.com.br/2025/05/plano-de-acao-china-latina.pdf. Joint China-CELAC text, coded as china_central_gov.</t>
        </is>
      </c>
      <c r="AC193" s="45" t="inlineStr">
        <is>
          <t>CHN_gov</t>
        </is>
      </c>
    </row>
    <row r="194" ht="15" customHeight="1" s="24">
      <c r="A194" s="45" t="inlineStr">
        <is>
          <t>PS-0193</t>
        </is>
      </c>
      <c r="B194" s="45" t="inlineStr">
        <is>
          <t>2025-05-14</t>
        </is>
      </c>
      <c r="C194" s="45" t="inlineStr">
        <is>
          <t>2025</t>
        </is>
      </c>
      <c r="D194" s="45" t="inlineStr">
        <is>
          <t>CHL</t>
        </is>
      </c>
      <c r="E194" s="45" t="inlineStr">
        <is>
          <t>Xi Jinping</t>
        </is>
      </c>
      <c r="F194" s="45" t="inlineStr">
        <is>
          <t>President of the People's Republic of China</t>
        </is>
      </c>
      <c r="G194" s="45" t="inlineStr">
        <is>
          <t>china_central_gov</t>
        </is>
      </c>
      <c r="H194" s="45" t="inlineStr">
        <is>
          <t>China</t>
        </is>
      </c>
      <c r="I194" s="45" t="inlineStr">
        <is>
          <t>CHN</t>
        </is>
      </c>
      <c r="J194" s="45" t="inlineStr">
        <is>
          <t>CCP</t>
        </is>
      </c>
      <c r="K194" s="45" t="inlineStr">
        <is>
          <t>official_statement</t>
        </is>
      </c>
      <c r="L194" s="45" t="inlineStr">
        <is>
          <t>Talks with Gabriel Boric, Beijing state visit</t>
        </is>
      </c>
      <c r="M194" s="45" t="inlineStr">
        <is>
          <t>mining_general</t>
        </is>
      </c>
      <c r="N194" s="45" t="inlineStr"/>
      <c r="O194" s="45" t="inlineStr">
        <is>
          <t>diplomatic_relations;foreign_investment;environment_water</t>
        </is>
      </c>
      <c r="P194" s="45" t="inlineStr">
        <is>
          <t>CHL</t>
        </is>
      </c>
      <c r="Q194" s="45" t="inlineStr">
        <is>
          <t>positive</t>
        </is>
      </c>
      <c r="R194" s="45" t="inlineStr">
        <is>
          <t>not_mentioned</t>
        </is>
      </c>
      <c r="S194" s="45" t="inlineStr"/>
      <c r="T194" s="45" t="inlineStr">
        <is>
          <t>In talks with Boric in Beijing, Xi called for deepening China-Chile cooperation in agriculture, industrial investment, infrastructure and green mining, and for defending Global South interests.</t>
        </is>
      </c>
      <c r="U194" s="45" t="inlineStr">
        <is>
          <t>profundizar la cooperación en áreas como agricultura, silvicultura, ganadería, pesquería, inversión industrial, infraestructura y minería verde</t>
        </is>
      </c>
      <c r="V194" s="45" t="inlineStr">
        <is>
          <t>deepen cooperation in areas such as agriculture, forestry, livestock, fisheries, industrial investment, infrastructure and green mining</t>
        </is>
      </c>
      <c r="W194" s="45" t="inlineStr">
        <is>
          <t>es</t>
        </is>
      </c>
      <c r="X194" s="45" t="inlineStr">
        <is>
          <t>Ministry of Foreign Affairs of the PRC</t>
        </is>
      </c>
      <c r="Y194" s="45" t="inlineStr">
        <is>
          <t>https://www.fmprc.gov.cn/esp/zxxx/202505/t20250514_11622942.html</t>
        </is>
      </c>
      <c r="Z194" s="45" t="inlineStr">
        <is>
          <t>primary_official</t>
        </is>
      </c>
      <c r="AA194" s="45" t="inlineStr">
        <is>
          <t>primary_verified</t>
        </is>
      </c>
      <c r="AB194" s="45" t="inlineStr">
        <is>
          <t>Spanish version of MFA readout</t>
        </is>
      </c>
      <c r="AC194" s="45" t="inlineStr">
        <is>
          <t>CHL</t>
        </is>
      </c>
    </row>
    <row r="195" ht="15" customHeight="1" s="24">
      <c r="A195" s="45" t="inlineStr">
        <is>
          <t>PS-0194</t>
        </is>
      </c>
      <c r="B195" s="45" t="inlineStr">
        <is>
          <t>2025-05-23</t>
        </is>
      </c>
      <c r="C195" s="45" t="inlineStr">
        <is>
          <t>2025</t>
        </is>
      </c>
      <c r="D195" s="45" t="inlineStr">
        <is>
          <t>CHL</t>
        </is>
      </c>
      <c r="E195" s="45" t="inlineStr">
        <is>
          <t>Iván Mlynarz</t>
        </is>
      </c>
      <c r="F195" s="45" t="inlineStr">
        <is>
          <t>Executive Vice President of ENAMI</t>
        </is>
      </c>
      <c r="G195" s="45" t="inlineStr">
        <is>
          <t>state_company</t>
        </is>
      </c>
      <c r="H195" s="45" t="inlineStr">
        <is>
          <t>LatAm state company</t>
        </is>
      </c>
      <c r="I195" s="45" t="inlineStr">
        <is>
          <t>CHL</t>
        </is>
      </c>
      <c r="J195" s="45" t="inlineStr"/>
      <c r="K195" s="45" t="inlineStr">
        <is>
          <t>interview</t>
        </is>
      </c>
      <c r="L195" s="45" t="inlineStr">
        <is>
          <t>Selection of Rio Tinto as partner for Salares Altoandinos lithium project</t>
        </is>
      </c>
      <c r="M195" s="45" t="inlineStr">
        <is>
          <t>lithium</t>
        </is>
      </c>
      <c r="N195" s="45" t="inlineStr">
        <is>
          <t>253090;282520;283691</t>
        </is>
      </c>
      <c r="O195" s="45" t="inlineStr">
        <is>
          <t>foreign_investment;state_control_nationalization</t>
        </is>
      </c>
      <c r="P195" s="45" t="inlineStr">
        <is>
          <t>AUS;GBR</t>
        </is>
      </c>
      <c r="Q195" s="45" t="inlineStr">
        <is>
          <t>neutral</t>
        </is>
      </c>
      <c r="R195" s="45" t="inlineStr">
        <is>
          <t>not_mentioned</t>
        </is>
      </c>
      <c r="S195" s="45" t="inlineStr">
        <is>
          <t>ENAMI; Rio Tinto; Eramet; BYD; Posco; Salares Altoandinos</t>
        </is>
      </c>
      <c r="T195" s="45" t="inlineStr">
        <is>
          <t>ENAMI's head defended choosing Rio Tinto for Salares Altoandinos, saying two binding offers were received (Rio Tinto, Eramet) while BYD and Posco did not bid, and that Rio Tinto would finance the ~US$3bn project.</t>
        </is>
      </c>
      <c r="U195" s="45" t="inlineStr">
        <is>
          <t>Nadie puede cuestionar ni la experiencia en minería, ni las capacidades técnicas</t>
        </is>
      </c>
      <c r="V195" s="45" t="inlineStr">
        <is>
          <t>No one can question either the mining experience or the technical capabilities</t>
        </is>
      </c>
      <c r="W195" s="45" t="inlineStr">
        <is>
          <t>es</t>
        </is>
      </c>
      <c r="X195" s="45" t="inlineStr">
        <is>
          <t>La Tercera</t>
        </is>
      </c>
      <c r="Y195" s="45" t="inlineStr">
        <is>
          <t>https://www.latercera.com/pulso/noticia/ivan-mlynarz-nadie-puede-cuestionar-la-experiencia-las-capacidades-ni-el-interes-de-rio-tinto/</t>
        </is>
      </c>
      <c r="Z195" s="45" t="inlineStr">
        <is>
          <t>news_media</t>
        </is>
      </c>
      <c r="AA195" s="45" t="inlineStr">
        <is>
          <t>secondary_reported</t>
        </is>
      </c>
      <c r="AB195" s="45" t="inlineStr">
        <is>
          <t>Article dated 23 May 2025; selection announced 22 May</t>
        </is>
      </c>
      <c r="AC195" s="45" t="inlineStr">
        <is>
          <t>CHL</t>
        </is>
      </c>
    </row>
    <row r="196" ht="15" customHeight="1" s="24">
      <c r="A196" s="45" t="inlineStr">
        <is>
          <t>PS-0195</t>
        </is>
      </c>
      <c r="B196" s="45" t="inlineStr">
        <is>
          <t>2025-05-27</t>
        </is>
      </c>
      <c r="C196" s="45" t="inlineStr">
        <is>
          <t>2025</t>
        </is>
      </c>
      <c r="D196" s="45" t="inlineStr">
        <is>
          <t>BOL</t>
        </is>
      </c>
      <c r="E196" s="45" t="inlineStr">
        <is>
          <t>Juzgado Mixto de Colcha K (Potosí)</t>
        </is>
      </c>
      <c r="F196" s="45" t="inlineStr">
        <is>
          <t>Mixed court, Colcha K</t>
        </is>
      </c>
      <c r="G196" s="45" t="inlineStr">
        <is>
          <t>judiciary</t>
        </is>
      </c>
      <c r="H196" s="45" t="inlineStr">
        <is>
          <t>LatAm judiciary</t>
        </is>
      </c>
      <c r="I196" s="45" t="inlineStr">
        <is>
          <t>BOL</t>
        </is>
      </c>
      <c r="J196" s="45" t="inlineStr"/>
      <c r="K196" s="45" t="inlineStr">
        <is>
          <t>court_ruling</t>
        </is>
      </c>
      <c r="L196" s="45" t="inlineStr">
        <is>
          <t>Popular action by indigenous/campesino organizations against lithium contracts</t>
        </is>
      </c>
      <c r="M196" s="45" t="inlineStr">
        <is>
          <t>lithium</t>
        </is>
      </c>
      <c r="N196" s="45" t="inlineStr">
        <is>
          <t>253090;282520;283691</t>
        </is>
      </c>
      <c r="O196" s="45" t="inlineStr">
        <is>
          <t>indigenous_community_rights;environment_water</t>
        </is>
      </c>
      <c r="P196" s="45" t="inlineStr">
        <is>
          <t>CHN;RUS</t>
        </is>
      </c>
      <c r="Q196" s="45" t="inlineStr">
        <is>
          <t>not_mentioned</t>
        </is>
      </c>
      <c r="R196" s="45" t="inlineStr">
        <is>
          <t>not_mentioned</t>
        </is>
      </c>
      <c r="S196" s="45" t="inlineStr">
        <is>
          <t>YLB; CBC; Uranium One Group; Ministry of Hydrocarbons and Energy; Chamber of Deputies</t>
        </is>
      </c>
      <c r="T196" s="45" t="inlineStr">
        <is>
          <t>The court granted precautionary measures ordering the immediate halt of legislative treatment of the CBC and Uranium One lithium contracts and instructing YLB and the ministry to refrain from any related work.</t>
        </is>
      </c>
      <c r="U196" s="45" t="inlineStr"/>
      <c r="V196" s="45" t="inlineStr"/>
      <c r="W196" s="45" t="inlineStr">
        <is>
          <t>es</t>
        </is>
      </c>
      <c r="X196" s="45" t="inlineStr">
        <is>
          <t>Correo del Sur</t>
        </is>
      </c>
      <c r="Y196" s="45" t="inlineStr">
        <is>
          <t>https://correodelsur.com/economia/20250606/justicia-reactiva-contratos-de-litio-con-rusia-y-china.html</t>
        </is>
      </c>
      <c r="Z196" s="45" t="inlineStr">
        <is>
          <t>news_media</t>
        </is>
      </c>
      <c r="AA196" s="45" t="inlineStr">
        <is>
          <t>secondary_reported</t>
        </is>
      </c>
      <c r="AB196" s="45" t="inlineStr">
        <is>
          <t>Details also in Swissinfo/EFE.</t>
        </is>
      </c>
      <c r="AC196" s="45" t="inlineStr">
        <is>
          <t>BOL</t>
        </is>
      </c>
    </row>
    <row r="197" ht="15" customHeight="1" s="24">
      <c r="A197" s="45" t="inlineStr">
        <is>
          <t>PS-0196</t>
        </is>
      </c>
      <c r="B197" s="45" t="inlineStr">
        <is>
          <t>2025-06-05</t>
        </is>
      </c>
      <c r="C197" s="45" t="inlineStr">
        <is>
          <t>2025</t>
        </is>
      </c>
      <c r="D197" s="45" t="inlineStr">
        <is>
          <t>CHL</t>
        </is>
      </c>
      <c r="E197" s="45" t="inlineStr">
        <is>
          <t>Gonzalo Winter</t>
        </is>
      </c>
      <c r="F197" s="45" t="inlineStr">
        <is>
          <t>Presidential primary candidate; Deputy</t>
        </is>
      </c>
      <c r="G197" s="45" t="inlineStr">
        <is>
          <t>political_party_candidate</t>
        </is>
      </c>
      <c r="H197" s="45" t="inlineStr">
        <is>
          <t>LatAm party/candidate</t>
        </is>
      </c>
      <c r="I197" s="45" t="inlineStr">
        <is>
          <t>CHL</t>
        </is>
      </c>
      <c r="J197" s="45" t="inlineStr">
        <is>
          <t>Frente Amplio</t>
        </is>
      </c>
      <c r="K197" s="45" t="inlineStr">
        <is>
          <t>campaign_statement</t>
        </is>
      </c>
      <c r="L197" s="45" t="inlineStr">
        <is>
          <t>Unidad por Chile primary debate</t>
        </is>
      </c>
      <c r="M197" s="45" t="inlineStr">
        <is>
          <t>lithium</t>
        </is>
      </c>
      <c r="N197" s="45" t="inlineStr">
        <is>
          <t>253090;282520;283691</t>
        </is>
      </c>
      <c r="O197" s="45" t="inlineStr">
        <is>
          <t>state_control_nationalization</t>
        </is>
      </c>
      <c r="P197" s="45" t="inlineStr">
        <is>
          <t>none</t>
        </is>
      </c>
      <c r="Q197" s="45" t="inlineStr">
        <is>
          <t>not_mentioned</t>
        </is>
      </c>
      <c r="R197" s="45" t="inlineStr">
        <is>
          <t>not_mentioned</t>
        </is>
      </c>
      <c r="S197" s="45" t="inlineStr">
        <is>
          <t>SQM; Codelco</t>
        </is>
      </c>
      <c r="T197" s="45" t="inlineStr">
        <is>
          <t>Winter defended the Codelco-SQM deal against Jara, saying she treated its supporters as naive or unable to dream and asking whether she would oppose it even if good for Chile.</t>
        </is>
      </c>
      <c r="U197" s="45" t="inlineStr">
        <is>
          <t>¿Aunque sea bueno para Chile?</t>
        </is>
      </c>
      <c r="V197" s="45" t="inlineStr">
        <is>
          <t>Even if it is good for Chile?</t>
        </is>
      </c>
      <c r="W197" s="45" t="inlineStr">
        <is>
          <t>es</t>
        </is>
      </c>
      <c r="X197" s="45" t="inlineStr">
        <is>
          <t>La Tercera</t>
        </is>
      </c>
      <c r="Y197" s="45" t="inlineStr">
        <is>
          <t>https://www.latercera.com/politica/noticia/acuerdo-por-el-litio-jara-apunta-a-herencia-pinochetista-de-sqm-y-desata-tenso-cruce-en-debate-de-primarias/</t>
        </is>
      </c>
      <c r="Z197" s="45" t="inlineStr">
        <is>
          <t>news_media</t>
        </is>
      </c>
      <c r="AA197" s="45" t="inlineStr">
        <is>
          <t>secondary_reported</t>
        </is>
      </c>
      <c r="AB197" s="45" t="inlineStr"/>
      <c r="AC197" s="45" t="inlineStr">
        <is>
          <t>CHL</t>
        </is>
      </c>
    </row>
    <row r="198" ht="15" customHeight="1" s="24">
      <c r="A198" s="45" t="inlineStr">
        <is>
          <t>PS-0197</t>
        </is>
      </c>
      <c r="B198" s="45" t="inlineStr">
        <is>
          <t>2025-06-05</t>
        </is>
      </c>
      <c r="C198" s="45" t="inlineStr">
        <is>
          <t>2025</t>
        </is>
      </c>
      <c r="D198" s="45" t="inlineStr">
        <is>
          <t>CHL</t>
        </is>
      </c>
      <c r="E198" s="45" t="inlineStr">
        <is>
          <t>Jeannette Jara</t>
        </is>
      </c>
      <c r="F198" s="45" t="inlineStr">
        <is>
          <t>Presidential primary candidate; former Minister of Labour</t>
        </is>
      </c>
      <c r="G198" s="45" t="inlineStr">
        <is>
          <t>political_party_candidate</t>
        </is>
      </c>
      <c r="H198" s="45" t="inlineStr">
        <is>
          <t>LatAm party/candidate</t>
        </is>
      </c>
      <c r="I198" s="45" t="inlineStr">
        <is>
          <t>CHL</t>
        </is>
      </c>
      <c r="J198" s="45" t="inlineStr">
        <is>
          <t>Partido Comunista</t>
        </is>
      </c>
      <c r="K198" s="45" t="inlineStr">
        <is>
          <t>campaign_statement</t>
        </is>
      </c>
      <c r="L198" s="45" t="inlineStr">
        <is>
          <t>Unidad por Chile primary debate</t>
        </is>
      </c>
      <c r="M198" s="45" t="inlineStr">
        <is>
          <t>lithium</t>
        </is>
      </c>
      <c r="N198" s="45" t="inlineStr">
        <is>
          <t>253090;282520;283691</t>
        </is>
      </c>
      <c r="O198" s="45" t="inlineStr">
        <is>
          <t>state_control_nationalization;corruption_governance</t>
        </is>
      </c>
      <c r="P198" s="45" t="inlineStr">
        <is>
          <t>none</t>
        </is>
      </c>
      <c r="Q198" s="45" t="inlineStr">
        <is>
          <t>not_mentioned</t>
        </is>
      </c>
      <c r="R198" s="45" t="inlineStr">
        <is>
          <t>not_mentioned</t>
        </is>
      </c>
      <c r="S198" s="45" t="inlineStr">
        <is>
          <t>SQM; Codelco</t>
        </is>
      </c>
      <c r="T198" s="45" t="inlineStr">
        <is>
          <t>In the ruling coalition's primary debate, Jara criticised the Codelco-SQM deal, objecting to doing business with SQM because of its Pinochet-era origins and calling supporters naive.</t>
        </is>
      </c>
      <c r="U198" s="45" t="inlineStr">
        <is>
          <t>No me gusta que hagamos negocios con SQM...por su herencia pinochetista</t>
        </is>
      </c>
      <c r="V198" s="45" t="inlineStr">
        <is>
          <t>I don't like us doing business with SQM... because of its Pinochet-era heritage</t>
        </is>
      </c>
      <c r="W198" s="45" t="inlineStr">
        <is>
          <t>es</t>
        </is>
      </c>
      <c r="X198" s="45" t="inlineStr">
        <is>
          <t>La Tercera</t>
        </is>
      </c>
      <c r="Y198" s="45" t="inlineStr">
        <is>
          <t>https://www.latercera.com/politica/noticia/acuerdo-por-el-litio-jara-apunta-a-herencia-pinochetista-de-sqm-y-desata-tenso-cruce-en-debate-de-primarias/</t>
        </is>
      </c>
      <c r="Z198" s="45" t="inlineStr">
        <is>
          <t>news_media</t>
        </is>
      </c>
      <c r="AA198" s="45" t="inlineStr">
        <is>
          <t>secondary_reported</t>
        </is>
      </c>
      <c r="AB198" s="45" t="inlineStr"/>
      <c r="AC198" s="45" t="inlineStr">
        <is>
          <t>CHL</t>
        </is>
      </c>
    </row>
    <row r="199" ht="15" customHeight="1" s="24">
      <c r="A199" s="45" t="inlineStr">
        <is>
          <t>PS-0198</t>
        </is>
      </c>
      <c r="B199" s="45" t="inlineStr">
        <is>
          <t>2025-06-06</t>
        </is>
      </c>
      <c r="C199" s="45" t="inlineStr">
        <is>
          <t>2025</t>
        </is>
      </c>
      <c r="D199" s="45" t="inlineStr">
        <is>
          <t>BOL</t>
        </is>
      </c>
      <c r="E199" s="45" t="inlineStr">
        <is>
          <t>Juzgado Mixto de Colcha K (Potosí)</t>
        </is>
      </c>
      <c r="F199" s="45" t="inlineStr">
        <is>
          <t>Mixed court, Colcha K</t>
        </is>
      </c>
      <c r="G199" s="45" t="inlineStr">
        <is>
          <t>judiciary</t>
        </is>
      </c>
      <c r="H199" s="45" t="inlineStr">
        <is>
          <t>LatAm judiciary</t>
        </is>
      </c>
      <c r="I199" s="45" t="inlineStr">
        <is>
          <t>BOL</t>
        </is>
      </c>
      <c r="J199" s="45" t="inlineStr"/>
      <c r="K199" s="45" t="inlineStr">
        <is>
          <t>court_ruling</t>
        </is>
      </c>
      <c r="L199" s="45" t="inlineStr">
        <is>
          <t>Ruling on popular action against lithium contracts</t>
        </is>
      </c>
      <c r="M199" s="45" t="inlineStr">
        <is>
          <t>lithium</t>
        </is>
      </c>
      <c r="N199" s="45" t="inlineStr">
        <is>
          <t>253090;282520;283691</t>
        </is>
      </c>
      <c r="O199" s="45" t="inlineStr">
        <is>
          <t>indigenous_community_rights;foreign_investment</t>
        </is>
      </c>
      <c r="P199" s="45" t="inlineStr">
        <is>
          <t>CHN;RUS</t>
        </is>
      </c>
      <c r="Q199" s="45" t="inlineStr">
        <is>
          <t>not_mentioned</t>
        </is>
      </c>
      <c r="R199" s="45" t="inlineStr">
        <is>
          <t>not_mentioned</t>
        </is>
      </c>
      <c r="S199" s="45" t="inlineStr">
        <is>
          <t>YLB; CBC; Uranium One Group</t>
        </is>
      </c>
      <c r="T199" s="45" t="inlineStr">
        <is>
          <t>The same court denied the popular action and lifted its precautionary measures, allowing legislative treatment of the Russian and Chinese lithium contracts to resume.</t>
        </is>
      </c>
      <c r="U199" s="45" t="inlineStr"/>
      <c r="V199" s="45" t="inlineStr"/>
      <c r="W199" s="45" t="inlineStr">
        <is>
          <t>es</t>
        </is>
      </c>
      <c r="X199" s="45" t="inlineStr">
        <is>
          <t>Swissinfo (EFE)</t>
        </is>
      </c>
      <c r="Y199" s="45" t="inlineStr">
        <is>
          <t>https://www.swissinfo.ch/spa/juzgado-boliviano-revierte-orden-que-detuvo-contratos-con-rusia-y-china-para-extraer-litio/89476306</t>
        </is>
      </c>
      <c r="Z199" s="45" t="inlineStr">
        <is>
          <t>news_media</t>
        </is>
      </c>
      <c r="AA199" s="45" t="inlineStr">
        <is>
          <t>secondary_reported</t>
        </is>
      </c>
      <c r="AB199" s="45" t="inlineStr"/>
      <c r="AC199" s="45" t="inlineStr">
        <is>
          <t>BOL</t>
        </is>
      </c>
    </row>
    <row r="200" ht="15" customHeight="1" s="24">
      <c r="A200" s="45" t="inlineStr">
        <is>
          <t>PS-0199</t>
        </is>
      </c>
      <c r="B200" s="45" t="inlineStr">
        <is>
          <t>2025-06-06</t>
        </is>
      </c>
      <c r="C200" s="45" t="inlineStr">
        <is>
          <t>2025</t>
        </is>
      </c>
      <c r="D200" s="45" t="inlineStr">
        <is>
          <t>BOL</t>
        </is>
      </c>
      <c r="E200" s="45" t="inlineStr">
        <is>
          <t>Lissa Claros</t>
        </is>
      </c>
      <c r="F200" s="45" t="inlineStr">
        <is>
          <t>Deputy (Comunidad Ciudadana)</t>
        </is>
      </c>
      <c r="G200" s="45" t="inlineStr">
        <is>
          <t>legislator</t>
        </is>
      </c>
      <c r="H200" s="45" t="inlineStr">
        <is>
          <t>LatAm legislature</t>
        </is>
      </c>
      <c r="I200" s="45" t="inlineStr">
        <is>
          <t>BOL</t>
        </is>
      </c>
      <c r="J200" s="45" t="inlineStr">
        <is>
          <t>Comunidad Ciudadana</t>
        </is>
      </c>
      <c r="K200" s="45" t="inlineStr">
        <is>
          <t>interview</t>
        </is>
      </c>
      <c r="L200" s="45" t="inlineStr">
        <is>
          <t>Reaction to court lifting suspension of lithium contracts</t>
        </is>
      </c>
      <c r="M200" s="45" t="inlineStr">
        <is>
          <t>lithium</t>
        </is>
      </c>
      <c r="N200" s="45" t="inlineStr">
        <is>
          <t>253090;282520;283691</t>
        </is>
      </c>
      <c r="O200" s="45" t="inlineStr">
        <is>
          <t>indigenous_community_rights;corruption_governance</t>
        </is>
      </c>
      <c r="P200" s="45" t="inlineStr">
        <is>
          <t>CHN;RUS</t>
        </is>
      </c>
      <c r="Q200" s="45" t="inlineStr">
        <is>
          <t>not_mentioned</t>
        </is>
      </c>
      <c r="R200" s="45" t="inlineStr">
        <is>
          <t>not_mentioned</t>
        </is>
      </c>
      <c r="S200" s="45" t="inlineStr">
        <is>
          <t>CBC; Uranium One Group</t>
        </is>
      </c>
      <c r="T200" s="45" t="inlineStr">
        <is>
          <t>Claros criticized the court's decision to lift precautionary measures, saying it meant indigenous peoples' rights would continue to be violated and alleging judicial bias.</t>
        </is>
      </c>
      <c r="U200" s="45" t="inlineStr">
        <is>
          <t>Esto significa que se seguirá vulnerando el derecho de los pueblos indígenas</t>
        </is>
      </c>
      <c r="V200" s="45" t="inlineStr">
        <is>
          <t>This means the rights of indigenous peoples will continue to be violated</t>
        </is>
      </c>
      <c r="W200" s="45" t="inlineStr">
        <is>
          <t>es</t>
        </is>
      </c>
      <c r="X200" s="45" t="inlineStr">
        <is>
          <t>Correo del Sur</t>
        </is>
      </c>
      <c r="Y200" s="45" t="inlineStr">
        <is>
          <t>https://correodelsur.com/economia/20250606/justicia-reactiva-contratos-de-litio-con-rusia-y-china.html</t>
        </is>
      </c>
      <c r="Z200" s="45" t="inlineStr">
        <is>
          <t>news_media</t>
        </is>
      </c>
      <c r="AA200" s="45" t="inlineStr">
        <is>
          <t>secondary_reported</t>
        </is>
      </c>
      <c r="AB200" s="45" t="inlineStr"/>
      <c r="AC200" s="45" t="inlineStr">
        <is>
          <t>BOL</t>
        </is>
      </c>
    </row>
    <row r="201" ht="15" customHeight="1" s="24">
      <c r="A201" s="45" t="inlineStr">
        <is>
          <t>PS-0200</t>
        </is>
      </c>
      <c r="B201" s="45" t="inlineStr">
        <is>
          <t>2025-06-16</t>
        </is>
      </c>
      <c r="C201" s="45" t="inlineStr">
        <is>
          <t>2025</t>
        </is>
      </c>
      <c r="D201" s="45" t="inlineStr">
        <is>
          <t>ECU</t>
        </is>
      </c>
      <c r="E201" s="45" t="inlineStr">
        <is>
          <t>Inés Manzano</t>
        </is>
      </c>
      <c r="F201" s="45" t="inlineStr">
        <is>
          <t>Minister of Energy and Mines of Ecuador</t>
        </is>
      </c>
      <c r="G201" s="45" t="inlineStr">
        <is>
          <t>minister_cabinet</t>
        </is>
      </c>
      <c r="H201" s="45" t="inlineStr">
        <is>
          <t>LatAm executive</t>
        </is>
      </c>
      <c r="I201" s="45" t="inlineStr">
        <is>
          <t>ECU</t>
        </is>
      </c>
      <c r="J201" s="45" t="inlineStr">
        <is>
          <t>ADN (Noboa government)</t>
        </is>
      </c>
      <c r="K201" s="45" t="inlineStr">
        <is>
          <t>interview</t>
        </is>
      </c>
      <c r="L201" s="45" t="inlineStr">
        <is>
          <t>Debate on new mining supervision fee (Resolution 003-25)</t>
        </is>
      </c>
      <c r="M201" s="45" t="inlineStr">
        <is>
          <t>mining_general</t>
        </is>
      </c>
      <c r="N201" s="45" t="inlineStr"/>
      <c r="O201" s="45" t="inlineStr">
        <is>
          <t>royalties_taxation;corruption_governance</t>
        </is>
      </c>
      <c r="P201" s="45" t="inlineStr">
        <is>
          <t>none</t>
        </is>
      </c>
      <c r="Q201" s="45" t="inlineStr">
        <is>
          <t>not_mentioned</t>
        </is>
      </c>
      <c r="R201" s="45" t="inlineStr">
        <is>
          <t>not_mentioned</t>
        </is>
      </c>
      <c r="S201" s="45" t="inlineStr">
        <is>
          <t>ARCOM</t>
        </is>
      </c>
      <c r="T201" s="45" t="inlineStr">
        <is>
          <t>The minister refused to negotiate or delay a new semiannual supervision fee on all mining concessions, expected to raise about USD 200-220 million a year, despite industry objections.</t>
        </is>
      </c>
      <c r="U201" s="45" t="inlineStr">
        <is>
          <t>Yo no estoy ni para negociar ni para dilatar un proceso que es necesario</t>
        </is>
      </c>
      <c r="V201" s="45" t="inlineStr">
        <is>
          <t>I am neither here to negotiate nor to delay a process that is necessary</t>
        </is>
      </c>
      <c r="W201" s="45" t="inlineStr">
        <is>
          <t>es</t>
        </is>
      </c>
      <c r="X201" s="45" t="inlineStr">
        <is>
          <t>Primicias</t>
        </is>
      </c>
      <c r="Y201" s="45" t="inlineStr">
        <is>
          <t>https://www.primicias.ec/economia/tasa-minera-vigencia-publicacion-registro-oficial-daniel-noboa-98958/</t>
        </is>
      </c>
      <c r="Z201" s="45" t="inlineStr">
        <is>
          <t>news_media</t>
        </is>
      </c>
      <c r="AA201" s="45" t="inlineStr">
        <is>
          <t>secondary_reported</t>
        </is>
      </c>
      <c r="AB201" s="45" t="inlineStr">
        <is>
          <t>Fee published in Registro Oficial 2025-06-20; ministry title per article.</t>
        </is>
      </c>
      <c r="AC201" s="45" t="inlineStr">
        <is>
          <t>COL_ECU_PAN</t>
        </is>
      </c>
    </row>
    <row r="202" ht="15" customHeight="1" s="24">
      <c r="A202" s="45" t="inlineStr">
        <is>
          <t>PS-0201</t>
        </is>
      </c>
      <c r="B202" s="45" t="inlineStr">
        <is>
          <t>2025-06-19</t>
        </is>
      </c>
      <c r="C202" s="45" t="inlineStr">
        <is>
          <t>2025</t>
        </is>
      </c>
      <c r="D202" s="45" t="inlineStr">
        <is>
          <t>MEX</t>
        </is>
      </c>
      <c r="E202" s="45" t="inlineStr">
        <is>
          <t>Ernesto Sánchez Rodríguez</t>
        </is>
      </c>
      <c r="F202" s="45" t="inlineStr">
        <is>
          <t>Federal Deputy (PAN)</t>
        </is>
      </c>
      <c r="G202" s="45" t="inlineStr">
        <is>
          <t>legislator</t>
        </is>
      </c>
      <c r="H202" s="45" t="inlineStr">
        <is>
          <t>LatAm legislature</t>
        </is>
      </c>
      <c r="I202" s="45" t="inlineStr">
        <is>
          <t>MEX</t>
        </is>
      </c>
      <c r="J202" s="45" t="inlineStr">
        <is>
          <t>PAN</t>
        </is>
      </c>
      <c r="K202" s="45" t="inlineStr">
        <is>
          <t>bill_or_law</t>
        </is>
      </c>
      <c r="L202" s="45" t="inlineStr">
        <is>
          <t>Announcement of constitutional reform initiative to dissolve LitioMx</t>
        </is>
      </c>
      <c r="M202" s="45" t="inlineStr">
        <is>
          <t>lithium</t>
        </is>
      </c>
      <c r="N202" s="45" t="inlineStr">
        <is>
          <t>253090;282520;283691</t>
        </is>
      </c>
      <c r="O202" s="45" t="inlineStr">
        <is>
          <t>state_control_nationalization;corruption_governance</t>
        </is>
      </c>
      <c r="P202" s="45" t="inlineStr">
        <is>
          <t>none</t>
        </is>
      </c>
      <c r="Q202" s="45" t="inlineStr">
        <is>
          <t>not_mentioned</t>
        </is>
      </c>
      <c r="R202" s="45" t="inlineStr">
        <is>
          <t>not_mentioned</t>
        </is>
      </c>
      <c r="S202" s="45" t="inlineStr">
        <is>
          <t>LitioMx</t>
        </is>
      </c>
      <c r="T202" s="45" t="inlineStr">
        <is>
          <t>PAN deputy Sánchez announced an initiative to abolish LitioMx, calling it a bankrupt 'white elephant' with payroll spending but no extraction projects despite a budget increase.</t>
        </is>
      </c>
      <c r="U202" s="45" t="inlineStr">
        <is>
          <t>Hablamos de la manada de elefantes blancos en la granja corrupta de Morena</t>
        </is>
      </c>
      <c r="V202" s="45" t="inlineStr">
        <is>
          <t>We are talking about the herd of white elephants on Morena's corrupt farm</t>
        </is>
      </c>
      <c r="W202" s="45" t="inlineStr">
        <is>
          <t>es</t>
        </is>
      </c>
      <c r="X202" s="45" t="inlineStr">
        <is>
          <t>Quadratín</t>
        </is>
      </c>
      <c r="Y202" s="45" t="inlineStr">
        <is>
          <t>https://mexico.quadratin.com.mx/anuncia-pan-reforma-para-extinguir-litiomx/</t>
        </is>
      </c>
      <c r="Z202" s="45" t="inlineStr">
        <is>
          <t>news_media</t>
        </is>
      </c>
      <c r="AA202" s="45" t="inlineStr">
        <is>
          <t>secondary_reported</t>
        </is>
      </c>
      <c r="AB202" s="45" t="inlineStr"/>
      <c r="AC202" s="45" t="inlineStr">
        <is>
          <t>MEX</t>
        </is>
      </c>
    </row>
    <row r="203" ht="15" customHeight="1" s="24">
      <c r="A203" s="45" t="inlineStr">
        <is>
          <t>PS-0202</t>
        </is>
      </c>
      <c r="B203" s="45" t="inlineStr">
        <is>
          <t>2025-06-27</t>
        </is>
      </c>
      <c r="C203" s="45" t="inlineStr">
        <is>
          <t>2025</t>
        </is>
      </c>
      <c r="D203" s="45" t="inlineStr">
        <is>
          <t>ECU</t>
        </is>
      </c>
      <c r="E203" s="45" t="inlineStr">
        <is>
          <t>Javier Subía</t>
        </is>
      </c>
      <c r="F203" s="45" t="inlineStr">
        <is>
          <t>Vice Minister of Mines of Ecuador</t>
        </is>
      </c>
      <c r="G203" s="45" t="inlineStr">
        <is>
          <t>other_executive</t>
        </is>
      </c>
      <c r="H203" s="45" t="inlineStr">
        <is>
          <t>LatAm executive</t>
        </is>
      </c>
      <c r="I203" s="45" t="inlineStr">
        <is>
          <t>ECU</t>
        </is>
      </c>
      <c r="J203" s="45" t="inlineStr">
        <is>
          <t>Noboa government</t>
        </is>
      </c>
      <c r="K203" s="45" t="inlineStr">
        <is>
          <t>interview</t>
        </is>
      </c>
      <c r="L203" s="45" t="inlineStr">
        <is>
          <t>Review of large-scale mining concessions</t>
        </is>
      </c>
      <c r="M203" s="45" t="inlineStr">
        <is>
          <t>copper;silver;mining_general</t>
        </is>
      </c>
      <c r="N203" s="45" t="inlineStr">
        <is>
          <t>260300;261610;710691;740200;740311</t>
        </is>
      </c>
      <c r="O203" s="45" t="inlineStr">
        <is>
          <t>foreign_investment;state_control_nationalization;corruption_governance</t>
        </is>
      </c>
      <c r="P203" s="45" t="inlineStr">
        <is>
          <t>CHN;CAN;AUS</t>
        </is>
      </c>
      <c r="Q203" s="45" t="inlineStr">
        <is>
          <t>neutral</t>
        </is>
      </c>
      <c r="R203" s="45" t="inlineStr">
        <is>
          <t>not_mentioned</t>
        </is>
      </c>
      <c r="S203" s="45" t="inlineStr">
        <is>
          <t>Ecuacorriente; SolGold; Lumina Gold; Dundee Precious Metals; Atico Mining</t>
        </is>
      </c>
      <c r="T203" s="45" t="inlineStr">
        <is>
          <t>The vice minister said the government was analysing reversal of some 275 large-scale concessions granted before 2018 that had made little investment or exploration progress, calling for idle areas to be activated.</t>
        </is>
      </c>
      <c r="U203" s="45" t="inlineStr">
        <is>
          <t>El país no necesita una exploración que se transforma en una especulación</t>
        </is>
      </c>
      <c r="V203" s="45" t="inlineStr">
        <is>
          <t>The country does not need exploration that turns into speculation</t>
        </is>
      </c>
      <c r="W203" s="45" t="inlineStr">
        <is>
          <t>es</t>
        </is>
      </c>
      <c r="X203" s="45" t="inlineStr">
        <is>
          <t>Primicias</t>
        </is>
      </c>
      <c r="Y203" s="45" t="inlineStr">
        <is>
          <t>https://www.primicias.ec/economia/gobierno-noboa-reversion-concesiones-grandes-mineras-exploracion-99443/</t>
        </is>
      </c>
      <c r="Z203" s="45" t="inlineStr">
        <is>
          <t>news_media</t>
        </is>
      </c>
      <c r="AA203" s="45" t="inlineStr">
        <is>
          <t>secondary_reported</t>
        </is>
      </c>
      <c r="AB203" s="45" t="inlineStr"/>
      <c r="AC203" s="45" t="inlineStr">
        <is>
          <t>COL_ECU_PAN</t>
        </is>
      </c>
    </row>
    <row r="204" ht="15" customHeight="1" s="24">
      <c r="A204" s="45" t="inlineStr">
        <is>
          <t>PS-0203</t>
        </is>
      </c>
      <c r="B204" s="45" t="inlineStr">
        <is>
          <t>2025-06-30</t>
        </is>
      </c>
      <c r="C204" s="45" t="inlineStr">
        <is>
          <t>2025</t>
        </is>
      </c>
      <c r="D204" s="45" t="inlineStr">
        <is>
          <t>CHL</t>
        </is>
      </c>
      <c r="E204" s="45" t="inlineStr">
        <is>
          <t>Chamber of Deputies of Chile</t>
        </is>
      </c>
      <c r="F204" s="45" t="inlineStr">
        <is>
          <t>Chamber of Deputies (plenary)</t>
        </is>
      </c>
      <c r="G204" s="45" t="inlineStr">
        <is>
          <t>legislature_body</t>
        </is>
      </c>
      <c r="H204" s="45" t="inlineStr">
        <is>
          <t>LatAm legislature</t>
        </is>
      </c>
      <c r="I204" s="45" t="inlineStr">
        <is>
          <t>CHL</t>
        </is>
      </c>
      <c r="J204" s="45" t="inlineStr"/>
      <c r="K204" s="45" t="inlineStr">
        <is>
          <t>legislative_debate</t>
        </is>
      </c>
      <c r="L204" s="45" t="inlineStr">
        <is>
          <t>Vote on report of special investigative commission on Codelco-SQM deal</t>
        </is>
      </c>
      <c r="M204" s="45" t="inlineStr">
        <is>
          <t>lithium</t>
        </is>
      </c>
      <c r="N204" s="45" t="inlineStr">
        <is>
          <t>253090;282520;283691</t>
        </is>
      </c>
      <c r="O204" s="45" t="inlineStr">
        <is>
          <t>corruption_governance;state_control_nationalization</t>
        </is>
      </c>
      <c r="P204" s="45" t="inlineStr">
        <is>
          <t>none</t>
        </is>
      </c>
      <c r="Q204" s="45" t="inlineStr">
        <is>
          <t>not_mentioned</t>
        </is>
      </c>
      <c r="R204" s="45" t="inlineStr">
        <is>
          <t>not_mentioned</t>
        </is>
      </c>
      <c r="S204" s="45" t="inlineStr">
        <is>
          <t>Codelco; SQM; CORFO</t>
        </is>
      </c>
      <c r="T204" s="45" t="inlineStr">
        <is>
          <t>The Chamber approved 96-12-17 the investigative commission report recommending annulment of the Codelco-SQM deal, arguing direct negotiation instead of an international tender caused serious fiscal harm; the vote is non-binding.</t>
        </is>
      </c>
      <c r="U204" s="45" t="inlineStr"/>
      <c r="V204" s="45" t="inlineStr"/>
      <c r="W204" s="45" t="inlineStr">
        <is>
          <t>es</t>
        </is>
      </c>
      <c r="X204" s="45" t="inlineStr">
        <is>
          <t>El Dínamo</t>
        </is>
      </c>
      <c r="Y204" s="45" t="inlineStr">
        <is>
          <t>https://www.eldinamo.cl/economia/negocios-economia/2025/06/30/camara-de-diputados-pide-anular-acuerdo-entre-codelco-y-sqm-por-el-litio/</t>
        </is>
      </c>
      <c r="Z204" s="45" t="inlineStr">
        <is>
          <t>news_media</t>
        </is>
      </c>
      <c r="AA204" s="45" t="inlineStr">
        <is>
          <t>secondary_reported</t>
        </is>
      </c>
      <c r="AB204" s="45" t="inlineStr"/>
      <c r="AC204" s="45" t="inlineStr">
        <is>
          <t>CHL</t>
        </is>
      </c>
    </row>
    <row r="205" ht="15" customHeight="1" s="24">
      <c r="A205" s="45" t="inlineStr">
        <is>
          <t>PS-0204</t>
        </is>
      </c>
      <c r="B205" s="45" t="inlineStr">
        <is>
          <t>2025-07</t>
        </is>
      </c>
      <c r="C205" s="45" t="inlineStr">
        <is>
          <t>2025</t>
        </is>
      </c>
      <c r="D205" s="45" t="inlineStr">
        <is>
          <t>BRA</t>
        </is>
      </c>
      <c r="E205" s="45" t="inlineStr">
        <is>
          <t>Gabriel Escobar</t>
        </is>
      </c>
      <c r="F205" s="45" t="inlineStr">
        <is>
          <t>Chargé d'affaires, U.S. Embassy in Brasília</t>
        </is>
      </c>
      <c r="G205" s="45" t="inlineStr">
        <is>
          <t>us_embassy</t>
        </is>
      </c>
      <c r="H205" s="45" t="inlineStr">
        <is>
          <t>United States</t>
        </is>
      </c>
      <c r="I205" s="45" t="inlineStr">
        <is>
          <t>USA</t>
        </is>
      </c>
      <c r="J205" s="45" t="inlineStr">
        <is>
          <t>U.S. Department of State</t>
        </is>
      </c>
      <c r="K205" s="45" t="inlineStr">
        <is>
          <t>official_statement</t>
        </is>
      </c>
      <c r="L205" s="45" t="inlineStr">
        <is>
          <t>Meeting with IBRAM president Raul Jungmann amid US-Brazil tariff dispute</t>
        </is>
      </c>
      <c r="M205" s="45" t="inlineStr">
        <is>
          <t>lithium;niobium;critical_minerals_general</t>
        </is>
      </c>
      <c r="N205" s="45" t="inlineStr">
        <is>
          <t>253090;261590;282520;283691;720293</t>
        </is>
      </c>
      <c r="O205" s="45" t="inlineStr">
        <is>
          <t>foreign_investment;diplomatic_relations;trade_deals_offtake</t>
        </is>
      </c>
      <c r="P205" s="45" t="inlineStr">
        <is>
          <t>BRA</t>
        </is>
      </c>
      <c r="Q205" s="45" t="inlineStr">
        <is>
          <t>not_mentioned</t>
        </is>
      </c>
      <c r="R205" s="45" t="inlineStr">
        <is>
          <t>positive</t>
        </is>
      </c>
      <c r="S205" s="45" t="inlineStr">
        <is>
          <t>IBRAM (Instituto Brasileiro de Mineração)</t>
        </is>
      </c>
      <c r="T205" s="45" t="inlineStr">
        <is>
          <t>The US chargé d'affaires conveyed to Brazil's mining institute IBRAM the United States' interest in Brazil's strategic minerals such as lithium and niobium; IBRAM replied that any deal must go through the Lula government.</t>
        </is>
      </c>
      <c r="U205" s="45" t="inlineStr"/>
      <c r="V205" s="45" t="inlineStr"/>
      <c r="W205" s="45" t="inlineStr">
        <is>
          <t>es</t>
        </is>
      </c>
      <c r="X205" s="45" t="inlineStr">
        <is>
          <t>RTVC (EFE)</t>
        </is>
      </c>
      <c r="Y205" s="45" t="inlineStr">
        <is>
          <t>https://rtvc.es/trump-pone-el-ojo-en-minerales-estrategicos-brasilenos-25-de-julio-de-2025/</t>
        </is>
      </c>
      <c r="Z205" s="45" t="inlineStr">
        <is>
          <t>news_media</t>
        </is>
      </c>
      <c r="AA205" s="45" t="inlineStr">
        <is>
          <t>secondary_reported</t>
        </is>
      </c>
      <c r="AB205" s="45" t="inlineStr">
        <is>
          <t>Meeting occurred shortly before 25 Jul 2025; no direct quote from Escobar</t>
        </is>
      </c>
      <c r="AC205" s="45" t="inlineStr">
        <is>
          <t>USA_gov</t>
        </is>
      </c>
    </row>
    <row r="206" ht="15" customHeight="1" s="24">
      <c r="A206" s="45" t="inlineStr">
        <is>
          <t>PS-0205</t>
        </is>
      </c>
      <c r="B206" s="45" t="inlineStr">
        <is>
          <t>2025-07-08</t>
        </is>
      </c>
      <c r="C206" s="45" t="inlineStr">
        <is>
          <t>2025</t>
        </is>
      </c>
      <c r="D206" s="45" t="inlineStr">
        <is>
          <t>MEX</t>
        </is>
      </c>
      <c r="E206" s="45" t="inlineStr">
        <is>
          <t>Marcelo Ebrard</t>
        </is>
      </c>
      <c r="F206" s="45" t="inlineStr">
        <is>
          <t>Secretary of Economy of Mexico</t>
        </is>
      </c>
      <c r="G206" s="45" t="inlineStr">
        <is>
          <t>minister_cabinet</t>
        </is>
      </c>
      <c r="H206" s="45" t="inlineStr">
        <is>
          <t>LatAm executive</t>
        </is>
      </c>
      <c r="I206" s="45" t="inlineStr">
        <is>
          <t>MEX</t>
        </is>
      </c>
      <c r="J206" s="45" t="inlineStr">
        <is>
          <t>Morena</t>
        </is>
      </c>
      <c r="K206" s="45" t="inlineStr">
        <is>
          <t>press_conference</t>
        </is>
      </c>
      <c r="L206" s="45" t="inlineStr">
        <is>
          <t>Reaction to Trump's announced 50% copper tariff</t>
        </is>
      </c>
      <c r="M206" s="45" t="inlineStr">
        <is>
          <t>copper</t>
        </is>
      </c>
      <c r="N206" s="45" t="inlineStr">
        <is>
          <t>260300;740200;740311</t>
        </is>
      </c>
      <c r="O206" s="45" t="inlineStr">
        <is>
          <t>tariffs_trade_policy;diplomatic_relations</t>
        </is>
      </c>
      <c r="P206" s="45" t="inlineStr">
        <is>
          <t>USA</t>
        </is>
      </c>
      <c r="Q206" s="45" t="inlineStr">
        <is>
          <t>not_mentioned</t>
        </is>
      </c>
      <c r="R206" s="45" t="inlineStr">
        <is>
          <t>neutral</t>
        </is>
      </c>
      <c r="S206" s="45" t="inlineStr"/>
      <c r="T206" s="45" t="inlineStr">
        <is>
          <t>Ebrard said Mexico first needed to understand what products the announced US 50% copper tariff would apply to, and planned talks with US officials.</t>
        </is>
      </c>
      <c r="U206" s="45" t="inlineStr">
        <is>
          <t>We need to know what it applies to. We're going to understand that first.</t>
        </is>
      </c>
      <c r="V206" s="45" t="inlineStr">
        <is>
          <t>We need to know what it applies to. We're going to understand that first.</t>
        </is>
      </c>
      <c r="W206" s="45" t="inlineStr">
        <is>
          <t>en</t>
        </is>
      </c>
      <c r="X206" s="45" t="inlineStr">
        <is>
          <t>Mexico News Daily</t>
        </is>
      </c>
      <c r="Y206" s="45" t="inlineStr">
        <is>
          <t>https://mexiconewsdaily.com/?p=509770</t>
        </is>
      </c>
      <c r="Z206" s="45" t="inlineStr">
        <is>
          <t>news_media</t>
        </is>
      </c>
      <c r="AA206" s="45" t="inlineStr">
        <is>
          <t>secondary_reported</t>
        </is>
      </c>
      <c r="AB206" s="45" t="inlineStr">
        <is>
          <t>Quote is MND English translation of Spanish original.</t>
        </is>
      </c>
      <c r="AC206" s="45" t="inlineStr">
        <is>
          <t>MEX</t>
        </is>
      </c>
    </row>
    <row r="207" ht="15" customHeight="1" s="24">
      <c r="A207" s="45" t="inlineStr">
        <is>
          <t>PS-0206</t>
        </is>
      </c>
      <c r="B207" s="45" t="inlineStr">
        <is>
          <t>2025-07-09</t>
        </is>
      </c>
      <c r="C207" s="45" t="inlineStr">
        <is>
          <t>2025</t>
        </is>
      </c>
      <c r="D207" s="45" t="inlineStr">
        <is>
          <t>BOL</t>
        </is>
      </c>
      <c r="E207" s="45" t="inlineStr">
        <is>
          <t>Milton Huanca</t>
        </is>
      </c>
      <c r="F207" s="45" t="inlineStr">
        <is>
          <t>Vice President, Comité Cívico Potosinista (Comcipo)</t>
        </is>
      </c>
      <c r="G207" s="45" t="inlineStr">
        <is>
          <t>other</t>
        </is>
      </c>
      <c r="H207" s="45" t="inlineStr">
        <is>
          <t>Other (business, civil society, third countries)</t>
        </is>
      </c>
      <c r="I207" s="45" t="inlineStr">
        <is>
          <t>BOL</t>
        </is>
      </c>
      <c r="J207" s="45" t="inlineStr">
        <is>
          <t>Comcipo</t>
        </is>
      </c>
      <c r="K207" s="45" t="inlineStr">
        <is>
          <t>press_conference</t>
        </is>
      </c>
      <c r="L207" s="45" t="inlineStr">
        <is>
          <t>Comcipo vigil in Potosí against lithium contracts</t>
        </is>
      </c>
      <c r="M207" s="45" t="inlineStr">
        <is>
          <t>lithium</t>
        </is>
      </c>
      <c r="N207" s="45" t="inlineStr">
        <is>
          <t>253090;282520;283691</t>
        </is>
      </c>
      <c r="O207" s="45" t="inlineStr">
        <is>
          <t>labor_social_conflict;sovereignty;environment_water</t>
        </is>
      </c>
      <c r="P207" s="45" t="inlineStr">
        <is>
          <t>CHN;RUS</t>
        </is>
      </c>
      <c r="Q207" s="45" t="inlineStr">
        <is>
          <t>not_mentioned</t>
        </is>
      </c>
      <c r="R207" s="45" t="inlineStr">
        <is>
          <t>not_mentioned</t>
        </is>
      </c>
      <c r="S207" s="45" t="inlineStr">
        <is>
          <t>CBC; Uranium One Group; Comcipo</t>
        </is>
      </c>
      <c r="T207" s="45" t="inlineStr">
        <is>
          <t>Comcipo launched a vigil in Potosí and threatened mobilizations in La Paz, rejecting approval of the Uranium One and CBC lithium contracts.</t>
        </is>
      </c>
      <c r="U207" s="45" t="inlineStr">
        <is>
          <t>Decimos que no vamos a aceptar la aprobación de estos contratos, iremos a La Paz para movilizarnos</t>
        </is>
      </c>
      <c r="V207" s="45" t="inlineStr">
        <is>
          <t>We say we will not accept the approval of these contracts; we will go to La Paz to mobilize</t>
        </is>
      </c>
      <c r="W207" s="45" t="inlineStr">
        <is>
          <t>es</t>
        </is>
      </c>
      <c r="X207" s="45" t="inlineStr">
        <is>
          <t>EJU.tv</t>
        </is>
      </c>
      <c r="Y207" s="45" t="inlineStr">
        <is>
          <t>https://eju.tv/2025/07/comcipo-instala-vigilia-en-potosi-y-amenaza-con-movilizarse-en-la-paz-en-rechazo-a-los-contratos-del-litio/</t>
        </is>
      </c>
      <c r="Z207" s="45" t="inlineStr">
        <is>
          <t>news_media</t>
        </is>
      </c>
      <c r="AA207" s="45" t="inlineStr">
        <is>
          <t>secondary_reported</t>
        </is>
      </c>
      <c r="AB207" s="45" t="inlineStr"/>
      <c r="AC207" s="45" t="inlineStr">
        <is>
          <t>BOL</t>
        </is>
      </c>
    </row>
    <row r="208" ht="15" customHeight="1" s="24">
      <c r="A208" s="45" t="inlineStr">
        <is>
          <t>PS-0207</t>
        </is>
      </c>
      <c r="B208" s="45" t="inlineStr">
        <is>
          <t>2025-07-09</t>
        </is>
      </c>
      <c r="C208" s="45" t="inlineStr">
        <is>
          <t>2025</t>
        </is>
      </c>
      <c r="D208" s="45" t="inlineStr">
        <is>
          <t>BRA</t>
        </is>
      </c>
      <c r="E208" s="45" t="inlineStr">
        <is>
          <t>Arnaldo Jardim</t>
        </is>
      </c>
      <c r="F208" s="45" t="inlineStr">
        <is>
          <t>Federal Deputy (Cidadania-SP), rapporteur of PL 2780/2024</t>
        </is>
      </c>
      <c r="G208" s="45" t="inlineStr">
        <is>
          <t>legislator</t>
        </is>
      </c>
      <c r="H208" s="45" t="inlineStr">
        <is>
          <t>LatAm legislature</t>
        </is>
      </c>
      <c r="I208" s="45" t="inlineStr">
        <is>
          <t>BRA</t>
        </is>
      </c>
      <c r="J208" s="45" t="inlineStr">
        <is>
          <t>Cidadania</t>
        </is>
      </c>
      <c r="K208" s="45" t="inlineStr">
        <is>
          <t>interview</t>
        </is>
      </c>
      <c r="L208" s="45" t="inlineStr">
        <is>
          <t>Preparation of report on critical minerals framework</t>
        </is>
      </c>
      <c r="M208" s="45" t="inlineStr">
        <is>
          <t>critical_minerals_general</t>
        </is>
      </c>
      <c r="N208" s="45" t="inlineStr"/>
      <c r="O208" s="45" t="inlineStr">
        <is>
          <t>energy_transition</t>
        </is>
      </c>
      <c r="P208" s="45" t="inlineStr">
        <is>
          <t>none</t>
        </is>
      </c>
      <c r="Q208" s="45" t="inlineStr">
        <is>
          <t>not_mentioned</t>
        </is>
      </c>
      <c r="R208" s="45" t="inlineStr">
        <is>
          <t>not_mentioned</t>
        </is>
      </c>
      <c r="S208" s="45" t="inlineStr">
        <is>
          <t>PL 2780/2024</t>
        </is>
      </c>
      <c r="T208" s="45" t="inlineStr">
        <is>
          <t>Rapporteur Arnaldo Jardim said he aimed to deliver his report on the critical and strategic minerals bill by mid-August, in coordination with the Ministry of Mines and Energy, possibly via a government provisional measure or by endorsing the parliamentary draft.</t>
        </is>
      </c>
      <c r="U208" s="45" t="inlineStr">
        <is>
          <t>fazemos, de qualquer forma, em conjunto</t>
        </is>
      </c>
      <c r="V208" s="45" t="inlineStr">
        <is>
          <t>we do it jointly in any case</t>
        </is>
      </c>
      <c r="W208" s="45" t="inlineStr">
        <is>
          <t>pt</t>
        </is>
      </c>
      <c r="X208" s="45" t="inlineStr">
        <is>
          <t>Agência iNFRA</t>
        </is>
      </c>
      <c r="Y208" s="45" t="inlineStr">
        <is>
          <t>https://agenciainfra.com/blog/arnaldo-jardim-apresentara-relatorio-sobre-marco-dos-minerais-criticos-em-agosto/</t>
        </is>
      </c>
      <c r="Z208" s="45" t="inlineStr">
        <is>
          <t>news_media</t>
        </is>
      </c>
      <c r="AA208" s="45" t="inlineStr">
        <is>
          <t>secondary_reported</t>
        </is>
      </c>
      <c r="AB208" s="45" t="inlineStr"/>
      <c r="AC208" s="45" t="inlineStr">
        <is>
          <t>BRA</t>
        </is>
      </c>
    </row>
    <row r="209" ht="15" customHeight="1" s="24">
      <c r="A209" s="45" t="inlineStr">
        <is>
          <t>PS-0208</t>
        </is>
      </c>
      <c r="B209" s="45" t="inlineStr">
        <is>
          <t>2025-07-09</t>
        </is>
      </c>
      <c r="C209" s="45" t="inlineStr">
        <is>
          <t>2025</t>
        </is>
      </c>
      <c r="D209" s="45" t="inlineStr">
        <is>
          <t>CHL</t>
        </is>
      </c>
      <c r="E209" s="45" t="inlineStr">
        <is>
          <t>Gabriel Boric</t>
        </is>
      </c>
      <c r="F209" s="45" t="inlineStr">
        <is>
          <t>President of Chile</t>
        </is>
      </c>
      <c r="G209" s="45" t="inlineStr">
        <is>
          <t>head_of_state</t>
        </is>
      </c>
      <c r="H209" s="45" t="inlineStr">
        <is>
          <t>LatAm executive</t>
        </is>
      </c>
      <c r="I209" s="45" t="inlineStr">
        <is>
          <t>CHL</t>
        </is>
      </c>
      <c r="J209" s="45" t="inlineStr">
        <is>
          <t>Convergencia Social / Frente Amplio</t>
        </is>
      </c>
      <c r="K209" s="45" t="inlineStr">
        <is>
          <t>press_conference</t>
        </is>
      </c>
      <c r="L209" s="45" t="inlineStr">
        <is>
          <t>Reaction to Trump's announced 50% copper tariff</t>
        </is>
      </c>
      <c r="M209" s="45" t="inlineStr">
        <is>
          <t>copper</t>
        </is>
      </c>
      <c r="N209" s="45" t="inlineStr">
        <is>
          <t>260300;740200;740311</t>
        </is>
      </c>
      <c r="O209" s="45" t="inlineStr">
        <is>
          <t>tariffs_trade_policy;diplomatic_relations;sovereignty</t>
        </is>
      </c>
      <c r="P209" s="45" t="inlineStr">
        <is>
          <t>USA</t>
        </is>
      </c>
      <c r="Q209" s="45" t="inlineStr">
        <is>
          <t>not_mentioned</t>
        </is>
      </c>
      <c r="R209" s="45" t="inlineStr">
        <is>
          <t>mixed</t>
        </is>
      </c>
      <c r="S209" s="45" t="inlineStr"/>
      <c r="T209" s="45" t="inlineStr">
        <is>
          <t>Boric said the government would react cautiously and await official US communication on the copper tariff, that diplomacy is not done via social media, and that Chile's foreign policy is decided by its president.</t>
        </is>
      </c>
      <c r="U209" s="45" t="inlineStr">
        <is>
          <t>En diplomacia no se hace política por redes sociales, sino que mediante comunicaciones oficiales.</t>
        </is>
      </c>
      <c r="V209" s="45" t="inlineStr">
        <is>
          <t>In diplomacy, policy is not made through social media but through official communications.</t>
        </is>
      </c>
      <c r="W209" s="45" t="inlineStr">
        <is>
          <t>es</t>
        </is>
      </c>
      <c r="X209" s="45" t="inlineStr">
        <is>
          <t>Meganoticias</t>
        </is>
      </c>
      <c r="Y209" s="45" t="inlineStr">
        <is>
          <t>https://www.meganoticias.cl/nacional/491543-boric-trump-arancel-cobre-en-diplomacia-no-se-hace-politica-por-redes-sociales-brk-9-7-2025.html</t>
        </is>
      </c>
      <c r="Z209" s="45" t="inlineStr">
        <is>
          <t>news_media</t>
        </is>
      </c>
      <c r="AA209" s="45" t="inlineStr">
        <is>
          <t>secondary_reported</t>
        </is>
      </c>
      <c r="AB209" s="45" t="inlineStr"/>
      <c r="AC209" s="45" t="inlineStr">
        <is>
          <t>CHL</t>
        </is>
      </c>
    </row>
    <row r="210" ht="15" customHeight="1" s="24">
      <c r="A210" s="45" t="inlineStr">
        <is>
          <t>PS-0209</t>
        </is>
      </c>
      <c r="B210" s="45" t="inlineStr">
        <is>
          <t>2025-07-09</t>
        </is>
      </c>
      <c r="C210" s="45" t="inlineStr">
        <is>
          <t>2025</t>
        </is>
      </c>
      <c r="D210" s="45" t="inlineStr">
        <is>
          <t>MEX</t>
        </is>
      </c>
      <c r="E210" s="45" t="inlineStr">
        <is>
          <t>Claudia Sheinbaum</t>
        </is>
      </c>
      <c r="F210" s="45" t="inlineStr">
        <is>
          <t>President of Mexico</t>
        </is>
      </c>
      <c r="G210" s="45" t="inlineStr">
        <is>
          <t>head_of_state</t>
        </is>
      </c>
      <c r="H210" s="45" t="inlineStr">
        <is>
          <t>LatAm executive</t>
        </is>
      </c>
      <c r="I210" s="45" t="inlineStr">
        <is>
          <t>MEX</t>
        </is>
      </c>
      <c r="J210" s="45" t="inlineStr">
        <is>
          <t>Morena</t>
        </is>
      </c>
      <c r="K210" s="45" t="inlineStr">
        <is>
          <t>press_conference</t>
        </is>
      </c>
      <c r="L210" s="45" t="inlineStr">
        <is>
          <t>Mañanera on US 50% copper tariff</t>
        </is>
      </c>
      <c r="M210" s="45" t="inlineStr">
        <is>
          <t>copper</t>
        </is>
      </c>
      <c r="N210" s="45" t="inlineStr">
        <is>
          <t>260300;740200;740311</t>
        </is>
      </c>
      <c r="O210" s="45" t="inlineStr">
        <is>
          <t>tariffs_trade_policy;trade_deals_offtake;diplomatic_relations</t>
        </is>
      </c>
      <c r="P210" s="45" t="inlineStr">
        <is>
          <t>USA;CHN</t>
        </is>
      </c>
      <c r="Q210" s="45" t="inlineStr">
        <is>
          <t>neutral</t>
        </is>
      </c>
      <c r="R210" s="45" t="inlineStr">
        <is>
          <t>mixed</t>
        </is>
      </c>
      <c r="S210" s="45" t="inlineStr"/>
      <c r="T210" s="45" t="inlineStr">
        <is>
          <t>Sheinbaum noted Mexico exports more copper to China than to the US, much of the US-bound share being scrap refined there, said a delegation would negotiate in Washington and that Mexico would seek other export options.</t>
        </is>
      </c>
      <c r="U210" s="45" t="inlineStr">
        <is>
          <t>Nuestra responsabilidad es buscar la mejor negociación posible con Estados Unidos y, al mismo tiempo, buscar otras opciones para la producción nacional y la exportación a otros lugares.</t>
        </is>
      </c>
      <c r="V210" s="45" t="inlineStr">
        <is>
          <t>Our responsibility is to seek the best possible negotiation with the United States and, at the same time, seek other options for national production and export to other places.</t>
        </is>
      </c>
      <c r="W210" s="45" t="inlineStr">
        <is>
          <t>es</t>
        </is>
      </c>
      <c r="X210" s="45" t="inlineStr">
        <is>
          <t>Expansión Política</t>
        </is>
      </c>
      <c r="Y210" s="45" t="inlineStr">
        <is>
          <t>https://politica.expansion.mx/presidencia/2025/07/09/sheinbaum-responde-a-trump-aranceles</t>
        </is>
      </c>
      <c r="Z210" s="45" t="inlineStr">
        <is>
          <t>news_media</t>
        </is>
      </c>
      <c r="AA210" s="45" t="inlineStr">
        <is>
          <t>secondary_reported</t>
        </is>
      </c>
      <c r="AB210" s="45" t="inlineStr"/>
      <c r="AC210" s="45" t="inlineStr">
        <is>
          <t>MEX</t>
        </is>
      </c>
    </row>
    <row r="211" ht="15" customHeight="1" s="24">
      <c r="A211" s="45" t="inlineStr">
        <is>
          <t>PS-0210</t>
        </is>
      </c>
      <c r="B211" s="45" t="inlineStr">
        <is>
          <t>2025-07-09</t>
        </is>
      </c>
      <c r="C211" s="45" t="inlineStr">
        <is>
          <t>2025</t>
        </is>
      </c>
      <c r="D211" s="45" t="inlineStr">
        <is>
          <t>MEX</t>
        </is>
      </c>
      <c r="E211" s="45" t="inlineStr">
        <is>
          <t>Francisco Cervantes Díaz</t>
        </is>
      </c>
      <c r="F211" s="45" t="inlineStr">
        <is>
          <t>President of the Consejo Coordinador Empresarial (CCE)</t>
        </is>
      </c>
      <c r="G211" s="45" t="inlineStr">
        <is>
          <t>other</t>
        </is>
      </c>
      <c r="H211" s="45" t="inlineStr">
        <is>
          <t>Other (business, civil society, third countries)</t>
        </is>
      </c>
      <c r="I211" s="45" t="inlineStr">
        <is>
          <t>MEX</t>
        </is>
      </c>
      <c r="J211" s="45" t="inlineStr"/>
      <c r="K211" s="45" t="inlineStr">
        <is>
          <t>press_conference</t>
        </is>
      </c>
      <c r="L211" s="45" t="inlineStr">
        <is>
          <t>Business sector reaction to US 50% copper tariff</t>
        </is>
      </c>
      <c r="M211" s="45" t="inlineStr">
        <is>
          <t>copper</t>
        </is>
      </c>
      <c r="N211" s="45" t="inlineStr">
        <is>
          <t>260300;740200;740311</t>
        </is>
      </c>
      <c r="O211" s="45" t="inlineStr">
        <is>
          <t>tariffs_trade_policy</t>
        </is>
      </c>
      <c r="P211" s="45" t="inlineStr">
        <is>
          <t>USA</t>
        </is>
      </c>
      <c r="Q211" s="45" t="inlineStr">
        <is>
          <t>not_mentioned</t>
        </is>
      </c>
      <c r="R211" s="45" t="inlineStr">
        <is>
          <t>negative</t>
        </is>
      </c>
      <c r="S211" s="45" t="inlineStr"/>
      <c r="T211" s="45" t="inlineStr">
        <is>
          <t>The head of Mexico's main business council said the private sector did not understand the reasons for the US copper tariff given that copper is needed and produced in the region, noting Mexico is a top-four world producer.</t>
        </is>
      </c>
      <c r="U211" s="45" t="inlineStr"/>
      <c r="V211" s="45" t="inlineStr"/>
      <c r="W211" s="45" t="inlineStr">
        <is>
          <t>es</t>
        </is>
      </c>
      <c r="X211" s="45" t="inlineStr">
        <is>
          <t>Zeta Tijuana</t>
        </is>
      </c>
      <c r="Y211" s="45" t="inlineStr">
        <is>
          <t>https://zetatijuana.com/2025/07/trump-impondra-arancel-del-50-al-cobre-el-1-de-agosto-sheinbaum-enviara-delegacion-a-eu/</t>
        </is>
      </c>
      <c r="Z211" s="45" t="inlineStr">
        <is>
          <t>news_media</t>
        </is>
      </c>
      <c r="AA211" s="45" t="inlineStr">
        <is>
          <t>secondary_reported</t>
        </is>
      </c>
      <c r="AB211" s="45" t="inlineStr">
        <is>
          <t>Business actor.</t>
        </is>
      </c>
      <c r="AC211" s="45" t="inlineStr">
        <is>
          <t>MEX</t>
        </is>
      </c>
    </row>
    <row r="212" ht="15" customHeight="1" s="24">
      <c r="A212" s="45" t="inlineStr">
        <is>
          <t>PS-0211</t>
        </is>
      </c>
      <c r="B212" s="45" t="inlineStr">
        <is>
          <t>2025-07-10</t>
        </is>
      </c>
      <c r="C212" s="45" t="inlineStr">
        <is>
          <t>2025</t>
        </is>
      </c>
      <c r="D212" s="45" t="inlineStr">
        <is>
          <t>BOL</t>
        </is>
      </c>
      <c r="E212" s="45" t="inlineStr">
        <is>
          <t>Luis Arce</t>
        </is>
      </c>
      <c r="F212" s="45" t="inlineStr">
        <is>
          <t>President of Bolivia</t>
        </is>
      </c>
      <c r="G212" s="45" t="inlineStr">
        <is>
          <t>head_of_state</t>
        </is>
      </c>
      <c r="H212" s="45" t="inlineStr">
        <is>
          <t>LatAm executive</t>
        </is>
      </c>
      <c r="I212" s="45" t="inlineStr">
        <is>
          <t>BOL</t>
        </is>
      </c>
      <c r="J212" s="45" t="inlineStr">
        <is>
          <t>Movimiento al Socialismo (MAS)</t>
        </is>
      </c>
      <c r="K212" s="45" t="inlineStr">
        <is>
          <t>official_statement</t>
        </is>
      </c>
      <c r="L212" s="45" t="inlineStr">
        <is>
          <t>Delays in Chamber of Deputies treatment of lithium contracts</t>
        </is>
      </c>
      <c r="M212" s="45" t="inlineStr">
        <is>
          <t>lithium</t>
        </is>
      </c>
      <c r="N212" s="45" t="inlineStr">
        <is>
          <t>253090;282520;283691</t>
        </is>
      </c>
      <c r="O212" s="45" t="inlineStr">
        <is>
          <t>foreign_investment;value_added_industrialization</t>
        </is>
      </c>
      <c r="P212" s="45" t="inlineStr">
        <is>
          <t>CHN;RUS</t>
        </is>
      </c>
      <c r="Q212" s="45" t="inlineStr">
        <is>
          <t>not_mentioned</t>
        </is>
      </c>
      <c r="R212" s="45" t="inlineStr">
        <is>
          <t>not_mentioned</t>
        </is>
      </c>
      <c r="S212" s="45" t="inlineStr">
        <is>
          <t>YLB; CBC; Uranium One Group</t>
        </is>
      </c>
      <c r="T212" s="45" t="inlineStr">
        <is>
          <t>Arce denied pressuring the legislature and said the Plurinational Legislative Assembly must meet its timelines for the lithium contracts submitted in 2024.</t>
        </is>
      </c>
      <c r="U212" s="45" t="inlineStr">
        <is>
          <t>Aclaramos que nuestro Gobierno no ejerce ningún tipo de presión para la aprobación de esos contratos.</t>
        </is>
      </c>
      <c r="V212" s="45" t="inlineStr">
        <is>
          <t>We clarify that our Government exerts no pressure whatsoever for the approval of those contracts.</t>
        </is>
      </c>
      <c r="W212" s="45" t="inlineStr">
        <is>
          <t>es</t>
        </is>
      </c>
      <c r="X212" s="45" t="inlineStr">
        <is>
          <t>Los Tiempos</t>
        </is>
      </c>
      <c r="Y212" s="45" t="inlineStr">
        <is>
          <t>https://www.lostiempos.com/node/657360</t>
        </is>
      </c>
      <c r="Z212" s="45" t="inlineStr">
        <is>
          <t>news_media</t>
        </is>
      </c>
      <c r="AA212" s="45" t="inlineStr">
        <is>
          <t>secondary_reported</t>
        </is>
      </c>
      <c r="AB212" s="45" t="inlineStr"/>
      <c r="AC212" s="45" t="inlineStr">
        <is>
          <t>BOL</t>
        </is>
      </c>
    </row>
    <row r="213" ht="15" customHeight="1" s="24">
      <c r="A213" s="45" t="inlineStr">
        <is>
          <t>PS-0212</t>
        </is>
      </c>
      <c r="B213" s="45" t="inlineStr">
        <is>
          <t>2025-07-10</t>
        </is>
      </c>
      <c r="C213" s="45" t="inlineStr">
        <is>
          <t>2025</t>
        </is>
      </c>
      <c r="D213" s="45" t="inlineStr">
        <is>
          <t>CHL</t>
        </is>
      </c>
      <c r="E213" s="45" t="inlineStr">
        <is>
          <t>Alberto van Klaveren</t>
        </is>
      </c>
      <c r="F213" s="45" t="inlineStr">
        <is>
          <t>Minister of Foreign Affairs</t>
        </is>
      </c>
      <c r="G213" s="45" t="inlineStr">
        <is>
          <t>minister_cabinet</t>
        </is>
      </c>
      <c r="H213" s="45" t="inlineStr">
        <is>
          <t>LatAm executive</t>
        </is>
      </c>
      <c r="I213" s="45" t="inlineStr">
        <is>
          <t>CHL</t>
        </is>
      </c>
      <c r="J213" s="45" t="inlineStr">
        <is>
          <t>Independent (PPD-aligned)</t>
        </is>
      </c>
      <c r="K213" s="45" t="inlineStr">
        <is>
          <t>press_conference</t>
        </is>
      </c>
      <c r="L213" s="45" t="inlineStr">
        <is>
          <t>Reaction to US 50% copper tariff announcement</t>
        </is>
      </c>
      <c r="M213" s="45" t="inlineStr">
        <is>
          <t>copper</t>
        </is>
      </c>
      <c r="N213" s="45" t="inlineStr">
        <is>
          <t>260300;740200;740311</t>
        </is>
      </c>
      <c r="O213" s="45" t="inlineStr">
        <is>
          <t>tariffs_trade_policy;diplomatic_relations</t>
        </is>
      </c>
      <c r="P213" s="45" t="inlineStr">
        <is>
          <t>USA;CAN;MEX;PER</t>
        </is>
      </c>
      <c r="Q213" s="45" t="inlineStr">
        <is>
          <t>not_mentioned</t>
        </is>
      </c>
      <c r="R213" s="45" t="inlineStr">
        <is>
          <t>neutral</t>
        </is>
      </c>
      <c r="S213" s="45" t="inlineStr"/>
      <c r="T213" s="45" t="inlineStr">
        <is>
          <t>The foreign minister said Chile awaited the executive order, noted Chile exports high-quality cathodes to the US and said the world and the US would keep needing Chilean copper.</t>
        </is>
      </c>
      <c r="U213" s="45" t="inlineStr">
        <is>
          <t>el mundo va a seguir necesitando cobre chileno y EEUU va a necesitar nuestro cobre</t>
        </is>
      </c>
      <c r="V213" s="45" t="inlineStr">
        <is>
          <t>the world will keep needing Chilean copper and the US will need our copper</t>
        </is>
      </c>
      <c r="W213" s="45" t="inlineStr">
        <is>
          <t>es</t>
        </is>
      </c>
      <c r="X213" s="45" t="inlineStr">
        <is>
          <t>Meganoticias</t>
        </is>
      </c>
      <c r="Y213" s="45" t="inlineStr">
        <is>
          <t>https://www.meganoticias.cl/nacional/491737-canciller-alberto-van-klaveren-arancel-donald-trump-mundo-y-eeuu-va-a-seguir-necesitando-cobre-chileno-brk-10-7-2025.html</t>
        </is>
      </c>
      <c r="Z213" s="45" t="inlineStr">
        <is>
          <t>news_media</t>
        </is>
      </c>
      <c r="AA213" s="45" t="inlineStr">
        <is>
          <t>secondary_reported</t>
        </is>
      </c>
      <c r="AB213" s="45" t="inlineStr"/>
      <c r="AC213" s="45" t="inlineStr">
        <is>
          <t>CHL</t>
        </is>
      </c>
    </row>
    <row r="214" ht="15" customHeight="1" s="24">
      <c r="A214" s="45" t="inlineStr">
        <is>
          <t>PS-0213</t>
        </is>
      </c>
      <c r="B214" s="45" t="inlineStr">
        <is>
          <t>2025-07-10</t>
        </is>
      </c>
      <c r="C214" s="45" t="inlineStr">
        <is>
          <t>2025</t>
        </is>
      </c>
      <c r="D214" s="45" t="inlineStr">
        <is>
          <t>CHL</t>
        </is>
      </c>
      <c r="E214" s="45" t="inlineStr">
        <is>
          <t>Aurora Williams</t>
        </is>
      </c>
      <c r="F214" s="45" t="inlineStr">
        <is>
          <t>Minister of Mining</t>
        </is>
      </c>
      <c r="G214" s="45" t="inlineStr">
        <is>
          <t>minister_cabinet</t>
        </is>
      </c>
      <c r="H214" s="45" t="inlineStr">
        <is>
          <t>LatAm executive</t>
        </is>
      </c>
      <c r="I214" s="45" t="inlineStr">
        <is>
          <t>CHL</t>
        </is>
      </c>
      <c r="J214" s="45" t="inlineStr">
        <is>
          <t>Partido Radical</t>
        </is>
      </c>
      <c r="K214" s="45" t="inlineStr">
        <is>
          <t>press_conference</t>
        </is>
      </c>
      <c r="L214" s="45" t="inlineStr">
        <is>
          <t>Reaction to US 50% copper tariff announcement</t>
        </is>
      </c>
      <c r="M214" s="45" t="inlineStr">
        <is>
          <t>copper</t>
        </is>
      </c>
      <c r="N214" s="45" t="inlineStr">
        <is>
          <t>260300;740200;740311</t>
        </is>
      </c>
      <c r="O214" s="45" t="inlineStr">
        <is>
          <t>tariffs_trade_policy</t>
        </is>
      </c>
      <c r="P214" s="45" t="inlineStr">
        <is>
          <t>USA</t>
        </is>
      </c>
      <c r="Q214" s="45" t="inlineStr">
        <is>
          <t>not_mentioned</t>
        </is>
      </c>
      <c r="R214" s="45" t="inlineStr">
        <is>
          <t>neutral</t>
        </is>
      </c>
      <c r="S214" s="45" t="inlineStr"/>
      <c r="T214" s="45" t="inlineStr">
        <is>
          <t>The mining minister noted that only 11% of Chile's copper exports go to the US but Chilean copper makes up about 70% of US copper imports, stressing its quality and traceability.</t>
        </is>
      </c>
      <c r="U214" s="45" t="inlineStr">
        <is>
          <t>para EEUU el 70% de su importación corresponde a cobre chileno, un cobre que tiene una calidad debidamente demostrable</t>
        </is>
      </c>
      <c r="V214" s="45" t="inlineStr">
        <is>
          <t>for the US, 70% of its imports are Chilean copper, a copper of duly demonstrable quality</t>
        </is>
      </c>
      <c r="W214" s="45" t="inlineStr">
        <is>
          <t>es</t>
        </is>
      </c>
      <c r="X214" s="45" t="inlineStr">
        <is>
          <t>Meganoticias</t>
        </is>
      </c>
      <c r="Y214" s="45" t="inlineStr">
        <is>
          <t>https://www.meganoticias.cl/nacional/491737-canciller-alberto-van-klaveren-arancel-donald-trump-mundo-y-eeuu-va-a-seguir-necesitando-cobre-chileno-brk-10-7-2025.html</t>
        </is>
      </c>
      <c r="Z214" s="45" t="inlineStr">
        <is>
          <t>news_media</t>
        </is>
      </c>
      <c r="AA214" s="45" t="inlineStr">
        <is>
          <t>secondary_reported</t>
        </is>
      </c>
      <c r="AB214" s="45" t="inlineStr"/>
      <c r="AC214" s="45" t="inlineStr">
        <is>
          <t>CHL</t>
        </is>
      </c>
    </row>
    <row r="215" ht="15" customHeight="1" s="24">
      <c r="A215" s="45" t="inlineStr">
        <is>
          <t>PS-0214</t>
        </is>
      </c>
      <c r="B215" s="45" t="inlineStr">
        <is>
          <t>2025-07-11</t>
        </is>
      </c>
      <c r="C215" s="45" t="inlineStr">
        <is>
          <t>2025</t>
        </is>
      </c>
      <c r="D215" s="45" t="inlineStr">
        <is>
          <t>CHL</t>
        </is>
      </c>
      <c r="E215" s="45" t="inlineStr">
        <is>
          <t>Gabriel Boric</t>
        </is>
      </c>
      <c r="F215" s="45" t="inlineStr">
        <is>
          <t>President of Chile</t>
        </is>
      </c>
      <c r="G215" s="45" t="inlineStr">
        <is>
          <t>head_of_state</t>
        </is>
      </c>
      <c r="H215" s="45" t="inlineStr">
        <is>
          <t>LatAm executive</t>
        </is>
      </c>
      <c r="I215" s="45" t="inlineStr">
        <is>
          <t>CHL</t>
        </is>
      </c>
      <c r="J215" s="45" t="inlineStr">
        <is>
          <t>Convergencia Social / Frente Amplio</t>
        </is>
      </c>
      <c r="K215" s="45" t="inlineStr">
        <is>
          <t>speech</t>
        </is>
      </c>
      <c r="L215" s="45" t="inlineStr">
        <is>
          <t>54th anniversary of copper nationalisation, El Teniente</t>
        </is>
      </c>
      <c r="M215" s="45" t="inlineStr">
        <is>
          <t>copper</t>
        </is>
      </c>
      <c r="N215" s="45" t="inlineStr">
        <is>
          <t>260300;740200;740311</t>
        </is>
      </c>
      <c r="O215" s="45" t="inlineStr">
        <is>
          <t>tariffs_trade_policy;sovereignty;energy_transition</t>
        </is>
      </c>
      <c r="P215" s="45" t="inlineStr">
        <is>
          <t>USA</t>
        </is>
      </c>
      <c r="Q215" s="45" t="inlineStr">
        <is>
          <t>not_mentioned</t>
        </is>
      </c>
      <c r="R215" s="45" t="inlineStr">
        <is>
          <t>negative</t>
        </is>
      </c>
      <c r="S215" s="45" t="inlineStr">
        <is>
          <t>Codelco; El Teniente</t>
        </is>
      </c>
      <c r="T215" s="45" t="inlineStr">
        <is>
          <t>Responding to the planned US copper tariff, Boric called for national unity to defend copper, argued restricting copper worsens global warming and said Chile would keep selling to all countries that want to buy.</t>
        </is>
      </c>
      <c r="U215" s="45" t="inlineStr">
        <is>
          <t>Cuando nos tocan el cobre, salimos todos a defenderlo con unidad nacional</t>
        </is>
      </c>
      <c r="V215" s="45" t="inlineStr">
        <is>
          <t>When they touch our copper, we all come out to defend it with national unity</t>
        </is>
      </c>
      <c r="W215" s="45" t="inlineStr">
        <is>
          <t>es</t>
        </is>
      </c>
      <c r="X215" s="45" t="inlineStr">
        <is>
          <t>El Mostrador</t>
        </is>
      </c>
      <c r="Y215" s="45" t="inlineStr">
        <is>
          <t>https://www.elmostrador.cl/noticias/pais/2025/07/11/presidente-boric-cuando-nos-tocan-el-cobre-salimos-todos-a-defenderlo-con-unidad-nacional/</t>
        </is>
      </c>
      <c r="Z215" s="45" t="inlineStr">
        <is>
          <t>news_media</t>
        </is>
      </c>
      <c r="AA215" s="45" t="inlineStr">
        <is>
          <t>secondary_reported</t>
        </is>
      </c>
      <c r="AB215" s="45" t="inlineStr"/>
      <c r="AC215" s="45" t="inlineStr">
        <is>
          <t>CHL</t>
        </is>
      </c>
    </row>
    <row r="216" ht="15" customHeight="1" s="24">
      <c r="A216" s="45" t="inlineStr">
        <is>
          <t>PS-0215</t>
        </is>
      </c>
      <c r="B216" s="45" t="inlineStr">
        <is>
          <t>2025-07-11</t>
        </is>
      </c>
      <c r="C216" s="45" t="inlineStr">
        <is>
          <t>2025</t>
        </is>
      </c>
      <c r="D216" s="45" t="inlineStr">
        <is>
          <t>CHL</t>
        </is>
      </c>
      <c r="E216" s="45" t="inlineStr">
        <is>
          <t>Víctor Espinosa</t>
        </is>
      </c>
      <c r="F216" s="45" t="inlineStr">
        <is>
          <t>Economic adviser to presidential candidate Johannes Kaiser</t>
        </is>
      </c>
      <c r="G216" s="45" t="inlineStr">
        <is>
          <t>political_party_candidate</t>
        </is>
      </c>
      <c r="H216" s="45" t="inlineStr">
        <is>
          <t>LatAm party/candidate</t>
        </is>
      </c>
      <c r="I216" s="45" t="inlineStr">
        <is>
          <t>CHL</t>
        </is>
      </c>
      <c r="J216" s="45" t="inlineStr">
        <is>
          <t>Partido Nacional Libertario</t>
        </is>
      </c>
      <c r="K216" s="45" t="inlineStr">
        <is>
          <t>campaign_statement</t>
        </is>
      </c>
      <c r="L216" s="45" t="inlineStr">
        <is>
          <t>Presidential race reactions to US copper tariff</t>
        </is>
      </c>
      <c r="M216" s="45" t="inlineStr">
        <is>
          <t>copper</t>
        </is>
      </c>
      <c r="N216" s="45" t="inlineStr">
        <is>
          <t>260300;740200;740311</t>
        </is>
      </c>
      <c r="O216" s="45" t="inlineStr">
        <is>
          <t>tariffs_trade_policy</t>
        </is>
      </c>
      <c r="P216" s="45" t="inlineStr">
        <is>
          <t>USA</t>
        </is>
      </c>
      <c r="Q216" s="45" t="inlineStr">
        <is>
          <t>not_mentioned</t>
        </is>
      </c>
      <c r="R216" s="45" t="inlineStr">
        <is>
          <t>mixed</t>
        </is>
      </c>
      <c r="S216" s="45" t="inlineStr"/>
      <c r="T216" s="45" t="inlineStr">
        <is>
          <t>Speaking for Kaiser's campaign amid cross-party recriminations over the US copper tariff, his economic adviser said the libertarians oppose protectionism.</t>
        </is>
      </c>
      <c r="U216" s="45" t="inlineStr">
        <is>
          <t>somos libertarios, no proteccionistas</t>
        </is>
      </c>
      <c r="V216" s="45" t="inlineStr">
        <is>
          <t>we are libertarians, not protectionists</t>
        </is>
      </c>
      <c r="W216" s="45" t="inlineStr">
        <is>
          <t>es</t>
        </is>
      </c>
      <c r="X216" s="45" t="inlineStr">
        <is>
          <t>BioBioChile</t>
        </is>
      </c>
      <c r="Y216" s="45" t="inlineStr">
        <is>
          <t>https://www.biobiochile.cl/biobiotv/programas/radiograma-biobiotv/2025/07/11/amp/arancel-al-cobre-de-trump-tensiona-la-carrera-presidencial-genera-recriminaciones-cruzadas.shtml</t>
        </is>
      </c>
      <c r="Z216" s="45" t="inlineStr">
        <is>
          <t>news_media</t>
        </is>
      </c>
      <c r="AA216" s="45" t="inlineStr">
        <is>
          <t>secondary_reported</t>
        </is>
      </c>
      <c r="AB216" s="45" t="inlineStr">
        <is>
          <t>Speaker is campaign adviser, not candidate</t>
        </is>
      </c>
      <c r="AC216" s="45" t="inlineStr">
        <is>
          <t>CHL</t>
        </is>
      </c>
    </row>
    <row r="217" ht="15" customHeight="1" s="24">
      <c r="A217" s="45" t="inlineStr">
        <is>
          <t>PS-0216</t>
        </is>
      </c>
      <c r="B217" s="45" t="inlineStr">
        <is>
          <t>2025-07-15</t>
        </is>
      </c>
      <c r="C217" s="45" t="inlineStr">
        <is>
          <t>2025</t>
        </is>
      </c>
      <c r="D217" s="45" t="inlineStr">
        <is>
          <t>CHL</t>
        </is>
      </c>
      <c r="E217" s="45" t="inlineStr">
        <is>
          <t>Alberto van Klaveren</t>
        </is>
      </c>
      <c r="F217" s="45" t="inlineStr">
        <is>
          <t>Minister of Foreign Affairs</t>
        </is>
      </c>
      <c r="G217" s="45" t="inlineStr">
        <is>
          <t>minister_cabinet</t>
        </is>
      </c>
      <c r="H217" s="45" t="inlineStr">
        <is>
          <t>LatAm executive</t>
        </is>
      </c>
      <c r="I217" s="45" t="inlineStr">
        <is>
          <t>CHL</t>
        </is>
      </c>
      <c r="J217" s="45" t="inlineStr">
        <is>
          <t>Independent (PPD-aligned)</t>
        </is>
      </c>
      <c r="K217" s="45" t="inlineStr">
        <is>
          <t>legislative_debate</t>
        </is>
      </c>
      <c r="L217" s="45" t="inlineStr">
        <is>
          <t>Joint session of Chamber Foreign Relations and Mining commissions on US copper surcharge</t>
        </is>
      </c>
      <c r="M217" s="45" t="inlineStr">
        <is>
          <t>copper</t>
        </is>
      </c>
      <c r="N217" s="45" t="inlineStr">
        <is>
          <t>260300;740200;740311</t>
        </is>
      </c>
      <c r="O217" s="45" t="inlineStr">
        <is>
          <t>tariffs_trade_policy;diplomatic_relations;sovereignty</t>
        </is>
      </c>
      <c r="P217" s="45" t="inlineStr">
        <is>
          <t>USA</t>
        </is>
      </c>
      <c r="Q217" s="45" t="inlineStr">
        <is>
          <t>not_mentioned</t>
        </is>
      </c>
      <c r="R217" s="45" t="inlineStr">
        <is>
          <t>mixed</t>
        </is>
      </c>
      <c r="S217" s="45" t="inlineStr"/>
      <c r="T217" s="45" t="inlineStr">
        <is>
          <t>Before deputies, van Klaveren said Chile wants the best possible relationship with the US but that no foreign partner can condition Chile's foreign policy; opposition deputies asked if government rhetoric provoked the tariff.</t>
        </is>
      </c>
      <c r="U217" s="45" t="inlineStr">
        <is>
          <t>ninguna relación exterior que tenga Chile con otro socio puede condicionar nuestra política exterior</t>
        </is>
      </c>
      <c r="V217" s="45" t="inlineStr">
        <is>
          <t>no foreign relationship Chile has with another partner can condition our foreign policy</t>
        </is>
      </c>
      <c r="W217" s="45" t="inlineStr">
        <is>
          <t>es</t>
        </is>
      </c>
      <c r="X217" s="45" t="inlineStr">
        <is>
          <t>Cámara de Diputadas y Diputados</t>
        </is>
      </c>
      <c r="Y217" s="45" t="inlineStr">
        <is>
          <t>https://www.camara.cl/cms/?p=88071</t>
        </is>
      </c>
      <c r="Z217" s="45" t="inlineStr">
        <is>
          <t>legislative_record</t>
        </is>
      </c>
      <c r="AA217" s="45" t="inlineStr">
        <is>
          <t>primary_verified</t>
        </is>
      </c>
      <c r="AB217" s="45" t="inlineStr"/>
      <c r="AC217" s="45" t="inlineStr">
        <is>
          <t>CHL</t>
        </is>
      </c>
    </row>
    <row r="218" ht="15" customHeight="1" s="24">
      <c r="A218" s="45" t="inlineStr">
        <is>
          <t>PS-0217</t>
        </is>
      </c>
      <c r="B218" s="45" t="inlineStr">
        <is>
          <t>2025-07-15</t>
        </is>
      </c>
      <c r="C218" s="45" t="inlineStr">
        <is>
          <t>2025</t>
        </is>
      </c>
      <c r="D218" s="45" t="inlineStr">
        <is>
          <t>CHL</t>
        </is>
      </c>
      <c r="E218" s="45" t="inlineStr">
        <is>
          <t>Máximo Pacheco</t>
        </is>
      </c>
      <c r="F218" s="45" t="inlineStr">
        <is>
          <t>Chairman of Codelco</t>
        </is>
      </c>
      <c r="G218" s="45" t="inlineStr">
        <is>
          <t>state_company</t>
        </is>
      </c>
      <c r="H218" s="45" t="inlineStr">
        <is>
          <t>LatAm state company</t>
        </is>
      </c>
      <c r="I218" s="45" t="inlineStr">
        <is>
          <t>CHL</t>
        </is>
      </c>
      <c r="J218" s="45" t="inlineStr"/>
      <c r="K218" s="45" t="inlineStr">
        <is>
          <t>legislative_debate</t>
        </is>
      </c>
      <c r="L218" s="45" t="inlineStr">
        <is>
          <t>Joint session of Chamber Foreign Relations and Mining commissions on US copper surcharge</t>
        </is>
      </c>
      <c r="M218" s="45" t="inlineStr">
        <is>
          <t>copper</t>
        </is>
      </c>
      <c r="N218" s="45" t="inlineStr">
        <is>
          <t>260300;740200;740311</t>
        </is>
      </c>
      <c r="O218" s="45" t="inlineStr">
        <is>
          <t>tariffs_trade_policy</t>
        </is>
      </c>
      <c r="P218" s="45" t="inlineStr">
        <is>
          <t>USA</t>
        </is>
      </c>
      <c r="Q218" s="45" t="inlineStr">
        <is>
          <t>not_mentioned</t>
        </is>
      </c>
      <c r="R218" s="45" t="inlineStr">
        <is>
          <t>neutral</t>
        </is>
      </c>
      <c r="S218" s="45" t="inlineStr">
        <is>
          <t>Codelco</t>
        </is>
      </c>
      <c r="T218" s="45" t="inlineStr">
        <is>
          <t>Pacheco told deputies the US would depend on Chilean copper for at least five more years regardless of the tariff, given its limited domestic production.</t>
        </is>
      </c>
      <c r="U218" s="45" t="inlineStr"/>
      <c r="V218" s="45" t="inlineStr"/>
      <c r="W218" s="45" t="inlineStr">
        <is>
          <t>es</t>
        </is>
      </c>
      <c r="X218" s="45" t="inlineStr">
        <is>
          <t>Cámara de Diputadas y Diputados</t>
        </is>
      </c>
      <c r="Y218" s="45" t="inlineStr">
        <is>
          <t>https://www.camara.cl/cms/?p=88071</t>
        </is>
      </c>
      <c r="Z218" s="45" t="inlineStr">
        <is>
          <t>legislative_record</t>
        </is>
      </c>
      <c r="AA218" s="45" t="inlineStr">
        <is>
          <t>primary_verified</t>
        </is>
      </c>
      <c r="AB218" s="45" t="inlineStr">
        <is>
          <t>Paraphrase; no verbatim quote in source</t>
        </is>
      </c>
      <c r="AC218" s="45" t="inlineStr">
        <is>
          <t>CHL</t>
        </is>
      </c>
    </row>
    <row r="219" ht="15" customHeight="1" s="24">
      <c r="A219" s="45" t="inlineStr">
        <is>
          <t>PS-0218</t>
        </is>
      </c>
      <c r="B219" s="45" t="inlineStr">
        <is>
          <t>2025-07-17</t>
        </is>
      </c>
      <c r="C219" s="45" t="inlineStr">
        <is>
          <t>2025</t>
        </is>
      </c>
      <c r="D219" s="45" t="inlineStr">
        <is>
          <t>BOL</t>
        </is>
      </c>
      <c r="E219" s="45" t="inlineStr">
        <is>
          <t>Wang Liang</t>
        </is>
      </c>
      <c r="F219" s="45" t="inlineStr">
        <is>
          <t>Chinese Ambassador to Bolivia</t>
        </is>
      </c>
      <c r="G219" s="45" t="inlineStr">
        <is>
          <t>china_embassy</t>
        </is>
      </c>
      <c r="H219" s="45" t="inlineStr">
        <is>
          <t>China</t>
        </is>
      </c>
      <c r="I219" s="45" t="inlineStr">
        <is>
          <t>CHN</t>
        </is>
      </c>
      <c r="J219" s="45" t="inlineStr">
        <is>
          <t>CCP</t>
        </is>
      </c>
      <c r="K219" s="45" t="inlineStr">
        <is>
          <t>interview</t>
        </is>
      </c>
      <c r="L219" s="45" t="inlineStr">
        <is>
          <t>Radio Fides interview on lithium contracts</t>
        </is>
      </c>
      <c r="M219" s="45" t="inlineStr">
        <is>
          <t>lithium</t>
        </is>
      </c>
      <c r="N219" s="45" t="inlineStr">
        <is>
          <t>253090;282520;283691</t>
        </is>
      </c>
      <c r="O219" s="45" t="inlineStr">
        <is>
          <t>foreign_investment;sovereignty;diplomatic_relations</t>
        </is>
      </c>
      <c r="P219" s="45" t="inlineStr">
        <is>
          <t>CHN</t>
        </is>
      </c>
      <c r="Q219" s="45" t="inlineStr">
        <is>
          <t>positive</t>
        </is>
      </c>
      <c r="R219" s="45" t="inlineStr">
        <is>
          <t>not_mentioned</t>
        </is>
      </c>
      <c r="S219" s="45" t="inlineStr">
        <is>
          <t>YLB; CBC</t>
        </is>
      </c>
      <c r="T219" s="45" t="inlineStr">
        <is>
          <t>The Chinese ambassador called the legislative dispute over lithium contracts an internal matter, said investment decisions belong to companies, and stressed mutual respect for Bolivian sovereignty.</t>
        </is>
      </c>
      <c r="U219" s="45" t="inlineStr"/>
      <c r="V219" s="45" t="inlineStr"/>
      <c r="W219" s="45" t="inlineStr">
        <is>
          <t>es</t>
        </is>
      </c>
      <c r="X219" s="45" t="inlineStr">
        <is>
          <t>Fundación Andrés Bello</t>
        </is>
      </c>
      <c r="Y219" s="45" t="inlineStr">
        <is>
          <t>https://www.fundacionandresbello.org/?p=14535</t>
        </is>
      </c>
      <c r="Z219" s="45" t="inlineStr">
        <is>
          <t>news_media</t>
        </is>
      </c>
      <c r="AA219" s="45" t="inlineStr">
        <is>
          <t>secondary_reported</t>
        </is>
      </c>
      <c r="AB219" s="45" t="inlineStr">
        <is>
          <t>Quote seen only in English translation from secondary (China-friendly) source; original Radio Fides interview in Spanish. Quote cleared: only translated wording seen.</t>
        </is>
      </c>
      <c r="AC219" s="45" t="inlineStr">
        <is>
          <t>BOL</t>
        </is>
      </c>
    </row>
    <row r="220" ht="15" customHeight="1" s="24">
      <c r="A220" s="45" t="inlineStr">
        <is>
          <t>PS-0219</t>
        </is>
      </c>
      <c r="B220" s="45" t="inlineStr">
        <is>
          <t>2025-07-22</t>
        </is>
      </c>
      <c r="C220" s="45" t="inlineStr">
        <is>
          <t>2025</t>
        </is>
      </c>
      <c r="D220" s="45" t="inlineStr">
        <is>
          <t>ARG</t>
        </is>
      </c>
      <c r="E220" s="45" t="inlineStr">
        <is>
          <t>Peter Lamelas</t>
        </is>
      </c>
      <c r="F220" s="45" t="inlineStr">
        <is>
          <t>U.S. Ambassador-designate to Argentina</t>
        </is>
      </c>
      <c r="G220" s="45" t="inlineStr">
        <is>
          <t>us_embassy</t>
        </is>
      </c>
      <c r="H220" s="45" t="inlineStr">
        <is>
          <t>United States</t>
        </is>
      </c>
      <c r="I220" s="45" t="inlineStr">
        <is>
          <t>USA</t>
        </is>
      </c>
      <c r="J220" s="45" t="inlineStr">
        <is>
          <t>Republican (Trump nominee)</t>
        </is>
      </c>
      <c r="K220" s="45" t="inlineStr">
        <is>
          <t>legislative_debate</t>
        </is>
      </c>
      <c r="L220" s="45" t="inlineStr">
        <is>
          <t>Senate Foreign Relations Committee confirmation hearing</t>
        </is>
      </c>
      <c r="M220" s="45" t="inlineStr">
        <is>
          <t>mining_general</t>
        </is>
      </c>
      <c r="N220" s="45" t="inlineStr"/>
      <c r="O220" s="45" t="inlineStr">
        <is>
          <t>geopolitics_security;corruption_governance;foreign_investment</t>
        </is>
      </c>
      <c r="P220" s="45" t="inlineStr">
        <is>
          <t>CHN</t>
        </is>
      </c>
      <c r="Q220" s="45" t="inlineStr">
        <is>
          <t>negative</t>
        </is>
      </c>
      <c r="R220" s="45" t="inlineStr">
        <is>
          <t>positive</t>
        </is>
      </c>
      <c r="S220" s="45" t="inlineStr"/>
      <c r="T220" s="45" t="inlineStr">
        <is>
          <t>At his confirmation hearing Lamelas warned that Argentine provincial governments could negotiate projects directly with the Chinese, which could lend itself to corruption, and pledged to visit governors; China's embassy accused him of a Cold War mentality.</t>
        </is>
      </c>
      <c r="U220" s="45" t="inlineStr">
        <is>
          <t>could negotiate with external forces, like the Chinese or others, to come in and do projects in that particular province, and that may also lend towards corruption</t>
        </is>
      </c>
      <c r="V220" s="45" t="inlineStr">
        <is>
          <t>could negotiate with external forces, like the Chinese or others, to come in and do projects in that particular province, and that may also lend towards corruption</t>
        </is>
      </c>
      <c r="W220" s="45" t="inlineStr">
        <is>
          <t>en</t>
        </is>
      </c>
      <c r="X220" s="45" t="inlineStr">
        <is>
          <t>Buenos Aires Herald</t>
        </is>
      </c>
      <c r="Y220" s="45" t="inlineStr">
        <is>
          <t>https://buenosairesherald.com/world/international-relations/china-accuses-us-ambassador-nominee-of-cold-war-mentality</t>
        </is>
      </c>
      <c r="Z220" s="45" t="inlineStr">
        <is>
          <t>news_media</t>
        </is>
      </c>
      <c r="AA220" s="45" t="inlineStr">
        <is>
          <t>secondary_reported</t>
        </is>
      </c>
      <c r="AB220" s="45" t="inlineStr">
        <is>
          <t>Minerals not explicitly named; Argentine provinces control mineral (lithium/copper) resources—relevance inferred</t>
        </is>
      </c>
      <c r="AC220" s="45" t="inlineStr">
        <is>
          <t>USA_gov</t>
        </is>
      </c>
    </row>
    <row r="221" ht="15" customHeight="1" s="24">
      <c r="A221" s="45" t="inlineStr">
        <is>
          <t>PS-0220</t>
        </is>
      </c>
      <c r="B221" s="45" t="inlineStr">
        <is>
          <t>2025-07-23</t>
        </is>
      </c>
      <c r="C221" s="45" t="inlineStr">
        <is>
          <t>2025</t>
        </is>
      </c>
      <c r="D221" s="45" t="inlineStr">
        <is>
          <t>ARG</t>
        </is>
      </c>
      <c r="E221" s="45" t="inlineStr">
        <is>
          <t>Embassy of the People's Republic of China in Argentina</t>
        </is>
      </c>
      <c r="F221" s="45" t="inlineStr">
        <is>
          <t>Chinese Embassy in Argentina</t>
        </is>
      </c>
      <c r="G221" s="45" t="inlineStr">
        <is>
          <t>china_embassy</t>
        </is>
      </c>
      <c r="H221" s="45" t="inlineStr">
        <is>
          <t>China</t>
        </is>
      </c>
      <c r="I221" s="45" t="inlineStr">
        <is>
          <t>CHN</t>
        </is>
      </c>
      <c r="J221" s="45" t="inlineStr">
        <is>
          <t>CCP</t>
        </is>
      </c>
      <c r="K221" s="45" t="inlineStr">
        <is>
          <t>official_statement</t>
        </is>
      </c>
      <c r="L221" s="45" t="inlineStr">
        <is>
          <t>Response to Lamelas Senate hearing remarks</t>
        </is>
      </c>
      <c r="M221" s="45" t="inlineStr">
        <is>
          <t>critical_minerals_general</t>
        </is>
      </c>
      <c r="N221" s="45" t="inlineStr"/>
      <c r="O221" s="45" t="inlineStr">
        <is>
          <t>geopolitics_security;diplomatic_relations</t>
        </is>
      </c>
      <c r="P221" s="45" t="inlineStr">
        <is>
          <t>USA</t>
        </is>
      </c>
      <c r="Q221" s="45" t="inlineStr">
        <is>
          <t>positive</t>
        </is>
      </c>
      <c r="R221" s="45" t="inlineStr">
        <is>
          <t>negative</t>
        </is>
      </c>
      <c r="S221" s="45" t="inlineStr"/>
      <c r="T221" s="45" t="inlineStr">
        <is>
          <t>The Chinese embassy said Lamelas' remarks were full of ideological prejudice and Cold War mentality, that Argentina should not become a battlefield for great-power rivalry, and that China's cooperation rests on mutual respect and mutual benefit.</t>
        </is>
      </c>
      <c r="U221" s="45" t="inlineStr">
        <is>
          <t>La Argentina no debe convertirse en un 'campo de batalla' para luchas entre grandes potencias</t>
        </is>
      </c>
      <c r="V221" s="45" t="inlineStr">
        <is>
          <t>Argentina must not become a 'battlefield' for struggles between great powers</t>
        </is>
      </c>
      <c r="W221" s="45" t="inlineStr">
        <is>
          <t>es</t>
        </is>
      </c>
      <c r="X221" s="45" t="inlineStr">
        <is>
          <t>La Nación</t>
        </is>
      </c>
      <c r="Y221" s="45" t="inlineStr">
        <is>
          <t>https://www.lanacion.com.ar/politica/china-le-respondio-al-embajador-que-designo-donald-trump-para-la-argentina-nid23072025/</t>
        </is>
      </c>
      <c r="Z221" s="45" t="inlineStr">
        <is>
          <t>news_media</t>
        </is>
      </c>
      <c r="AA221" s="45" t="inlineStr">
        <is>
          <t>secondary_reported</t>
        </is>
      </c>
      <c r="AB221" s="45" t="inlineStr">
        <is>
          <t>Statement does not itself name minerals; responds to remarks on provinces/critical minerals.</t>
        </is>
      </c>
      <c r="AC221" s="45" t="inlineStr">
        <is>
          <t>ARG</t>
        </is>
      </c>
    </row>
    <row r="222" ht="15" customHeight="1" s="24">
      <c r="A222" s="45" t="inlineStr">
        <is>
          <t>PS-0221</t>
        </is>
      </c>
      <c r="B222" s="45" t="inlineStr">
        <is>
          <t>2025-07-23</t>
        </is>
      </c>
      <c r="C222" s="45" t="inlineStr">
        <is>
          <t>2025</t>
        </is>
      </c>
      <c r="D222" s="45" t="inlineStr">
        <is>
          <t>ARG</t>
        </is>
      </c>
      <c r="E222" s="45" t="inlineStr">
        <is>
          <t>Luis Caputo</t>
        </is>
      </c>
      <c r="F222" s="45" t="inlineStr">
        <is>
          <t>Minister of Economy of Argentina</t>
        </is>
      </c>
      <c r="G222" s="45" t="inlineStr">
        <is>
          <t>minister_cabinet</t>
        </is>
      </c>
      <c r="H222" s="45" t="inlineStr">
        <is>
          <t>LatAm executive</t>
        </is>
      </c>
      <c r="I222" s="45" t="inlineStr">
        <is>
          <t>ARG</t>
        </is>
      </c>
      <c r="J222" s="45" t="inlineStr">
        <is>
          <t>La Libertad Avanza</t>
        </is>
      </c>
      <c r="K222" s="45" t="inlineStr">
        <is>
          <t>social_media_post</t>
        </is>
      </c>
      <c r="L222" s="45" t="inlineStr">
        <is>
          <t>RIGI evaluation committee decisions</t>
        </is>
      </c>
      <c r="M222" s="45" t="inlineStr">
        <is>
          <t>lithium</t>
        </is>
      </c>
      <c r="N222" s="45" t="inlineStr">
        <is>
          <t>253090;282520;283691</t>
        </is>
      </c>
      <c r="O222" s="45" t="inlineStr">
        <is>
          <t>foreign_investment;royalties_taxation</t>
        </is>
      </c>
      <c r="P222" s="45" t="inlineStr">
        <is>
          <t>CHN;AUS</t>
        </is>
      </c>
      <c r="Q222" s="45" t="inlineStr">
        <is>
          <t>neutral</t>
        </is>
      </c>
      <c r="R222" s="45" t="inlineStr">
        <is>
          <t>not_mentioned</t>
        </is>
      </c>
      <c r="S222" s="45" t="inlineStr">
        <is>
          <t>Galan Lithium; Hombre Muerto Oeste; Ganfeng Lithium; Mariana</t>
        </is>
      </c>
      <c r="T222" s="45" t="inlineStr">
        <is>
          <t>Caputo announced on X approval of Galan Lithium's project as the sixth RIGI project and the rejection of Ganfeng's Mariana lithium project, explaining it had started in 2022 and was inaugurated before applying, so did not meet entry requirements.</t>
        </is>
      </c>
      <c r="U222" s="45" t="inlineStr">
        <is>
          <t>El proyecto había arrancado en 2022 y fue inaugurado a principios de este año casi al mismo tiempo que presentó su solicitud de ingreso.</t>
        </is>
      </c>
      <c r="V222" s="45" t="inlineStr">
        <is>
          <t>The project had started in 2022 and was inaugurated at the start of this year almost at the same time it submitted its application.</t>
        </is>
      </c>
      <c r="W222" s="45" t="inlineStr">
        <is>
          <t>es</t>
        </is>
      </c>
      <c r="X222" s="45" t="inlineStr">
        <is>
          <t>La Nación</t>
        </is>
      </c>
      <c r="Y222" s="45" t="inlineStr">
        <is>
          <t>https://www.lanacion.com.ar/economia/el-gobierno-aprobo-el-sexto-proyecto-del-rigi-y-confirmo-el-primer-rechazo-nid23072025/</t>
        </is>
      </c>
      <c r="Z222" s="45" t="inlineStr">
        <is>
          <t>news_media</t>
        </is>
      </c>
      <c r="AA222" s="45" t="inlineStr">
        <is>
          <t>secondary_reported</t>
        </is>
      </c>
      <c r="AB222" s="45" t="inlineStr">
        <is>
          <t>First RIGI rejection; quote attributed by La Nación to Caputo's X post, full post not seen.</t>
        </is>
      </c>
      <c r="AC222" s="45" t="inlineStr">
        <is>
          <t>ARG</t>
        </is>
      </c>
    </row>
    <row r="223" ht="15" customHeight="1" s="24">
      <c r="A223" s="45" t="inlineStr">
        <is>
          <t>PS-0222</t>
        </is>
      </c>
      <c r="B223" s="45" t="inlineStr">
        <is>
          <t>2025-07-25</t>
        </is>
      </c>
      <c r="C223" s="45" t="inlineStr">
        <is>
          <t>2025</t>
        </is>
      </c>
      <c r="D223" s="45" t="inlineStr">
        <is>
          <t>BRA</t>
        </is>
      </c>
      <c r="E223" s="45" t="inlineStr">
        <is>
          <t>Luiz Inácio Lula da Silva</t>
        </is>
      </c>
      <c r="F223" s="45" t="inlineStr">
        <is>
          <t>President of Brazil</t>
        </is>
      </c>
      <c r="G223" s="45" t="inlineStr">
        <is>
          <t>head_of_state</t>
        </is>
      </c>
      <c r="H223" s="45" t="inlineStr">
        <is>
          <t>LatAm executive</t>
        </is>
      </c>
      <c r="I223" s="45" t="inlineStr">
        <is>
          <t>BRA</t>
        </is>
      </c>
      <c r="J223" s="45" t="inlineStr">
        <is>
          <t>PT</t>
        </is>
      </c>
      <c r="K223" s="45" t="inlineStr">
        <is>
          <t>speech</t>
        </is>
      </c>
      <c r="L223" s="45" t="inlineStr">
        <is>
          <t>Response to US interest in Brazilian strategic minerals amid tariff threat</t>
        </is>
      </c>
      <c r="M223" s="45" t="inlineStr">
        <is>
          <t>critical_minerals_general;lithium;niobium</t>
        </is>
      </c>
      <c r="N223" s="45" t="inlineStr">
        <is>
          <t>253090;261590;282520;283691;720293</t>
        </is>
      </c>
      <c r="O223" s="45" t="inlineStr">
        <is>
          <t>sovereignty;tariffs_trade_policy;geopolitics_security</t>
        </is>
      </c>
      <c r="P223" s="45" t="inlineStr">
        <is>
          <t>USA</t>
        </is>
      </c>
      <c r="Q223" s="45" t="inlineStr">
        <is>
          <t>not_mentioned</t>
        </is>
      </c>
      <c r="R223" s="45" t="inlineStr">
        <is>
          <t>negative</t>
        </is>
      </c>
      <c r="S223" s="45" t="inlineStr"/>
      <c r="T223" s="45" t="inlineStr">
        <is>
          <t>Reacting to reports that the US embassy had expressed interest in Brazil's strategic minerals, Lula said nobody would 'lay a hand' on Brazil's resources and asked the US government for respect for the Brazilian people.</t>
        </is>
      </c>
      <c r="U223" s="45" t="inlineStr"/>
      <c r="V223" s="45" t="inlineStr"/>
      <c r="W223" s="45" t="inlineStr">
        <is>
          <t>es</t>
        </is>
      </c>
      <c r="X223" s="45" t="inlineStr">
        <is>
          <t>RTVC (EFE)</t>
        </is>
      </c>
      <c r="Y223" s="45" t="inlineStr">
        <is>
          <t>https://rtvc.es/trump-pone-el-ojo-en-minerales-estrategicos-brasilenos-25-de-julio-de-2025/</t>
        </is>
      </c>
      <c r="Z223" s="45" t="inlineStr">
        <is>
          <t>news_media</t>
        </is>
      </c>
      <c r="AA223" s="45" t="inlineStr">
        <is>
          <t>secondary_reported</t>
        </is>
      </c>
      <c r="AB223" s="45" t="inlineStr">
        <is>
          <t>Source in Spanish translation; Portuguese original 'aqui ninguém põe a mão' not verified verbatim</t>
        </is>
      </c>
      <c r="AC223" s="45" t="inlineStr">
        <is>
          <t>BRA</t>
        </is>
      </c>
    </row>
    <row r="224" ht="15" customHeight="1" s="24">
      <c r="A224" s="45" t="inlineStr">
        <is>
          <t>PS-0223</t>
        </is>
      </c>
      <c r="B224" s="45" t="inlineStr">
        <is>
          <t>2025-07-28</t>
        </is>
      </c>
      <c r="C224" s="45" t="inlineStr">
        <is>
          <t>2025</t>
        </is>
      </c>
      <c r="D224" s="45" t="inlineStr">
        <is>
          <t>BRA</t>
        </is>
      </c>
      <c r="E224" s="45" t="inlineStr">
        <is>
          <t>Luiz Inácio Lula da Silva</t>
        </is>
      </c>
      <c r="F224" s="45" t="inlineStr">
        <is>
          <t>President of Brazil</t>
        </is>
      </c>
      <c r="G224" s="45" t="inlineStr">
        <is>
          <t>head_of_state</t>
        </is>
      </c>
      <c r="H224" s="45" t="inlineStr">
        <is>
          <t>LatAm executive</t>
        </is>
      </c>
      <c r="I224" s="45" t="inlineStr">
        <is>
          <t>BRA</t>
        </is>
      </c>
      <c r="J224" s="45" t="inlineStr">
        <is>
          <t>PT</t>
        </is>
      </c>
      <c r="K224" s="45" t="inlineStr">
        <is>
          <t>speech</t>
        </is>
      </c>
      <c r="L224" s="45" t="inlineStr">
        <is>
          <t>Inauguration of GNA II thermal plant, Porto do Açu (RJ)</t>
        </is>
      </c>
      <c r="M224" s="45" t="inlineStr">
        <is>
          <t>critical_minerals_general</t>
        </is>
      </c>
      <c r="N224" s="45" t="inlineStr"/>
      <c r="O224" s="45" t="inlineStr">
        <is>
          <t>sovereignty;state_control_nationalization;geopolitics_security</t>
        </is>
      </c>
      <c r="P224" s="45" t="inlineStr">
        <is>
          <t>USA</t>
        </is>
      </c>
      <c r="Q224" s="45" t="inlineStr">
        <is>
          <t>not_mentioned</t>
        </is>
      </c>
      <c r="R224" s="45" t="inlineStr">
        <is>
          <t>negative</t>
        </is>
      </c>
      <c r="S224" s="45" t="inlineStr"/>
      <c r="T224" s="45" t="inlineStr">
        <is>
          <t>Days after the US chargé d'affaires signalled Washington's interest in Brazilian critical minerals, Lula asserted sovereign control, saying companies may only research under Brazilian control and the Brazilian people must benefit from the wealth.</t>
        </is>
      </c>
      <c r="U224" s="45" t="inlineStr">
        <is>
          <t>Nós temos que dar autorização para a empresa pesquisar sob o nosso controle.</t>
        </is>
      </c>
      <c r="V224" s="45" t="inlineStr">
        <is>
          <t>We have to authorise the company to research under our control.</t>
        </is>
      </c>
      <c r="W224" s="45" t="inlineStr">
        <is>
          <t>pt</t>
        </is>
      </c>
      <c r="X224" s="45" t="inlineStr">
        <is>
          <t>Jornal do Brasil</t>
        </is>
      </c>
      <c r="Y224" s="45" t="inlineStr">
        <is>
          <t>https://www.jb.com.br/brasil/politica/2025/07/1056348-lula-defende-soberania-do-brasil-sobre-minerais-criticos.html</t>
        </is>
      </c>
      <c r="Z224" s="45" t="inlineStr">
        <is>
          <t>news_media</t>
        </is>
      </c>
      <c r="AA224" s="45" t="inlineStr">
        <is>
          <t>secondary_reported</t>
        </is>
      </c>
      <c r="AB224" s="45" t="inlineStr"/>
      <c r="AC224" s="45" t="inlineStr">
        <is>
          <t>BRA</t>
        </is>
      </c>
    </row>
    <row r="225" ht="15" customHeight="1" s="24">
      <c r="A225" s="45" t="inlineStr">
        <is>
          <t>PS-0224</t>
        </is>
      </c>
      <c r="B225" s="45" t="inlineStr">
        <is>
          <t>2025-07-30</t>
        </is>
      </c>
      <c r="C225" s="45" t="inlineStr">
        <is>
          <t>2025</t>
        </is>
      </c>
      <c r="D225" s="45" t="inlineStr">
        <is>
          <t>CHL</t>
        </is>
      </c>
      <c r="E225" s="45" t="inlineStr">
        <is>
          <t>Alberto van Klaveren</t>
        </is>
      </c>
      <c r="F225" s="45" t="inlineStr">
        <is>
          <t>Minister of Foreign Affairs</t>
        </is>
      </c>
      <c r="G225" s="45" t="inlineStr">
        <is>
          <t>minister_cabinet</t>
        </is>
      </c>
      <c r="H225" s="45" t="inlineStr">
        <is>
          <t>LatAm executive</t>
        </is>
      </c>
      <c r="I225" s="45" t="inlineStr">
        <is>
          <t>CHL</t>
        </is>
      </c>
      <c r="J225" s="45" t="inlineStr">
        <is>
          <t>Independent (PPD-aligned)</t>
        </is>
      </c>
      <c r="K225" s="45" t="inlineStr">
        <is>
          <t>official_statement</t>
        </is>
      </c>
      <c r="L225" s="45" t="inlineStr">
        <is>
          <t>US proclamation excluding refined copper/cathodes from 50% Section 232 tariff</t>
        </is>
      </c>
      <c r="M225" s="45" t="inlineStr">
        <is>
          <t>copper</t>
        </is>
      </c>
      <c r="N225" s="45" t="inlineStr">
        <is>
          <t>260300;740200;740311</t>
        </is>
      </c>
      <c r="O225" s="45" t="inlineStr">
        <is>
          <t>tariffs_trade_policy;diplomatic_relations</t>
        </is>
      </c>
      <c r="P225" s="45" t="inlineStr">
        <is>
          <t>USA</t>
        </is>
      </c>
      <c r="Q225" s="45" t="inlineStr">
        <is>
          <t>not_mentioned</t>
        </is>
      </c>
      <c r="R225" s="45" t="inlineStr">
        <is>
          <t>positive</t>
        </is>
      </c>
      <c r="S225" s="45" t="inlineStr"/>
      <c r="T225" s="45" t="inlineStr">
        <is>
          <t>The government welcomed the US decision to exclude cathodes and main Chilean copper products from the 50% Section 232 tariff, applying it only to semi-finished products.</t>
        </is>
      </c>
      <c r="U225" s="45" t="inlineStr">
        <is>
          <t>la tasa que se había anunciado del 50% no se aplica a los principales productos</t>
        </is>
      </c>
      <c r="V225" s="45" t="inlineStr">
        <is>
          <t>the 50% rate that had been announced does not apply to the main products</t>
        </is>
      </c>
      <c r="W225" s="45" t="inlineStr">
        <is>
          <t>es</t>
        </is>
      </c>
      <c r="X225" s="45" t="inlineStr">
        <is>
          <t>Reporte Minero</t>
        </is>
      </c>
      <c r="Y225" s="45" t="inlineStr">
        <is>
          <t>https://www.reporteminero.cl/noticia/noticias/2025/07/gobierno-celebra-exclusion-cobre-chileno-arancel-estados-unidos</t>
        </is>
      </c>
      <c r="Z225" s="45" t="inlineStr">
        <is>
          <t>news_media</t>
        </is>
      </c>
      <c r="AA225" s="45" t="inlineStr">
        <is>
          <t>secondary_reported</t>
        </is>
      </c>
      <c r="AB225" s="45" t="inlineStr"/>
      <c r="AC225" s="45" t="inlineStr">
        <is>
          <t>CHL</t>
        </is>
      </c>
    </row>
    <row r="226" ht="15" customHeight="1" s="24">
      <c r="A226" s="45" t="inlineStr">
        <is>
          <t>PS-0225</t>
        </is>
      </c>
      <c r="B226" s="45" t="inlineStr">
        <is>
          <t>2025-07-30</t>
        </is>
      </c>
      <c r="C226" s="45" t="inlineStr">
        <is>
          <t>2025</t>
        </is>
      </c>
      <c r="D226" s="45" t="inlineStr">
        <is>
          <t>CHL</t>
        </is>
      </c>
      <c r="E226" s="45" t="inlineStr">
        <is>
          <t>Aurora Williams</t>
        </is>
      </c>
      <c r="F226" s="45" t="inlineStr">
        <is>
          <t>Minister of Mining</t>
        </is>
      </c>
      <c r="G226" s="45" t="inlineStr">
        <is>
          <t>minister_cabinet</t>
        </is>
      </c>
      <c r="H226" s="45" t="inlineStr">
        <is>
          <t>LatAm executive</t>
        </is>
      </c>
      <c r="I226" s="45" t="inlineStr">
        <is>
          <t>CHL</t>
        </is>
      </c>
      <c r="J226" s="45" t="inlineStr">
        <is>
          <t>Partido Radical</t>
        </is>
      </c>
      <c r="K226" s="45" t="inlineStr">
        <is>
          <t>official_statement</t>
        </is>
      </c>
      <c r="L226" s="45" t="inlineStr">
        <is>
          <t>US proclamation excluding refined copper from 50% tariff</t>
        </is>
      </c>
      <c r="M226" s="45" t="inlineStr">
        <is>
          <t>copper;critical_minerals_general</t>
        </is>
      </c>
      <c r="N226" s="45" t="inlineStr">
        <is>
          <t>260300;740200;740311</t>
        </is>
      </c>
      <c r="O226" s="45" t="inlineStr">
        <is>
          <t>tariffs_trade_policy;trade_deals_offtake</t>
        </is>
      </c>
      <c r="P226" s="45" t="inlineStr">
        <is>
          <t>USA</t>
        </is>
      </c>
      <c r="Q226" s="45" t="inlineStr">
        <is>
          <t>not_mentioned</t>
        </is>
      </c>
      <c r="R226" s="45" t="inlineStr">
        <is>
          <t>neutral</t>
        </is>
      </c>
      <c r="S226" s="45" t="inlineStr"/>
      <c r="T226" s="45" t="inlineStr">
        <is>
          <t>Williams said the US exclusion reinforced Chile's standing and that work must continue to position the minerals the world needs and open new markets.</t>
        </is>
      </c>
      <c r="U226" s="45" t="inlineStr">
        <is>
          <t>El trabajo no termina acá. Es clave continuar instalando el rol de estos minerales que el mundo necesita y abrir nuevos mercados</t>
        </is>
      </c>
      <c r="V226" s="45" t="inlineStr">
        <is>
          <t>The work does not end here. It is key to keep establishing the role of these minerals the world needs and open new markets</t>
        </is>
      </c>
      <c r="W226" s="45" t="inlineStr">
        <is>
          <t>es</t>
        </is>
      </c>
      <c r="X226" s="45" t="inlineStr">
        <is>
          <t>Reporte Minero</t>
        </is>
      </c>
      <c r="Y226" s="45" t="inlineStr">
        <is>
          <t>https://www.reporteminero.cl/noticia/noticias/2025/07/gobierno-celebra-exclusion-cobre-chileno-arancel-estados-unidos</t>
        </is>
      </c>
      <c r="Z226" s="45" t="inlineStr">
        <is>
          <t>news_media</t>
        </is>
      </c>
      <c r="AA226" s="45" t="inlineStr">
        <is>
          <t>secondary_reported</t>
        </is>
      </c>
      <c r="AB226" s="45" t="inlineStr"/>
      <c r="AC226" s="45" t="inlineStr">
        <is>
          <t>CHL</t>
        </is>
      </c>
    </row>
    <row r="227" ht="15" customHeight="1" s="24">
      <c r="A227" s="45" t="inlineStr">
        <is>
          <t>PS-0226</t>
        </is>
      </c>
      <c r="B227" s="45" t="inlineStr">
        <is>
          <t>2025-07-30</t>
        </is>
      </c>
      <c r="C227" s="45" t="inlineStr">
        <is>
          <t>2025</t>
        </is>
      </c>
      <c r="D227" s="45" t="inlineStr">
        <is>
          <t>CHL</t>
        </is>
      </c>
      <c r="E227" s="45" t="inlineStr">
        <is>
          <t>Mario Marcel</t>
        </is>
      </c>
      <c r="F227" s="45" t="inlineStr">
        <is>
          <t>Minister of Finance</t>
        </is>
      </c>
      <c r="G227" s="45" t="inlineStr">
        <is>
          <t>minister_cabinet</t>
        </is>
      </c>
      <c r="H227" s="45" t="inlineStr">
        <is>
          <t>LatAm executive</t>
        </is>
      </c>
      <c r="I227" s="45" t="inlineStr">
        <is>
          <t>CHL</t>
        </is>
      </c>
      <c r="J227" s="45" t="inlineStr">
        <is>
          <t>Partido Socialista (ind.)</t>
        </is>
      </c>
      <c r="K227" s="45" t="inlineStr">
        <is>
          <t>official_statement</t>
        </is>
      </c>
      <c r="L227" s="45" t="inlineStr">
        <is>
          <t>US proclamation excluding refined copper from 50% tariff</t>
        </is>
      </c>
      <c r="M227" s="45" t="inlineStr">
        <is>
          <t>copper</t>
        </is>
      </c>
      <c r="N227" s="45" t="inlineStr">
        <is>
          <t>260300;740200;740311</t>
        </is>
      </c>
      <c r="O227" s="45" t="inlineStr">
        <is>
          <t>tariffs_trade_policy;diplomatic_relations</t>
        </is>
      </c>
      <c r="P227" s="45" t="inlineStr">
        <is>
          <t>USA</t>
        </is>
      </c>
      <c r="Q227" s="45" t="inlineStr">
        <is>
          <t>not_mentioned</t>
        </is>
      </c>
      <c r="R227" s="45" t="inlineStr">
        <is>
          <t>neutral</t>
        </is>
      </c>
      <c r="S227" s="45" t="inlineStr"/>
      <c r="T227" s="45" t="inlineStr">
        <is>
          <t>Marcel attributed the copper tariff exclusion to coordinated government work rather than luck.</t>
        </is>
      </c>
      <c r="U227" s="45" t="inlineStr">
        <is>
          <t>Haber llegado hasta acá no es fruto de la suerte. Aquí hubo un trabajo coordinado</t>
        </is>
      </c>
      <c r="V227" s="45" t="inlineStr">
        <is>
          <t>Getting here is not the fruit of luck. There was coordinated work here</t>
        </is>
      </c>
      <c r="W227" s="45" t="inlineStr">
        <is>
          <t>es</t>
        </is>
      </c>
      <c r="X227" s="45" t="inlineStr">
        <is>
          <t>Reporte Minero</t>
        </is>
      </c>
      <c r="Y227" s="45" t="inlineStr">
        <is>
          <t>https://www.reporteminero.cl/noticia/noticias/2025/07/gobierno-celebra-exclusion-cobre-chileno-arancel-estados-unidos</t>
        </is>
      </c>
      <c r="Z227" s="45" t="inlineStr">
        <is>
          <t>news_media</t>
        </is>
      </c>
      <c r="AA227" s="45" t="inlineStr">
        <is>
          <t>secondary_reported</t>
        </is>
      </c>
      <c r="AB227" s="45" t="inlineStr"/>
      <c r="AC227" s="45" t="inlineStr">
        <is>
          <t>CHL</t>
        </is>
      </c>
    </row>
    <row r="228" ht="15" customHeight="1" s="24">
      <c r="A228" s="45" t="inlineStr">
        <is>
          <t>PS-0227</t>
        </is>
      </c>
      <c r="B228" s="45" t="inlineStr">
        <is>
          <t>2025-07-30</t>
        </is>
      </c>
      <c r="C228" s="45" t="inlineStr">
        <is>
          <t>2025</t>
        </is>
      </c>
      <c r="D228" s="45" t="inlineStr">
        <is>
          <t>REG</t>
        </is>
      </c>
      <c r="E228" s="45" t="inlineStr">
        <is>
          <t>Donald Trump</t>
        </is>
      </c>
      <c r="F228" s="45" t="inlineStr">
        <is>
          <t>President of the United States</t>
        </is>
      </c>
      <c r="G228" s="45" t="inlineStr">
        <is>
          <t>head_of_state</t>
        </is>
      </c>
      <c r="H228" s="45" t="inlineStr">
        <is>
          <t>United States</t>
        </is>
      </c>
      <c r="I228" s="45" t="inlineStr">
        <is>
          <t>USA</t>
        </is>
      </c>
      <c r="J228" s="45" t="inlineStr">
        <is>
          <t>Republican</t>
        </is>
      </c>
      <c r="K228" s="45" t="inlineStr">
        <is>
          <t>decree_or_regulation</t>
        </is>
      </c>
      <c r="L228" s="45" t="inlineStr">
        <is>
          <t>Proclamation 'Adjusting Imports of Copper into the United States' (Section 232)</t>
        </is>
      </c>
      <c r="M228" s="45" t="inlineStr">
        <is>
          <t>copper</t>
        </is>
      </c>
      <c r="N228" s="45" t="inlineStr">
        <is>
          <t>260300;740200;740311</t>
        </is>
      </c>
      <c r="O228" s="45" t="inlineStr">
        <is>
          <t>tariffs_trade_policy;geopolitics_security;processing_refining</t>
        </is>
      </c>
      <c r="P228" s="45" t="inlineStr">
        <is>
          <t>none</t>
        </is>
      </c>
      <c r="Q228" s="45" t="inlineStr">
        <is>
          <t>negative</t>
        </is>
      </c>
      <c r="R228" s="45" t="inlineStr">
        <is>
          <t>positive</t>
        </is>
      </c>
      <c r="S228" s="45" t="inlineStr"/>
      <c r="T228" s="45" t="inlineStr">
        <is>
          <t>Trump imposed a 50% Section 232 tariff on semi-finished copper products and intensive derivatives from 1 August 2025 while leaving ores, concentrates and cathodes out, citing a single foreign country's dominance of global smelting and refining.</t>
        </is>
      </c>
      <c r="U228" s="45" t="inlineStr">
        <is>
          <t>Today, a single foreign country dominates global copper smelting and refining, controlling over 50 percent of global smelting capacity</t>
        </is>
      </c>
      <c r="V228" s="45" t="inlineStr">
        <is>
          <t>Today, a single foreign country dominates global copper smelting and refining, controlling over 50 percent of global smelting capacity</t>
        </is>
      </c>
      <c r="W228" s="45" t="inlineStr">
        <is>
          <t>en</t>
        </is>
      </c>
      <c r="X228" s="45" t="inlineStr">
        <is>
          <t>The White House</t>
        </is>
      </c>
      <c r="Y228" s="45" t="inlineStr">
        <is>
          <t>https://www.whitehouse.gov/presidential-actions/2025/07/adjusting-imports-of-copper-into-the-united-states/</t>
        </is>
      </c>
      <c r="Z228" s="45" t="inlineStr">
        <is>
          <t>primary_official</t>
        </is>
      </c>
      <c r="AA228" s="45" t="inlineStr">
        <is>
          <t>primary_verified</t>
        </is>
      </c>
      <c r="AB228" s="45" t="inlineStr">
        <is>
          <t>Global measure, no LatAm country named; relevant to Chile/Peru as main copper suppliers; cathode exclusion reported by CTV/Reuters https://www.ctvnews.ca/world/trumps-tariffs/article/trump-imposes-50-tariff-on-copper-imports-white-house-says/ . 'Single foreign country' implicitly China (not named).</t>
        </is>
      </c>
      <c r="AC228" s="45" t="inlineStr">
        <is>
          <t>USA_gov</t>
        </is>
      </c>
    </row>
    <row r="229" ht="15" customHeight="1" s="24">
      <c r="A229" s="45" t="inlineStr">
        <is>
          <t>PS-0228</t>
        </is>
      </c>
      <c r="B229" s="45" t="inlineStr">
        <is>
          <t>2025-08</t>
        </is>
      </c>
      <c r="C229" s="45" t="inlineStr">
        <is>
          <t>2025</t>
        </is>
      </c>
      <c r="D229" s="45" t="inlineStr">
        <is>
          <t>BRA</t>
        </is>
      </c>
      <c r="E229" s="45" t="inlineStr">
        <is>
          <t>American Iron and Steel Institute (Kevin Dempsey)</t>
        </is>
      </c>
      <c r="F229" s="45" t="inlineStr">
        <is>
          <t>US steel industry association</t>
        </is>
      </c>
      <c r="G229" s="45" t="inlineStr">
        <is>
          <t>other</t>
        </is>
      </c>
      <c r="H229" s="45" t="inlineStr">
        <is>
          <t>United States</t>
        </is>
      </c>
      <c r="I229" s="45" t="inlineStr">
        <is>
          <t>USA</t>
        </is>
      </c>
      <c r="J229" s="45" t="inlineStr"/>
      <c r="K229" s="45" t="inlineStr">
        <is>
          <t>official_statement</t>
        </is>
      </c>
      <c r="L229" s="45" t="inlineStr">
        <is>
          <t>Letter to USTR urging intervention in Anglo American nickel sale to MMG</t>
        </is>
      </c>
      <c r="M229" s="45" t="inlineStr">
        <is>
          <t>nickel</t>
        </is>
      </c>
      <c r="N229" s="45" t="inlineStr">
        <is>
          <t>260400;720260</t>
        </is>
      </c>
      <c r="O229" s="45" t="inlineStr">
        <is>
          <t>geopolitics_security;foreign_investment</t>
        </is>
      </c>
      <c r="P229" s="45" t="inlineStr">
        <is>
          <t>CHN;USA</t>
        </is>
      </c>
      <c r="Q229" s="45" t="inlineStr">
        <is>
          <t>negative</t>
        </is>
      </c>
      <c r="R229" s="45" t="inlineStr">
        <is>
          <t>positive</t>
        </is>
      </c>
      <c r="S229" s="45" t="inlineStr">
        <is>
          <t>Anglo American; MMG; Barro Alto; Niquelândia</t>
        </is>
      </c>
      <c r="T229" s="45" t="inlineStr">
        <is>
          <t>AISI asked the Trump administration to intervene against the sale of Anglo American's Goiás nickel plants to MMG, warning it would strengthen China's dominance of nickel and urging Brazil to keep strategic assets in market-oriented ownership.</t>
        </is>
      </c>
      <c r="U229" s="45" t="inlineStr"/>
      <c r="V229" s="45" t="inlineStr"/>
      <c r="W229" s="45" t="inlineStr">
        <is>
          <t>pt</t>
        </is>
      </c>
      <c r="X229" s="45" t="inlineStr">
        <is>
          <t>Jornal Opção</t>
        </is>
      </c>
      <c r="Y229" s="45" t="inlineStr">
        <is>
          <t>https://www.jornalopcao.com.br/ultimas-noticias/associacao-americana-pede-que-trump-intervenha-em-venda-de-plantas-de-niquel-em-goias-para-chineses-738568/</t>
        </is>
      </c>
      <c r="Z229" s="45" t="inlineStr">
        <is>
          <t>news_media</t>
        </is>
      </c>
      <c r="AA229" s="45" t="inlineStr">
        <is>
          <t>secondary_reported</t>
        </is>
      </c>
      <c r="AB229" s="45" t="inlineStr">
        <is>
          <t>Industry actor, not government</t>
        </is>
      </c>
      <c r="AC229" s="45" t="inlineStr">
        <is>
          <t>BRA</t>
        </is>
      </c>
    </row>
    <row r="230" ht="15" customHeight="1" s="24">
      <c r="A230" s="45" t="inlineStr">
        <is>
          <t>PS-0229</t>
        </is>
      </c>
      <c r="B230" s="45" t="inlineStr">
        <is>
          <t>2025-08</t>
        </is>
      </c>
      <c r="C230" s="45" t="inlineStr">
        <is>
          <t>2025</t>
        </is>
      </c>
      <c r="D230" s="45" t="inlineStr">
        <is>
          <t>BRA</t>
        </is>
      </c>
      <c r="E230" s="45" t="inlineStr">
        <is>
          <t>Conselho Administrativo de Defesa Econômica (CADE)</t>
        </is>
      </c>
      <c r="F230" s="45" t="inlineStr">
        <is>
          <t>Brazilian antitrust authority</t>
        </is>
      </c>
      <c r="G230" s="45" t="inlineStr">
        <is>
          <t>other_executive</t>
        </is>
      </c>
      <c r="H230" s="45" t="inlineStr">
        <is>
          <t>LatAm executive</t>
        </is>
      </c>
      <c r="I230" s="45" t="inlineStr">
        <is>
          <t>BRA</t>
        </is>
      </c>
      <c r="J230" s="45" t="inlineStr"/>
      <c r="K230" s="45" t="inlineStr">
        <is>
          <t>decree_or_regulation</t>
        </is>
      </c>
      <c r="L230" s="45" t="inlineStr">
        <is>
          <t>Investigation of Anglo American nickel sale to China's MMG</t>
        </is>
      </c>
      <c r="M230" s="45" t="inlineStr">
        <is>
          <t>nickel</t>
        </is>
      </c>
      <c r="N230" s="45" t="inlineStr">
        <is>
          <t>260400;720260</t>
        </is>
      </c>
      <c r="O230" s="45" t="inlineStr">
        <is>
          <t>foreign_investment;corruption_governance</t>
        </is>
      </c>
      <c r="P230" s="45" t="inlineStr">
        <is>
          <t>CHN</t>
        </is>
      </c>
      <c r="Q230" s="45" t="inlineStr">
        <is>
          <t>neutral</t>
        </is>
      </c>
      <c r="R230" s="45" t="inlineStr">
        <is>
          <t>not_mentioned</t>
        </is>
      </c>
      <c r="S230" s="45" t="inlineStr">
        <is>
          <t>Anglo American; MMG; China Minmetals; Barro Alto; Niquelândia; CoreX</t>
        </is>
      </c>
      <c r="T230" s="45" t="inlineStr">
        <is>
          <t>CADE opened an administrative procedure to investigate Anglo American's US$500m sale of its Brazilian nickel assets to China-backed MMG, stressing this did not automatically mean the deal would be blocked.</t>
        </is>
      </c>
      <c r="U230" s="45" t="inlineStr"/>
      <c r="V230" s="45" t="inlineStr"/>
      <c r="W230" s="45" t="inlineStr">
        <is>
          <t>en</t>
        </is>
      </c>
      <c r="X230" s="45" t="inlineStr">
        <is>
          <t>Miningmx</t>
        </is>
      </c>
      <c r="Y230" s="45" t="inlineStr">
        <is>
          <t>https://www.miningmx.com/top-story/62257-brazil-probes-anglo-american-nickel-disposal/</t>
        </is>
      </c>
      <c r="Z230" s="45" t="inlineStr">
        <is>
          <t>news_media</t>
        </is>
      </c>
      <c r="AA230" s="45" t="inlineStr">
        <is>
          <t>secondary_reported</t>
        </is>
      </c>
      <c r="AB230" s="45" t="inlineStr">
        <is>
          <t>Complaint by CoreX; date approximate (late Aug 2025)</t>
        </is>
      </c>
      <c r="AC230" s="45" t="inlineStr">
        <is>
          <t>BRA</t>
        </is>
      </c>
    </row>
    <row r="231" ht="15" customHeight="1" s="24">
      <c r="A231" s="45" t="inlineStr">
        <is>
          <t>PS-0230</t>
        </is>
      </c>
      <c r="B231" s="45" t="inlineStr">
        <is>
          <t>2025-08</t>
        </is>
      </c>
      <c r="C231" s="45" t="inlineStr">
        <is>
          <t>2025</t>
        </is>
      </c>
      <c r="D231" s="45" t="inlineStr">
        <is>
          <t>CHL</t>
        </is>
      </c>
      <c r="E231" s="45" t="inlineStr">
        <is>
          <t>Evelyn Matthei</t>
        </is>
      </c>
      <c r="F231" s="45" t="inlineStr">
        <is>
          <t>Presidential candidate (Chile Vamos)</t>
        </is>
      </c>
      <c r="G231" s="45" t="inlineStr">
        <is>
          <t>political_party_candidate</t>
        </is>
      </c>
      <c r="H231" s="45" t="inlineStr">
        <is>
          <t>LatAm party/candidate</t>
        </is>
      </c>
      <c r="I231" s="45" t="inlineStr">
        <is>
          <t>CHL</t>
        </is>
      </c>
      <c r="J231" s="45" t="inlineStr">
        <is>
          <t>UDI / Chile Vamos</t>
        </is>
      </c>
      <c r="K231" s="45" t="inlineStr">
        <is>
          <t>campaign_statement</t>
        </is>
      </c>
      <c r="L231" s="45" t="inlineStr">
        <is>
          <t>Mining proposals of presidential candidates</t>
        </is>
      </c>
      <c r="M231" s="45" t="inlineStr">
        <is>
          <t>lithium;copper</t>
        </is>
      </c>
      <c r="N231" s="45" t="inlineStr">
        <is>
          <t>253090;260300;282520;283691;740200;740311</t>
        </is>
      </c>
      <c r="O231" s="45" t="inlineStr">
        <is>
          <t>foreign_investment;royalties_taxation</t>
        </is>
      </c>
      <c r="P231" s="45" t="inlineStr">
        <is>
          <t>none</t>
        </is>
      </c>
      <c r="Q231" s="45" t="inlineStr">
        <is>
          <t>not_mentioned</t>
        </is>
      </c>
      <c r="R231" s="45" t="inlineStr">
        <is>
          <t>not_mentioned</t>
        </is>
      </c>
      <c r="S231" s="45" t="inlineStr"/>
      <c r="T231" s="45" t="inlineStr">
        <is>
          <t>Matthei's program targets 1 million tonnes of lithium carbonate equivalent by 2035 and 7 million tonnes of copper by 2030, a corporate tax cut to 23% and simpler exploration permits.</t>
        </is>
      </c>
      <c r="U231" s="45" t="inlineStr">
        <is>
          <t>quisiéramos llegar a la producción de un millón de toneladas</t>
        </is>
      </c>
      <c r="V231" s="45" t="inlineStr">
        <is>
          <t>we would like to reach production of one million tonnes</t>
        </is>
      </c>
      <c r="W231" s="45" t="inlineStr">
        <is>
          <t>es</t>
        </is>
      </c>
      <c r="X231" s="45" t="inlineStr">
        <is>
          <t>Diario Financiero</t>
        </is>
      </c>
      <c r="Y231" s="45" t="inlineStr">
        <is>
          <t>https://www.df.cl/economia-y-politica/pais/candidatos-y-sus-propuestas-para-la-mineria-desde-el-litio-concesible-a</t>
        </is>
      </c>
      <c r="Z231" s="45" t="inlineStr">
        <is>
          <t>news_media</t>
        </is>
      </c>
      <c r="AA231" s="45" t="inlineStr">
        <is>
          <t>secondary_reported</t>
        </is>
      </c>
      <c r="AB231" s="45" t="inlineStr">
        <is>
          <t>DF article 7 Aug 2025</t>
        </is>
      </c>
      <c r="AC231" s="45" t="inlineStr">
        <is>
          <t>CHL</t>
        </is>
      </c>
    </row>
    <row r="232" ht="15" customHeight="1" s="24">
      <c r="A232" s="45" t="inlineStr">
        <is>
          <t>PS-0231</t>
        </is>
      </c>
      <c r="B232" s="45" t="inlineStr">
        <is>
          <t>2025-08</t>
        </is>
      </c>
      <c r="C232" s="45" t="inlineStr">
        <is>
          <t>2025</t>
        </is>
      </c>
      <c r="D232" s="45" t="inlineStr">
        <is>
          <t>CHL</t>
        </is>
      </c>
      <c r="E232" s="45" t="inlineStr">
        <is>
          <t>Franco Parisi</t>
        </is>
      </c>
      <c r="F232" s="45" t="inlineStr">
        <is>
          <t>Presidential candidate</t>
        </is>
      </c>
      <c r="G232" s="45" t="inlineStr">
        <is>
          <t>political_party_candidate</t>
        </is>
      </c>
      <c r="H232" s="45" t="inlineStr">
        <is>
          <t>LatAm party/candidate</t>
        </is>
      </c>
      <c r="I232" s="45" t="inlineStr">
        <is>
          <t>CHL</t>
        </is>
      </c>
      <c r="J232" s="45" t="inlineStr">
        <is>
          <t>Partido de la Gente</t>
        </is>
      </c>
      <c r="K232" s="45" t="inlineStr">
        <is>
          <t>campaign_statement</t>
        </is>
      </c>
      <c r="L232" s="45" t="inlineStr">
        <is>
          <t>Mining proposals of presidential candidates</t>
        </is>
      </c>
      <c r="M232" s="45" t="inlineStr">
        <is>
          <t>lithium</t>
        </is>
      </c>
      <c r="N232" s="45" t="inlineStr">
        <is>
          <t>253090;282520;283691</t>
        </is>
      </c>
      <c r="O232" s="45" t="inlineStr">
        <is>
          <t>indigenous_community_rights;state_control_nationalization</t>
        </is>
      </c>
      <c r="P232" s="45" t="inlineStr">
        <is>
          <t>none</t>
        </is>
      </c>
      <c r="Q232" s="45" t="inlineStr">
        <is>
          <t>not_mentioned</t>
        </is>
      </c>
      <c r="R232" s="45" t="inlineStr">
        <is>
          <t>not_mentioned</t>
        </is>
      </c>
      <c r="S232" s="45" t="inlineStr"/>
      <c r="T232" s="45" t="inlineStr">
        <is>
          <t>Parisi proposed making lithium concessible by presidential decree and giving indigenous peoples Series B shareholdings.</t>
        </is>
      </c>
      <c r="U232" s="45" t="inlineStr">
        <is>
          <t>vamos a proponer que las razas originarias sean accionistas</t>
        </is>
      </c>
      <c r="V232" s="45" t="inlineStr">
        <is>
          <t>we will propose that the original peoples become shareholders</t>
        </is>
      </c>
      <c r="W232" s="45" t="inlineStr">
        <is>
          <t>es</t>
        </is>
      </c>
      <c r="X232" s="45" t="inlineStr">
        <is>
          <t>Diario Financiero</t>
        </is>
      </c>
      <c r="Y232" s="45" t="inlineStr">
        <is>
          <t>https://www.df.cl/economia-y-politica/pais/candidatos-y-sus-propuestas-para-la-mineria-desde-el-litio-concesible-a</t>
        </is>
      </c>
      <c r="Z232" s="45" t="inlineStr">
        <is>
          <t>news_media</t>
        </is>
      </c>
      <c r="AA232" s="45" t="inlineStr">
        <is>
          <t>secondary_reported</t>
        </is>
      </c>
      <c r="AB232" s="45" t="inlineStr">
        <is>
          <t>DF article 7 Aug 2025</t>
        </is>
      </c>
      <c r="AC232" s="45" t="inlineStr">
        <is>
          <t>CHL</t>
        </is>
      </c>
    </row>
    <row r="233" ht="15" customHeight="1" s="24">
      <c r="A233" s="45" t="inlineStr">
        <is>
          <t>PS-0232</t>
        </is>
      </c>
      <c r="B233" s="45" t="inlineStr">
        <is>
          <t>2025-08</t>
        </is>
      </c>
      <c r="C233" s="45" t="inlineStr">
        <is>
          <t>2025</t>
        </is>
      </c>
      <c r="D233" s="45" t="inlineStr">
        <is>
          <t>CHL</t>
        </is>
      </c>
      <c r="E233" s="45" t="inlineStr">
        <is>
          <t>Johannes Kaiser</t>
        </is>
      </c>
      <c r="F233" s="45" t="inlineStr">
        <is>
          <t>Presidential candidate</t>
        </is>
      </c>
      <c r="G233" s="45" t="inlineStr">
        <is>
          <t>political_party_candidate</t>
        </is>
      </c>
      <c r="H233" s="45" t="inlineStr">
        <is>
          <t>LatAm party/candidate</t>
        </is>
      </c>
      <c r="I233" s="45" t="inlineStr">
        <is>
          <t>CHL</t>
        </is>
      </c>
      <c r="J233" s="45" t="inlineStr">
        <is>
          <t>Partido Nacional Libertario</t>
        </is>
      </c>
      <c r="K233" s="45" t="inlineStr">
        <is>
          <t>campaign_statement</t>
        </is>
      </c>
      <c r="L233" s="45" t="inlineStr">
        <is>
          <t>Mining proposals of presidential candidates</t>
        </is>
      </c>
      <c r="M233" s="45" t="inlineStr">
        <is>
          <t>lithium;copper</t>
        </is>
      </c>
      <c r="N233" s="45" t="inlineStr">
        <is>
          <t>253090;260300;282520;283691;740200;740311</t>
        </is>
      </c>
      <c r="O233" s="45" t="inlineStr">
        <is>
          <t>state_control_nationalization;foreign_investment</t>
        </is>
      </c>
      <c r="P233" s="45" t="inlineStr">
        <is>
          <t>none</t>
        </is>
      </c>
      <c r="Q233" s="45" t="inlineStr">
        <is>
          <t>not_mentioned</t>
        </is>
      </c>
      <c r="R233" s="45" t="inlineStr">
        <is>
          <t>not_mentioned</t>
        </is>
      </c>
      <c r="S233" s="45" t="inlineStr">
        <is>
          <t>Codelco; SQM; ENAMI</t>
        </is>
      </c>
      <c r="T233" s="45" t="inlineStr">
        <is>
          <t>Kaiser proposed making lithium concessible and auctionable, auditing Codelco's strategic decisions, doubling ENAMI processing capacity and reviewing the SQM agreement if not finalised.</t>
        </is>
      </c>
      <c r="U233" s="45" t="inlineStr"/>
      <c r="V233" s="45" t="inlineStr"/>
      <c r="W233" s="45" t="inlineStr">
        <is>
          <t>es</t>
        </is>
      </c>
      <c r="X233" s="45" t="inlineStr">
        <is>
          <t>Diario Financiero</t>
        </is>
      </c>
      <c r="Y233" s="45" t="inlineStr">
        <is>
          <t>https://www.df.cl/economia-y-politica/pais/candidatos-y-sus-propuestas-para-la-mineria-desde-el-litio-concesible-a</t>
        </is>
      </c>
      <c r="Z233" s="45" t="inlineStr">
        <is>
          <t>news_media</t>
        </is>
      </c>
      <c r="AA233" s="45" t="inlineStr">
        <is>
          <t>secondary_reported</t>
        </is>
      </c>
      <c r="AB233" s="45" t="inlineStr">
        <is>
          <t>Paraphrase; DF article 7 Aug 2025</t>
        </is>
      </c>
      <c r="AC233" s="45" t="inlineStr">
        <is>
          <t>CHL</t>
        </is>
      </c>
    </row>
    <row r="234" ht="15" customHeight="1" s="24">
      <c r="A234" s="45" t="inlineStr">
        <is>
          <t>PS-0233</t>
        </is>
      </c>
      <c r="B234" s="45" t="inlineStr">
        <is>
          <t>2025-08</t>
        </is>
      </c>
      <c r="C234" s="45" t="inlineStr">
        <is>
          <t>2025</t>
        </is>
      </c>
      <c r="D234" s="45" t="inlineStr">
        <is>
          <t>CHL</t>
        </is>
      </c>
      <c r="E234" s="45" t="inlineStr">
        <is>
          <t>José Antonio Kast</t>
        </is>
      </c>
      <c r="F234" s="45" t="inlineStr">
        <is>
          <t>Presidential candidate</t>
        </is>
      </c>
      <c r="G234" s="45" t="inlineStr">
        <is>
          <t>political_party_candidate</t>
        </is>
      </c>
      <c r="H234" s="45" t="inlineStr">
        <is>
          <t>LatAm party/candidate</t>
        </is>
      </c>
      <c r="I234" s="45" t="inlineStr">
        <is>
          <t>CHL</t>
        </is>
      </c>
      <c r="J234" s="45" t="inlineStr">
        <is>
          <t>Partido Republicano</t>
        </is>
      </c>
      <c r="K234" s="45" t="inlineStr">
        <is>
          <t>campaign_statement</t>
        </is>
      </c>
      <c r="L234" s="45" t="inlineStr">
        <is>
          <t>Government program, mining chapter</t>
        </is>
      </c>
      <c r="M234" s="45" t="inlineStr">
        <is>
          <t>lithium;copper</t>
        </is>
      </c>
      <c r="N234" s="45" t="inlineStr">
        <is>
          <t>253090;260300;282520;283691;740200;740311</t>
        </is>
      </c>
      <c r="O234" s="45" t="inlineStr">
        <is>
          <t>corruption_governance;foreign_investment;state_control_nationalization</t>
        </is>
      </c>
      <c r="P234" s="45" t="inlineStr">
        <is>
          <t>none</t>
        </is>
      </c>
      <c r="Q234" s="45" t="inlineStr">
        <is>
          <t>not_mentioned</t>
        </is>
      </c>
      <c r="R234" s="45" t="inlineStr">
        <is>
          <t>not_mentioned</t>
        </is>
      </c>
      <c r="S234" s="45" t="inlineStr">
        <is>
          <t>Codelco; SQM; Chuquicamata</t>
        </is>
      </c>
      <c r="T234" s="45" t="inlineStr">
        <is>
          <t>Kast's program proposed cutting permitting bureaucracy, auditing Codelco over Chuquicamata cost overruns and criticised the SQM agreement as driven by ideology.</t>
        </is>
      </c>
      <c r="U234" s="45" t="inlineStr">
        <is>
          <t>primó la ideología por sobre el bien del país</t>
        </is>
      </c>
      <c r="V234" s="45" t="inlineStr">
        <is>
          <t>ideology prevailed over the good of the country</t>
        </is>
      </c>
      <c r="W234" s="45" t="inlineStr">
        <is>
          <t>es</t>
        </is>
      </c>
      <c r="X234" s="45" t="inlineStr">
        <is>
          <t>Diario Financiero</t>
        </is>
      </c>
      <c r="Y234" s="45" t="inlineStr">
        <is>
          <t>https://www.df.cl/economia-y-politica/pais/candidatos-y-sus-propuestas-para-la-mineria-desde-el-litio-concesible-a</t>
        </is>
      </c>
      <c r="Z234" s="45" t="inlineStr">
        <is>
          <t>news_media</t>
        </is>
      </c>
      <c r="AA234" s="45" t="inlineStr">
        <is>
          <t>secondary_reported</t>
        </is>
      </c>
      <c r="AB234" s="45" t="inlineStr">
        <is>
          <t>From program as summarised by DF (7 Aug 2025)</t>
        </is>
      </c>
      <c r="AC234" s="45" t="inlineStr">
        <is>
          <t>CHL</t>
        </is>
      </c>
    </row>
    <row r="235" ht="15" customHeight="1" s="24">
      <c r="A235" s="45" t="inlineStr">
        <is>
          <t>PS-0234</t>
        </is>
      </c>
      <c r="B235" s="45" t="inlineStr">
        <is>
          <t>2025-08</t>
        </is>
      </c>
      <c r="C235" s="45" t="inlineStr">
        <is>
          <t>2025</t>
        </is>
      </c>
      <c r="D235" s="45" t="inlineStr">
        <is>
          <t>CHL</t>
        </is>
      </c>
      <c r="E235" s="45" t="inlineStr">
        <is>
          <t>Álvaro García</t>
        </is>
      </c>
      <c r="F235" s="45" t="inlineStr">
        <is>
          <t>Minister of Economy</t>
        </is>
      </c>
      <c r="G235" s="45" t="inlineStr">
        <is>
          <t>minister_cabinet</t>
        </is>
      </c>
      <c r="H235" s="45" t="inlineStr">
        <is>
          <t>LatAm executive</t>
        </is>
      </c>
      <c r="I235" s="45" t="inlineStr">
        <is>
          <t>CHL</t>
        </is>
      </c>
      <c r="J235" s="45" t="inlineStr">
        <is>
          <t>PPD</t>
        </is>
      </c>
      <c r="K235" s="45" t="inlineStr">
        <is>
          <t>interview</t>
        </is>
      </c>
      <c r="L235" s="45" t="inlineStr">
        <is>
          <t>Timeline for closing Codelco-SQM deal</t>
        </is>
      </c>
      <c r="M235" s="45" t="inlineStr">
        <is>
          <t>lithium</t>
        </is>
      </c>
      <c r="N235" s="45" t="inlineStr">
        <is>
          <t>253090;282520;283691</t>
        </is>
      </c>
      <c r="O235" s="45" t="inlineStr">
        <is>
          <t>state_control_nationalization;foreign_investment</t>
        </is>
      </c>
      <c r="P235" s="45" t="inlineStr">
        <is>
          <t>CHN</t>
        </is>
      </c>
      <c r="Q235" s="45" t="inlineStr">
        <is>
          <t>neutral</t>
        </is>
      </c>
      <c r="R235" s="45" t="inlineStr">
        <is>
          <t>not_mentioned</t>
        </is>
      </c>
      <c r="S235" s="45" t="inlineStr">
        <is>
          <t>Codelco; SQM; ENAMI; Rio Tinto</t>
        </is>
      </c>
      <c r="T235" s="45" t="inlineStr">
        <is>
          <t>García said closing the Codelco-SQM partnership before the end of the government was the immediate goal, noting Chinese antitrust approval was pending, and expected the ENAMI-Rio Tinto deal soon.</t>
        </is>
      </c>
      <c r="U235" s="45" t="inlineStr">
        <is>
          <t>Este es nuestro objetivo inmediato. Esperamos que se complete antes de que termine el gobierno.</t>
        </is>
      </c>
      <c r="V235" s="45" t="inlineStr">
        <is>
          <t>This is our immediate goal. We hope it is completed before the government ends.</t>
        </is>
      </c>
      <c r="W235" s="45" t="inlineStr">
        <is>
          <t>es</t>
        </is>
      </c>
      <c r="X235" s="45" t="inlineStr">
        <is>
          <t>Reporte Minero</t>
        </is>
      </c>
      <c r="Y235" s="45" t="inlineStr">
        <is>
          <t>https://www.reporteminero.cl/noticia/noticias/2025/08/ministro-de-economia-alvaro-garcia-espera-concretar-acuerdo-de-litio-entre-codelco-y-sqm-antes-de-2026</t>
        </is>
      </c>
      <c r="Z235" s="45" t="inlineStr">
        <is>
          <t>news_media</t>
        </is>
      </c>
      <c r="AA235" s="45" t="inlineStr">
        <is>
          <t>secondary_reported</t>
        </is>
      </c>
      <c r="AB235" s="45" t="inlineStr">
        <is>
          <t>Exact day not captured; August 2025</t>
        </is>
      </c>
      <c r="AC235" s="45" t="inlineStr">
        <is>
          <t>CHL</t>
        </is>
      </c>
    </row>
    <row r="236" ht="15" customHeight="1" s="24">
      <c r="A236" s="45" t="inlineStr">
        <is>
          <t>PS-0235</t>
        </is>
      </c>
      <c r="B236" s="45" t="inlineStr">
        <is>
          <t>2025-08-06</t>
        </is>
      </c>
      <c r="C236" s="45" t="inlineStr">
        <is>
          <t>2025</t>
        </is>
      </c>
      <c r="D236" s="45" t="inlineStr">
        <is>
          <t>BRA</t>
        </is>
      </c>
      <c r="E236" s="45" t="inlineStr">
        <is>
          <t>Luiz Inácio Lula da Silva</t>
        </is>
      </c>
      <c r="F236" s="45" t="inlineStr">
        <is>
          <t>President of Brazil</t>
        </is>
      </c>
      <c r="G236" s="45" t="inlineStr">
        <is>
          <t>head_of_state</t>
        </is>
      </c>
      <c r="H236" s="45" t="inlineStr">
        <is>
          <t>LatAm executive</t>
        </is>
      </c>
      <c r="I236" s="45" t="inlineStr">
        <is>
          <t>BRA</t>
        </is>
      </c>
      <c r="J236" s="45" t="inlineStr">
        <is>
          <t>PT</t>
        </is>
      </c>
      <c r="K236" s="45" t="inlineStr">
        <is>
          <t>interview</t>
        </is>
      </c>
      <c r="L236" s="45" t="inlineStr">
        <is>
          <t>Interview with Reuters amid US 50% tariffs</t>
        </is>
      </c>
      <c r="M236" s="45" t="inlineStr">
        <is>
          <t>critical_minerals_general</t>
        </is>
      </c>
      <c r="N236" s="45" t="inlineStr"/>
      <c r="O236" s="45" t="inlineStr">
        <is>
          <t>sovereignty;value_added_industrialization;geopolitics_security;tariffs_trade_policy</t>
        </is>
      </c>
      <c r="P236" s="45" t="inlineStr">
        <is>
          <t>USA</t>
        </is>
      </c>
      <c r="Q236" s="45" t="inlineStr">
        <is>
          <t>not_mentioned</t>
        </is>
      </c>
      <c r="R236" s="45" t="inlineStr">
        <is>
          <t>mixed</t>
        </is>
      </c>
      <c r="S236" s="45" t="inlineStr"/>
      <c r="T236" s="45" t="inlineStr">
        <is>
          <t>In a Reuters interview, Lula said Brazil would not repeat the last century's pattern of exporting ore and importing high value-added goods, and, referring to reported US interest in Brazilian critical minerals, said Brazil would keep them for itself while remaining open to negotiation.</t>
        </is>
      </c>
      <c r="U236" s="45" t="inlineStr">
        <is>
          <t>não vamos permitir o que aconteceu no século passado, em que o Brasil exporta minério e compra produtos com valor agregado muito alto</t>
        </is>
      </c>
      <c r="V236" s="45" t="inlineStr">
        <is>
          <t>we will not allow what happened in the last century, when Brazil exports ore and buys products with very high added value</t>
        </is>
      </c>
      <c r="W236" s="45" t="inlineStr">
        <is>
          <t>pt</t>
        </is>
      </c>
      <c r="X236" s="45" t="inlineStr">
        <is>
          <t>CNN Brasil</t>
        </is>
      </c>
      <c r="Y236" s="45" t="inlineStr">
        <is>
          <t>https://www.cnnbrasil.com.br/politica/entrevista-lula-minerais-criticos/</t>
        </is>
      </c>
      <c r="Z236" s="45" t="inlineStr">
        <is>
          <t>news_media</t>
        </is>
      </c>
      <c r="AA236" s="45" t="inlineStr">
        <is>
          <t>secondary_reported</t>
        </is>
      </c>
      <c r="AB236" s="45" t="inlineStr"/>
      <c r="AC236" s="45" t="inlineStr">
        <is>
          <t>BRA</t>
        </is>
      </c>
    </row>
    <row r="237" ht="15" customHeight="1" s="24">
      <c r="A237" s="45" t="inlineStr">
        <is>
          <t>PS-0236</t>
        </is>
      </c>
      <c r="B237" s="45" t="inlineStr">
        <is>
          <t>2025-08-12</t>
        </is>
      </c>
      <c r="C237" s="45" t="inlineStr">
        <is>
          <t>2025</t>
        </is>
      </c>
      <c r="D237" s="45" t="inlineStr">
        <is>
          <t>BOL</t>
        </is>
      </c>
      <c r="E237" s="45" t="inlineStr">
        <is>
          <t>Alberto Pérez</t>
        </is>
      </c>
      <c r="F237" s="45" t="inlineStr">
        <is>
          <t>President, Comité Cívico Potosinista (Comcipo)</t>
        </is>
      </c>
      <c r="G237" s="45" t="inlineStr">
        <is>
          <t>other</t>
        </is>
      </c>
      <c r="H237" s="45" t="inlineStr">
        <is>
          <t>Other (business, civil society, third countries)</t>
        </is>
      </c>
      <c r="I237" s="45" t="inlineStr">
        <is>
          <t>BOL</t>
        </is>
      </c>
      <c r="J237" s="45" t="inlineStr">
        <is>
          <t>Comcipo</t>
        </is>
      </c>
      <c r="K237" s="45" t="inlineStr">
        <is>
          <t>interview</t>
        </is>
      </c>
      <c r="L237" s="45" t="inlineStr">
        <is>
          <t>Committee vote on Uranium One contract</t>
        </is>
      </c>
      <c r="M237" s="45" t="inlineStr">
        <is>
          <t>lithium</t>
        </is>
      </c>
      <c r="N237" s="45" t="inlineStr">
        <is>
          <t>253090;282520;283691</t>
        </is>
      </c>
      <c r="O237" s="45" t="inlineStr">
        <is>
          <t>labor_social_conflict;sovereignty</t>
        </is>
      </c>
      <c r="P237" s="45" t="inlineStr">
        <is>
          <t>RUS</t>
        </is>
      </c>
      <c r="Q237" s="45" t="inlineStr">
        <is>
          <t>not_mentioned</t>
        </is>
      </c>
      <c r="R237" s="45" t="inlineStr">
        <is>
          <t>not_mentioned</t>
        </is>
      </c>
      <c r="S237" s="45" t="inlineStr">
        <is>
          <t>Uranium One Group; Comcipo</t>
        </is>
      </c>
      <c r="T237" s="45" t="inlineStr">
        <is>
          <t>Comcipo's president demanded that the lithium contracts be left for the next government and legislature rather than approved by the outgoing administration.</t>
        </is>
      </c>
      <c r="U237" s="45" t="inlineStr">
        <is>
          <t>Queremos que estos contratos no se traten en esta gestión de gobierno, sino la próxima</t>
        </is>
      </c>
      <c r="V237" s="45" t="inlineStr">
        <is>
          <t>We want these contracts not to be dealt with by this administration, but by the next one</t>
        </is>
      </c>
      <c r="W237" s="45" t="inlineStr">
        <is>
          <t>es</t>
        </is>
      </c>
      <c r="X237" s="45" t="inlineStr">
        <is>
          <t>EJU.tv</t>
        </is>
      </c>
      <c r="Y237" s="45" t="inlineStr">
        <is>
          <t>https://eju.tv/?p=4720246</t>
        </is>
      </c>
      <c r="Z237" s="45" t="inlineStr">
        <is>
          <t>news_media</t>
        </is>
      </c>
      <c r="AA237" s="45" t="inlineStr">
        <is>
          <t>secondary_reported</t>
        </is>
      </c>
      <c r="AB237" s="45" t="inlineStr"/>
      <c r="AC237" s="45" t="inlineStr">
        <is>
          <t>BOL</t>
        </is>
      </c>
    </row>
    <row r="238" ht="15" customHeight="1" s="24">
      <c r="A238" s="45" t="inlineStr">
        <is>
          <t>PS-0237</t>
        </is>
      </c>
      <c r="B238" s="45" t="inlineStr">
        <is>
          <t>2025-08-12</t>
        </is>
      </c>
      <c r="C238" s="45" t="inlineStr">
        <is>
          <t>2025</t>
        </is>
      </c>
      <c r="D238" s="45" t="inlineStr">
        <is>
          <t>BOL</t>
        </is>
      </c>
      <c r="E238" s="45" t="inlineStr">
        <is>
          <t>Comisión de Economía Plural, Cámara de Diputados</t>
        </is>
      </c>
      <c r="F238" s="45" t="inlineStr">
        <is>
          <t>Chamber of Deputies committee</t>
        </is>
      </c>
      <c r="G238" s="45" t="inlineStr">
        <is>
          <t>legislature_body</t>
        </is>
      </c>
      <c r="H238" s="45" t="inlineStr">
        <is>
          <t>LatAm legislature</t>
        </is>
      </c>
      <c r="I238" s="45" t="inlineStr">
        <is>
          <t>BOL</t>
        </is>
      </c>
      <c r="J238" s="45" t="inlineStr"/>
      <c r="K238" s="45" t="inlineStr">
        <is>
          <t>legislative_debate</t>
        </is>
      </c>
      <c r="L238" s="45" t="inlineStr">
        <is>
          <t>Committee vote on Uranium One lithium contract</t>
        </is>
      </c>
      <c r="M238" s="45" t="inlineStr">
        <is>
          <t>lithium</t>
        </is>
      </c>
      <c r="N238" s="45" t="inlineStr">
        <is>
          <t>253090;282520;283691</t>
        </is>
      </c>
      <c r="O238" s="45" t="inlineStr">
        <is>
          <t>foreign_investment;value_added_industrialization</t>
        </is>
      </c>
      <c r="P238" s="45" t="inlineStr">
        <is>
          <t>RUS</t>
        </is>
      </c>
      <c r="Q238" s="45" t="inlineStr">
        <is>
          <t>not_mentioned</t>
        </is>
      </c>
      <c r="R238" s="45" t="inlineStr">
        <is>
          <t>not_mentioned</t>
        </is>
      </c>
      <c r="S238" s="45" t="inlineStr">
        <is>
          <t>Uranium One Group; YLB; Salar de Uyuni</t>
        </is>
      </c>
      <c r="T238" s="45" t="inlineStr">
        <is>
          <t>The Plural Economy committee approved in general the US$975m Uranium One lithium contract by 9 votes to 2 (4 null) amid incidents, sending it to the full Chamber.</t>
        </is>
      </c>
      <c r="U238" s="45" t="inlineStr">
        <is>
          <t>No es que la comisión aprueba y ya está, es un procedimiento legislativo que sigue su curso</t>
        </is>
      </c>
      <c r="V238" s="45" t="inlineStr">
        <is>
          <t>It's not that the committee approves and that's it; it's a legislative procedure that continues its course</t>
        </is>
      </c>
      <c r="W238" s="45" t="inlineStr">
        <is>
          <t>es</t>
        </is>
      </c>
      <c r="X238" s="45" t="inlineStr">
        <is>
          <t>EJU.tv</t>
        </is>
      </c>
      <c r="Y238" s="45" t="inlineStr">
        <is>
          <t>https://eju.tv/?p=4720246</t>
        </is>
      </c>
      <c r="Z238" s="45" t="inlineStr">
        <is>
          <t>news_media</t>
        </is>
      </c>
      <c r="AA238" s="45" t="inlineStr">
        <is>
          <t>secondary_reported</t>
        </is>
      </c>
      <c r="AB238" s="45" t="inlineStr">
        <is>
          <t>Quote by committee president Hernán Hinojosa (MAS) reported by ABC Color/EFE: https://www.abc.com.py/internacionales/2025/08/13/contrato-con-firma-rusa-para-explotar-litio-boliviano-pasa-primer-filtro-en-el-legislativo/</t>
        </is>
      </c>
      <c r="AC238" s="45" t="inlineStr">
        <is>
          <t>BOL</t>
        </is>
      </c>
    </row>
    <row r="239" ht="15" customHeight="1" s="24">
      <c r="A239" s="45" t="inlineStr">
        <is>
          <t>PS-0238</t>
        </is>
      </c>
      <c r="B239" s="45" t="inlineStr">
        <is>
          <t>2025-08-12</t>
        </is>
      </c>
      <c r="C239" s="45" t="inlineStr">
        <is>
          <t>2025</t>
        </is>
      </c>
      <c r="D239" s="45" t="inlineStr">
        <is>
          <t>CHL</t>
        </is>
      </c>
      <c r="E239" s="45" t="inlineStr">
        <is>
          <t>Jeannette Jara</t>
        </is>
      </c>
      <c r="F239" s="45" t="inlineStr">
        <is>
          <t>Presidential candidate (Unidad por Chile)</t>
        </is>
      </c>
      <c r="G239" s="45" t="inlineStr">
        <is>
          <t>political_party_candidate</t>
        </is>
      </c>
      <c r="H239" s="45" t="inlineStr">
        <is>
          <t>LatAm party/candidate</t>
        </is>
      </c>
      <c r="I239" s="45" t="inlineStr">
        <is>
          <t>CHL</t>
        </is>
      </c>
      <c r="J239" s="45" t="inlineStr">
        <is>
          <t>Partido Comunista</t>
        </is>
      </c>
      <c r="K239" s="45" t="inlineStr">
        <is>
          <t>campaign_statement</t>
        </is>
      </c>
      <c r="L239" s="45" t="inlineStr">
        <is>
          <t>Campaign remarks on economic program</t>
        </is>
      </c>
      <c r="M239" s="45" t="inlineStr">
        <is>
          <t>copper;lithium</t>
        </is>
      </c>
      <c r="N239" s="45" t="inlineStr">
        <is>
          <t>253090;260300;282520;283691;740200;740311</t>
        </is>
      </c>
      <c r="O239" s="45" t="inlineStr">
        <is>
          <t>state_control_nationalization</t>
        </is>
      </c>
      <c r="P239" s="45" t="inlineStr">
        <is>
          <t>none</t>
        </is>
      </c>
      <c r="Q239" s="45" t="inlineStr">
        <is>
          <t>not_mentioned</t>
        </is>
      </c>
      <c r="R239" s="45" t="inlineStr">
        <is>
          <t>not_mentioned</t>
        </is>
      </c>
      <c r="S239" s="45" t="inlineStr">
        <is>
          <t>Codelco; SQM</t>
        </is>
      </c>
      <c r="T239" s="45" t="inlineStr">
        <is>
          <t>Jara repeated that copper and lithium would not be nationalised, said she favoured a national lithium company but would respect the Codelco-SQM agreement if approved, calling her earlier nationalisation proposal an error.</t>
        </is>
      </c>
      <c r="U239" s="45" t="inlineStr">
        <is>
          <t>No se nacionalizará el cobre ni el litio</t>
        </is>
      </c>
      <c r="V239" s="45" t="inlineStr">
        <is>
          <t>Neither copper nor lithium will be nationalised</t>
        </is>
      </c>
      <c r="W239" s="45" t="inlineStr">
        <is>
          <t>es</t>
        </is>
      </c>
      <c r="X239" s="45" t="inlineStr">
        <is>
          <t>El Mostrador</t>
        </is>
      </c>
      <c r="Y239" s="45" t="inlineStr">
        <is>
          <t>https://www.elmostrador.cl/noticias/pais/2025/08/12/jara-destaca-reforma-previsional-y-vuelve-a-repetir-no-se-nacionalizara-el-cobre-ni-el-litio/</t>
        </is>
      </c>
      <c r="Z239" s="45" t="inlineStr">
        <is>
          <t>news_media</t>
        </is>
      </c>
      <c r="AA239" s="45" t="inlineStr">
        <is>
          <t>secondary_reported</t>
        </is>
      </c>
      <c r="AB239" s="45" t="inlineStr"/>
      <c r="AC239" s="45" t="inlineStr">
        <is>
          <t>CHL</t>
        </is>
      </c>
    </row>
    <row r="240" ht="15" customHeight="1" s="24">
      <c r="A240" s="45" t="inlineStr">
        <is>
          <t>PS-0239</t>
        </is>
      </c>
      <c r="B240" s="45" t="inlineStr">
        <is>
          <t>2025-08-13</t>
        </is>
      </c>
      <c r="C240" s="45" t="inlineStr">
        <is>
          <t>2025</t>
        </is>
      </c>
      <c r="D240" s="45" t="inlineStr">
        <is>
          <t>PER</t>
        </is>
      </c>
      <c r="E240" s="45" t="inlineStr">
        <is>
          <t>Zhao Jing (Ivo Zhao)</t>
        </is>
      </c>
      <c r="F240" s="45" t="inlineStr">
        <is>
          <t>Chief Executive Officer, MMG Ltd</t>
        </is>
      </c>
      <c r="G240" s="45" t="inlineStr">
        <is>
          <t>other</t>
        </is>
      </c>
      <c r="H240" s="45" t="inlineStr">
        <is>
          <t>China</t>
        </is>
      </c>
      <c r="I240" s="45" t="inlineStr">
        <is>
          <t>CHN</t>
        </is>
      </c>
      <c r="J240" s="45" t="inlineStr">
        <is>
          <t>China Minmetals (state-owned)</t>
        </is>
      </c>
      <c r="K240" s="45" t="inlineStr">
        <is>
          <t>press_conference</t>
        </is>
      </c>
      <c r="L240" s="45" t="inlineStr">
        <is>
          <t>MMG interim results call</t>
        </is>
      </c>
      <c r="M240" s="45" t="inlineStr">
        <is>
          <t>copper</t>
        </is>
      </c>
      <c r="N240" s="45" t="inlineStr">
        <is>
          <t>260300;740200;740311</t>
        </is>
      </c>
      <c r="O240" s="45" t="inlineStr">
        <is>
          <t>labor_social_conflict;foreign_investment</t>
        </is>
      </c>
      <c r="P240" s="45" t="inlineStr">
        <is>
          <t>none</t>
        </is>
      </c>
      <c r="Q240" s="45" t="inlineStr">
        <is>
          <t>not_mentioned</t>
        </is>
      </c>
      <c r="R240" s="45" t="inlineStr">
        <is>
          <t>not_mentioned</t>
        </is>
      </c>
      <c r="S240" s="45" t="inlineStr">
        <is>
          <t>Las Bambas; MMG; China Minmetals</t>
        </is>
      </c>
      <c r="T240" s="45" t="inlineStr">
        <is>
          <t>MMG's CEO warned that Peru's 2026 elections raised the risk of protests affecting Las Bambas, noted unresolved conflicts over the road corridor, and said the company must plan for contingencies while keeping its 2025 output guidance.</t>
        </is>
      </c>
      <c r="U240" s="45" t="inlineStr"/>
      <c r="V240" s="45" t="inlineStr"/>
      <c r="W240" s="45" t="inlineStr">
        <is>
          <t>en</t>
        </is>
      </c>
      <c r="X240" s="45" t="inlineStr">
        <is>
          <t>Energiminas (citing Bloomberg)</t>
        </is>
      </c>
      <c r="Y240" s="45" t="inlineStr">
        <is>
          <t>https://energiminas.com/2025/08/13/mmg-advierte-que-elecciones-en-peru-representan-un-riesgo-para-la-mina-las-bambas/</t>
        </is>
      </c>
      <c r="Z240" s="45" t="inlineStr">
        <is>
          <t>news_media</t>
        </is>
      </c>
      <c r="AA240" s="45" t="inlineStr">
        <is>
          <t>secondary_reported</t>
        </is>
      </c>
      <c r="AB240" s="45" t="inlineStr">
        <is>
          <t>Only Spanish translation of English-language call seen, so quote left empty; speaker heads subsidiary of Chinese SOE China Minmetals</t>
        </is>
      </c>
      <c r="AC240" s="45" t="inlineStr">
        <is>
          <t>PER</t>
        </is>
      </c>
    </row>
    <row r="241" ht="15" customHeight="1" s="24">
      <c r="A241" s="45" t="inlineStr">
        <is>
          <t>PS-0240</t>
        </is>
      </c>
      <c r="B241" s="45" t="inlineStr">
        <is>
          <t>2025-08-20</t>
        </is>
      </c>
      <c r="C241" s="45" t="inlineStr">
        <is>
          <t>2025</t>
        </is>
      </c>
      <c r="D241" s="45" t="inlineStr">
        <is>
          <t>ARG</t>
        </is>
      </c>
      <c r="E241" s="45" t="inlineStr">
        <is>
          <t>Alvin Holsey</t>
        </is>
      </c>
      <c r="F241" s="45" t="inlineStr">
        <is>
          <t>Commander, U.S. Southern Command</t>
        </is>
      </c>
      <c r="G241" s="45" t="inlineStr">
        <is>
          <t>us_central_gov</t>
        </is>
      </c>
      <c r="H241" s="45" t="inlineStr">
        <is>
          <t>United States</t>
        </is>
      </c>
      <c r="I241" s="45" t="inlineStr">
        <is>
          <t>USA</t>
        </is>
      </c>
      <c r="J241" s="45" t="inlineStr">
        <is>
          <t>U.S. Department of Defense</t>
        </is>
      </c>
      <c r="K241" s="45" t="inlineStr">
        <is>
          <t>speech</t>
        </is>
      </c>
      <c r="L241" s="45" t="inlineStr">
        <is>
          <t>South American Defense Conference, Buenos Aires</t>
        </is>
      </c>
      <c r="M241" s="45" t="inlineStr">
        <is>
          <t>mining_general</t>
        </is>
      </c>
      <c r="N241" s="45" t="inlineStr"/>
      <c r="O241" s="45" t="inlineStr">
        <is>
          <t>geopolitics_security;infrastructure_ports;sovereignty</t>
        </is>
      </c>
      <c r="P241" s="45" t="inlineStr">
        <is>
          <t>CHN</t>
        </is>
      </c>
      <c r="Q241" s="45" t="inlineStr">
        <is>
          <t>negative</t>
        </is>
      </c>
      <c r="R241" s="45" t="inlineStr">
        <is>
          <t>positive</t>
        </is>
      </c>
      <c r="S241" s="45" t="inlineStr"/>
      <c r="T241" s="45" t="inlineStr">
        <is>
          <t>Speaking in Buenos Aires, Holsey warned that the Chinese Communist Party is methodically advancing in the region to extract resources and build dual-use infrastructure from ports to space.</t>
        </is>
      </c>
      <c r="U241" s="45" t="inlineStr">
        <is>
          <t>El Partido Comunista Chino continúa su incursión metódica en la región, buscando exportar su modelo autoritario</t>
        </is>
      </c>
      <c r="V241" s="45" t="inlineStr">
        <is>
          <t>The Chinese Communist Party continues its methodical incursion in the region, seeking to export its authoritarian model</t>
        </is>
      </c>
      <c r="W241" s="45" t="inlineStr">
        <is>
          <t>es</t>
        </is>
      </c>
      <c r="X241" s="45" t="inlineStr">
        <is>
          <t>La Estrella de Panamá (EFE)</t>
        </is>
      </c>
      <c r="Y241" s="45" t="inlineStr">
        <is>
          <t>https://www.laestrella.com.pa/mundo/comando-sur-alerta-en-buenos-aires-sobre-la-expansion-autoritaria-de-china-en-la-region-PA15372937</t>
        </is>
      </c>
      <c r="Z241" s="45" t="inlineStr">
        <is>
          <t>news_media</t>
        </is>
      </c>
      <c r="AA241" s="45" t="inlineStr">
        <is>
          <t>secondary_reported</t>
        </is>
      </c>
      <c r="AB241" s="45" t="inlineStr">
        <is>
          <t>Quote is Spanish rendering of English remarks; resource extraction mentioned generically</t>
        </is>
      </c>
      <c r="AC241" s="45" t="inlineStr">
        <is>
          <t>USA_gov</t>
        </is>
      </c>
    </row>
    <row r="242" ht="15" customHeight="1" s="24">
      <c r="A242" s="45" t="inlineStr">
        <is>
          <t>PS-0241</t>
        </is>
      </c>
      <c r="B242" s="45" t="inlineStr">
        <is>
          <t>2025-08-20</t>
        </is>
      </c>
      <c r="C242" s="45" t="inlineStr">
        <is>
          <t>2025</t>
        </is>
      </c>
      <c r="D242" s="45" t="inlineStr">
        <is>
          <t>BOL</t>
        </is>
      </c>
      <c r="E242" s="45" t="inlineStr">
        <is>
          <t>Luis Arce</t>
        </is>
      </c>
      <c r="F242" s="45" t="inlineStr">
        <is>
          <t>President of Bolivia</t>
        </is>
      </c>
      <c r="G242" s="45" t="inlineStr">
        <is>
          <t>head_of_state</t>
        </is>
      </c>
      <c r="H242" s="45" t="inlineStr">
        <is>
          <t>LatAm executive</t>
        </is>
      </c>
      <c r="I242" s="45" t="inlineStr">
        <is>
          <t>BOL</t>
        </is>
      </c>
      <c r="J242" s="45" t="inlineStr">
        <is>
          <t>Movimiento al Socialismo (MAS)</t>
        </is>
      </c>
      <c r="K242" s="45" t="inlineStr">
        <is>
          <t>interview</t>
        </is>
      </c>
      <c r="L242" s="45" t="inlineStr">
        <is>
          <t>After first round of 2025 general election</t>
        </is>
      </c>
      <c r="M242" s="45" t="inlineStr">
        <is>
          <t>lithium</t>
        </is>
      </c>
      <c r="N242" s="45" t="inlineStr">
        <is>
          <t>253090;282520;283691</t>
        </is>
      </c>
      <c r="O242" s="45" t="inlineStr">
        <is>
          <t>foreign_investment;value_added_industrialization</t>
        </is>
      </c>
      <c r="P242" s="45" t="inlineStr">
        <is>
          <t>CHN;RUS</t>
        </is>
      </c>
      <c r="Q242" s="45" t="inlineStr">
        <is>
          <t>not_mentioned</t>
        </is>
      </c>
      <c r="R242" s="45" t="inlineStr">
        <is>
          <t>not_mentioned</t>
        </is>
      </c>
      <c r="S242" s="45" t="inlineStr">
        <is>
          <t>YLB; CBC; Uranium One Group</t>
        </is>
      </c>
      <c r="T242" s="45" t="inlineStr">
        <is>
          <t>Arce said the evista faction and opposition deliberately allied to block the lithium contracts and that these and other contracts were at risk with the arrival of a new government.</t>
        </is>
      </c>
      <c r="U242" s="45" t="inlineStr">
        <is>
          <t>esos contratos, sin duda, y otros están en riesgo por la aparición de un nuevo Gobierno</t>
        </is>
      </c>
      <c r="V242" s="45" t="inlineStr">
        <is>
          <t>those contracts, without doubt, and others are at risk because of the arrival of a new Government</t>
        </is>
      </c>
      <c r="W242" s="45" t="inlineStr">
        <is>
          <t>es</t>
        </is>
      </c>
      <c r="X242" s="45" t="inlineStr">
        <is>
          <t>Correo del Sur</t>
        </is>
      </c>
      <c r="Y242" s="45" t="inlineStr">
        <is>
          <t>https://correodelsur.com/economia/20250820/con-la-llegada-del-nuevo-gobierno-arce-afirma-que-los-contratos-del-litio-estan-en-riesgo.html</t>
        </is>
      </c>
      <c r="Z242" s="45" t="inlineStr">
        <is>
          <t>news_media</t>
        </is>
      </c>
      <c r="AA242" s="45" t="inlineStr">
        <is>
          <t>secondary_reported</t>
        </is>
      </c>
      <c r="AB242" s="45" t="inlineStr"/>
      <c r="AC242" s="45" t="inlineStr">
        <is>
          <t>BOL</t>
        </is>
      </c>
    </row>
    <row r="243" ht="15" customHeight="1" s="24">
      <c r="A243" s="45" t="inlineStr">
        <is>
          <t>PS-0242</t>
        </is>
      </c>
      <c r="B243" s="45" t="inlineStr">
        <is>
          <t>2025-08-25</t>
        </is>
      </c>
      <c r="C243" s="45" t="inlineStr">
        <is>
          <t>2025</t>
        </is>
      </c>
      <c r="D243" s="45" t="inlineStr">
        <is>
          <t>BOL</t>
        </is>
      </c>
      <c r="E243" s="45" t="inlineStr">
        <is>
          <t>Jorge 'Tuto' Quiroga</t>
        </is>
      </c>
      <c r="F243" s="45" t="inlineStr">
        <is>
          <t>Presidential candidate (runoff), Libre alliance</t>
        </is>
      </c>
      <c r="G243" s="45" t="inlineStr">
        <is>
          <t>political_party_candidate</t>
        </is>
      </c>
      <c r="H243" s="45" t="inlineStr">
        <is>
          <t>LatAm party/candidate</t>
        </is>
      </c>
      <c r="I243" s="45" t="inlineStr">
        <is>
          <t>BOL</t>
        </is>
      </c>
      <c r="J243" s="45" t="inlineStr">
        <is>
          <t>Alianza Libre</t>
        </is>
      </c>
      <c r="K243" s="45" t="inlineStr">
        <is>
          <t>campaign_statement</t>
        </is>
      </c>
      <c r="L243" s="45" t="inlineStr">
        <is>
          <t>2025 presidential runoff campaign</t>
        </is>
      </c>
      <c r="M243" s="45" t="inlineStr">
        <is>
          <t>lithium</t>
        </is>
      </c>
      <c r="N243" s="45" t="inlineStr">
        <is>
          <t>253090;282520;283691</t>
        </is>
      </c>
      <c r="O243" s="45" t="inlineStr">
        <is>
          <t>geopolitics_security;foreign_investment</t>
        </is>
      </c>
      <c r="P243" s="45" t="inlineStr">
        <is>
          <t>CHN;RUS</t>
        </is>
      </c>
      <c r="Q243" s="45" t="inlineStr">
        <is>
          <t>negative</t>
        </is>
      </c>
      <c r="R243" s="45" t="inlineStr">
        <is>
          <t>not_mentioned</t>
        </is>
      </c>
      <c r="S243" s="45" t="inlineStr">
        <is>
          <t>CATL; CBC; Uranium One Group</t>
        </is>
      </c>
      <c r="T243" s="45" t="inlineStr">
        <is>
          <t>Quiroga demanded that the roughly US$2bn lithium contracts with Russia's Uranium One and China's CATL-led consortium be halted, saying Congress would not approve them.</t>
        </is>
      </c>
      <c r="U243" s="45" t="inlineStr">
        <is>
          <t>Párenlos, no se van a aprobar y el Congreso no va a aprobar esos contratos</t>
        </is>
      </c>
      <c r="V243" s="45" t="inlineStr">
        <is>
          <t>Stop them, they will not be approved and Congress will not approve those contracts</t>
        </is>
      </c>
      <c r="W243" s="45" t="inlineStr">
        <is>
          <t>es</t>
        </is>
      </c>
      <c r="X243" s="45" t="inlineStr">
        <is>
          <t>TVN Panamá (AFP)</t>
        </is>
      </c>
      <c r="Y243" s="45" t="inlineStr">
        <is>
          <t>https://www.tvn-2.com/mundo/suramerica/candidato-quiroga-exige-frenar-contratos_1_2203435.html</t>
        </is>
      </c>
      <c r="Z243" s="45" t="inlineStr">
        <is>
          <t>news_media</t>
        </is>
      </c>
      <c r="AA243" s="45" t="inlineStr">
        <is>
          <t>secondary_reported</t>
        </is>
      </c>
      <c r="AB243" s="45" t="inlineStr"/>
      <c r="AC243" s="45" t="inlineStr">
        <is>
          <t>BOL</t>
        </is>
      </c>
    </row>
    <row r="244" ht="15" customHeight="1" s="24">
      <c r="A244" s="45" t="inlineStr">
        <is>
          <t>PS-0243</t>
        </is>
      </c>
      <c r="B244" s="45" t="inlineStr">
        <is>
          <t>2025-08-25</t>
        </is>
      </c>
      <c r="C244" s="45" t="inlineStr">
        <is>
          <t>2025</t>
        </is>
      </c>
      <c r="D244" s="45" t="inlineStr">
        <is>
          <t>REG</t>
        </is>
      </c>
      <c r="E244" s="45" t="inlineStr">
        <is>
          <t>Guo Jiakun</t>
        </is>
      </c>
      <c r="F244" s="45" t="inlineStr">
        <is>
          <t>Spokesperson, Ministry of Foreign Affairs of China</t>
        </is>
      </c>
      <c r="G244" s="45" t="inlineStr">
        <is>
          <t>china_central_gov</t>
        </is>
      </c>
      <c r="H244" s="45" t="inlineStr">
        <is>
          <t>China</t>
        </is>
      </c>
      <c r="I244" s="45" t="inlineStr">
        <is>
          <t>CHN</t>
        </is>
      </c>
      <c r="J244" s="45" t="inlineStr">
        <is>
          <t>CCP</t>
        </is>
      </c>
      <c r="K244" s="45" t="inlineStr">
        <is>
          <t>press_conference</t>
        </is>
      </c>
      <c r="L244" s="45" t="inlineStr">
        <is>
          <t>Response to SOUTHCOM commander's remarks at South American Defense Conference in Argentina</t>
        </is>
      </c>
      <c r="M244" s="45" t="inlineStr">
        <is>
          <t>mining_general</t>
        </is>
      </c>
      <c r="N244" s="45" t="inlineStr"/>
      <c r="O244" s="45" t="inlineStr">
        <is>
          <t>geopolitics_security;sovereignty;diplomatic_relations</t>
        </is>
      </c>
      <c r="P244" s="45" t="inlineStr">
        <is>
          <t>USA;ARG</t>
        </is>
      </c>
      <c r="Q244" s="45" t="inlineStr">
        <is>
          <t>positive</t>
        </is>
      </c>
      <c r="R244" s="45" t="inlineStr">
        <is>
          <t>negative</t>
        </is>
      </c>
      <c r="S244" s="45" t="inlineStr">
        <is>
          <t>US Southern Command</t>
        </is>
      </c>
      <c r="T244" s="45" t="inlineStr">
        <is>
          <t>Responding to the US Southern Command chief's claim in Argentina that China was infiltrating the Western Hemisphere and grabbing resources, Guo Jiakun said the US has long interfered in and sought to control Latin America and that the region is nobody's backyard.</t>
        </is>
      </c>
      <c r="U244" s="45" t="inlineStr">
        <is>
          <t>拉美和加勒比不是谁的后院，中拉合作不针对第三方，也不应受到第三方的干扰。</t>
        </is>
      </c>
      <c r="V244" s="45" t="inlineStr">
        <is>
          <t>Latin America and the Caribbean is nobody's backyard; China-LAC cooperation does not target any third party and should not be interfered with by any third party.</t>
        </is>
      </c>
      <c r="W244" s="45" t="inlineStr">
        <is>
          <t>zh</t>
        </is>
      </c>
      <c r="X244" s="45" t="inlineStr">
        <is>
          <t>ifeng.com</t>
        </is>
      </c>
      <c r="Y244" s="45" t="inlineStr">
        <is>
          <t>https://news.ifeng.com/c/8m6jJ98fkpY</t>
        </is>
      </c>
      <c r="Z244" s="45" t="inlineStr">
        <is>
          <t>news_media</t>
        </is>
      </c>
      <c r="AA244" s="45" t="inlineStr">
        <is>
          <t>secondary_reported</t>
        </is>
      </c>
      <c r="AB244" s="45" t="inlineStr">
        <is>
          <t>US remark referred to 'resources' generally, not a specific mineral; borderline relevance. MFA transcript not fetched.</t>
        </is>
      </c>
      <c r="AC244" s="45" t="inlineStr">
        <is>
          <t>CHN_gov</t>
        </is>
      </c>
    </row>
    <row r="245" ht="15" customHeight="1" s="24">
      <c r="A245" s="45" t="inlineStr">
        <is>
          <t>PS-0244</t>
        </is>
      </c>
      <c r="B245" s="45" t="inlineStr">
        <is>
          <t>2025-08-29</t>
        </is>
      </c>
      <c r="C245" s="45" t="inlineStr">
        <is>
          <t>2025</t>
        </is>
      </c>
      <c r="D245" s="45" t="inlineStr">
        <is>
          <t>BRA</t>
        </is>
      </c>
      <c r="E245" s="45" t="inlineStr">
        <is>
          <t>Luiz Inácio Lula da Silva</t>
        </is>
      </c>
      <c r="F245" s="45" t="inlineStr">
        <is>
          <t>President of Brazil</t>
        </is>
      </c>
      <c r="G245" s="45" t="inlineStr">
        <is>
          <t>head_of_state</t>
        </is>
      </c>
      <c r="H245" s="45" t="inlineStr">
        <is>
          <t>LatAm executive</t>
        </is>
      </c>
      <c r="I245" s="45" t="inlineStr">
        <is>
          <t>BRA</t>
        </is>
      </c>
      <c r="J245" s="45" t="inlineStr">
        <is>
          <t>PT</t>
        </is>
      </c>
      <c r="K245" s="45" t="inlineStr">
        <is>
          <t>speech</t>
        </is>
      </c>
      <c r="L245" s="45" t="inlineStr">
        <is>
          <t>Inauguration of Acelen Renováveis innovation centre, Montes Claros (MG)</t>
        </is>
      </c>
      <c r="M245" s="45" t="inlineStr">
        <is>
          <t>critical_minerals_general;rare_earths</t>
        </is>
      </c>
      <c r="N245" s="45" t="inlineStr">
        <is>
          <t>284690</t>
        </is>
      </c>
      <c r="O245" s="45" t="inlineStr">
        <is>
          <t>sovereignty;state_control_nationalization</t>
        </is>
      </c>
      <c r="P245" s="45" t="inlineStr">
        <is>
          <t>none</t>
        </is>
      </c>
      <c r="Q245" s="45" t="inlineStr">
        <is>
          <t>not_mentioned</t>
        </is>
      </c>
      <c r="R245" s="45" t="inlineStr">
        <is>
          <t>not_mentioned</t>
        </is>
      </c>
      <c r="S245" s="45" t="inlineStr"/>
      <c r="T245" s="45" t="inlineStr">
        <is>
          <t>Lula said nobody will 'put a finger' on Brazil's critical minerals and rare earths, and announced that the government council on critical minerals (via the CNPM) would begin work the following week.</t>
        </is>
      </c>
      <c r="U245" s="45" t="inlineStr">
        <is>
          <t>Ninguém vai colocar o dedo nos nossos minerais críticos e terras raras porque é nosso e nós vamos tomar conta disso.</t>
        </is>
      </c>
      <c r="V245" s="45" t="inlineStr">
        <is>
          <t>No one will put a finger on our critical minerals and rare earths because they are ours and we will take care of them.</t>
        </is>
      </c>
      <c r="W245" s="45" t="inlineStr">
        <is>
          <t>pt</t>
        </is>
      </c>
      <c r="X245" s="45" t="inlineStr">
        <is>
          <t>Poder360</t>
        </is>
      </c>
      <c r="Y245" s="45" t="inlineStr">
        <is>
          <t>https://www.poder360.com.br/poder-governo/lula-diz-que-conselho-dos-minerais-criticos-comeca-em-setembro/</t>
        </is>
      </c>
      <c r="Z245" s="45" t="inlineStr">
        <is>
          <t>news_media</t>
        </is>
      </c>
      <c r="AA245" s="45" t="inlineStr">
        <is>
          <t>secondary_reported</t>
        </is>
      </c>
      <c r="AB245" s="45" t="inlineStr"/>
      <c r="AC245" s="45" t="inlineStr">
        <is>
          <t>BRA</t>
        </is>
      </c>
    </row>
    <row r="246" ht="15" customHeight="1" s="24">
      <c r="A246" s="45" t="inlineStr">
        <is>
          <t>PS-0245</t>
        </is>
      </c>
      <c r="B246" s="45" t="inlineStr">
        <is>
          <t>2025-09</t>
        </is>
      </c>
      <c r="C246" s="45" t="inlineStr">
        <is>
          <t>2025</t>
        </is>
      </c>
      <c r="D246" s="45" t="inlineStr">
        <is>
          <t>BRA</t>
        </is>
      </c>
      <c r="E246" s="45" t="inlineStr">
        <is>
          <t>U.S. International Development Finance Corporation (DFC)</t>
        </is>
      </c>
      <c r="F246" s="45" t="inlineStr">
        <is>
          <t>US development finance agency</t>
        </is>
      </c>
      <c r="G246" s="45" t="inlineStr">
        <is>
          <t>us_central_gov</t>
        </is>
      </c>
      <c r="H246" s="45" t="inlineStr">
        <is>
          <t>United States</t>
        </is>
      </c>
      <c r="I246" s="45" t="inlineStr">
        <is>
          <t>USA</t>
        </is>
      </c>
      <c r="J246" s="45" t="inlineStr">
        <is>
          <t>Trump administration</t>
        </is>
      </c>
      <c r="K246" s="45" t="inlineStr">
        <is>
          <t>official_statement</t>
        </is>
      </c>
      <c r="L246" s="45" t="inlineStr">
        <is>
          <t>DFC financing for Aclara Resources rare earth project in central-west Brazil</t>
        </is>
      </c>
      <c r="M246" s="45" t="inlineStr">
        <is>
          <t>rare_earths</t>
        </is>
      </c>
      <c r="N246" s="45" t="inlineStr">
        <is>
          <t>284690</t>
        </is>
      </c>
      <c r="O246" s="45" t="inlineStr">
        <is>
          <t>financing_credit;foreign_investment;geopolitics_security</t>
        </is>
      </c>
      <c r="P246" s="45" t="inlineStr">
        <is>
          <t>CHN</t>
        </is>
      </c>
      <c r="Q246" s="45" t="inlineStr">
        <is>
          <t>negative</t>
        </is>
      </c>
      <c r="R246" s="45" t="inlineStr">
        <is>
          <t>positive</t>
        </is>
      </c>
      <c r="S246" s="45" t="inlineStr">
        <is>
          <t>Aclara Resources</t>
        </is>
      </c>
      <c r="T246" s="45" t="inlineStr">
        <is>
          <t>DFC approved financing in September 2025 for Aclara Resources' rare earth project in central-west Brazil, including a convertible arrangement for future equity participation, as part of US efforts to diversify rare earth supply from China.</t>
        </is>
      </c>
      <c r="U246" s="45" t="inlineStr"/>
      <c r="V246" s="45" t="inlineStr"/>
      <c r="W246" s="45" t="inlineStr">
        <is>
          <t>en</t>
        </is>
      </c>
      <c r="X246" s="45" t="inlineStr">
        <is>
          <t>Reporte Minero</t>
        </is>
      </c>
      <c r="Y246" s="45" t="inlineStr">
        <is>
          <t>https://www.reporteminero.cl/noticia/noticias/2025/11/eeuu-financia-serra-verde-tierras-raras-brasil</t>
        </is>
      </c>
      <c r="Z246" s="45" t="inlineStr">
        <is>
          <t>news_media</t>
        </is>
      </c>
      <c r="AA246" s="45" t="inlineStr">
        <is>
          <t>secondary_reported</t>
        </is>
      </c>
      <c r="AB246" s="45" t="inlineStr">
        <is>
          <t>Exact day unknown; stance_china inferred from stated diversification aim</t>
        </is>
      </c>
      <c r="AC246" s="45" t="inlineStr">
        <is>
          <t>USA_gov</t>
        </is>
      </c>
    </row>
    <row r="247" ht="15" customHeight="1" s="24">
      <c r="A247" s="45" t="inlineStr">
        <is>
          <t>PS-0246</t>
        </is>
      </c>
      <c r="B247" s="45" t="inlineStr">
        <is>
          <t>2025-09-10</t>
        </is>
      </c>
      <c r="C247" s="45" t="inlineStr">
        <is>
          <t>2025</t>
        </is>
      </c>
      <c r="D247" s="45" t="inlineStr">
        <is>
          <t>ARG</t>
        </is>
      </c>
      <c r="E247" s="45" t="inlineStr">
        <is>
          <t>Luis Lucero</t>
        </is>
      </c>
      <c r="F247" s="45" t="inlineStr">
        <is>
          <t>Secretary of Mining of Argentina</t>
        </is>
      </c>
      <c r="G247" s="45" t="inlineStr">
        <is>
          <t>other_executive</t>
        </is>
      </c>
      <c r="H247" s="45" t="inlineStr">
        <is>
          <t>LatAm executive</t>
        </is>
      </c>
      <c r="I247" s="45" t="inlineStr">
        <is>
          <t>ARG</t>
        </is>
      </c>
      <c r="J247" s="45" t="inlineStr"/>
      <c r="K247" s="45" t="inlineStr">
        <is>
          <t>legislative_debate</t>
        </is>
      </c>
      <c r="L247" s="45" t="inlineStr">
        <is>
          <t>Senate Mining, Energy and Fuels Committee</t>
        </is>
      </c>
      <c r="M247" s="45" t="inlineStr">
        <is>
          <t>copper</t>
        </is>
      </c>
      <c r="N247" s="45" t="inlineStr">
        <is>
          <t>260300;740200;740311</t>
        </is>
      </c>
      <c r="O247" s="45" t="inlineStr">
        <is>
          <t>energy_transition;infrastructure_ports;foreign_investment</t>
        </is>
      </c>
      <c r="P247" s="45" t="inlineStr">
        <is>
          <t>none</t>
        </is>
      </c>
      <c r="Q247" s="45" t="inlineStr">
        <is>
          <t>not_mentioned</t>
        </is>
      </c>
      <c r="R247" s="45" t="inlineStr">
        <is>
          <t>not_mentioned</t>
        </is>
      </c>
      <c r="S247" s="45" t="inlineStr">
        <is>
          <t>San Juan copper projects; Ferrocarril San Martín</t>
        </is>
      </c>
      <c r="T247" s="45" t="inlineStr">
        <is>
          <t>Lucero told senators Argentina's copper is already sold given world demand, that it could produce 1.23 Mt and about 6% of world output, and that copper is critical for electrification and AI, stressing rail, power and port needs.</t>
        </is>
      </c>
      <c r="U247" s="45" t="inlineStr">
        <is>
          <t>nuestro cobre está vendido. El mundo lo demanda</t>
        </is>
      </c>
      <c r="V247" s="45" t="inlineStr">
        <is>
          <t>our copper is sold. The world demands it</t>
        </is>
      </c>
      <c r="W247" s="45" t="inlineStr">
        <is>
          <t>es</t>
        </is>
      </c>
      <c r="X247" s="45" t="inlineStr">
        <is>
          <t>Diario de Cuyo</t>
        </is>
      </c>
      <c r="Y247" s="45" t="inlineStr">
        <is>
          <t>https://www.diariodecuyo.com.ar/cuyominero/lucero-secretario-de-mineria-de-la-nacion-estuvo-en-el-senado-y-hablo-del-futuro-de-un-mineral-clave-nuestro-cobre-esta-vendido-1769348.html</t>
        </is>
      </c>
      <c r="Z247" s="45" t="inlineStr">
        <is>
          <t>news_media</t>
        </is>
      </c>
      <c r="AA247" s="45" t="inlineStr">
        <is>
          <t>secondary_reported</t>
        </is>
      </c>
      <c r="AB247" s="45" t="inlineStr"/>
      <c r="AC247" s="45" t="inlineStr">
        <is>
          <t>ARG</t>
        </is>
      </c>
    </row>
    <row r="248" ht="15" customHeight="1" s="24">
      <c r="A248" s="45" t="inlineStr">
        <is>
          <t>PS-0247</t>
        </is>
      </c>
      <c r="B248" s="45" t="inlineStr">
        <is>
          <t>2025-09-15</t>
        </is>
      </c>
      <c r="C248" s="45" t="inlineStr">
        <is>
          <t>2025</t>
        </is>
      </c>
      <c r="D248" s="45" t="inlineStr">
        <is>
          <t>BRA</t>
        </is>
      </c>
      <c r="E248" s="45" t="inlineStr">
        <is>
          <t>Alexandre Silveira</t>
        </is>
      </c>
      <c r="F248" s="45" t="inlineStr">
        <is>
          <t>Minister of Mines and Energy of Brazil</t>
        </is>
      </c>
      <c r="G248" s="45" t="inlineStr">
        <is>
          <t>minister_cabinet</t>
        </is>
      </c>
      <c r="H248" s="45" t="inlineStr">
        <is>
          <t>LatAm executive</t>
        </is>
      </c>
      <c r="I248" s="45" t="inlineStr">
        <is>
          <t>BRA</t>
        </is>
      </c>
      <c r="J248" s="45" t="inlineStr">
        <is>
          <t>PSD</t>
        </is>
      </c>
      <c r="K248" s="45" t="inlineStr">
        <is>
          <t>official_statement</t>
        </is>
      </c>
      <c r="L248" s="45" t="inlineStr">
        <is>
          <t>Announcement of restructured National Council of Mineral Policy (CNPM)</t>
        </is>
      </c>
      <c r="M248" s="45" t="inlineStr">
        <is>
          <t>rare_earths;critical_minerals_general;lithium</t>
        </is>
      </c>
      <c r="N248" s="45" t="inlineStr">
        <is>
          <t>253090;282520;283691;284690</t>
        </is>
      </c>
      <c r="O248" s="45" t="inlineStr">
        <is>
          <t>value_added_industrialization;geopolitics_security;export_controls</t>
        </is>
      </c>
      <c r="P248" s="45" t="inlineStr">
        <is>
          <t>CHN</t>
        </is>
      </c>
      <c r="Q248" s="45" t="inlineStr">
        <is>
          <t>negative</t>
        </is>
      </c>
      <c r="R248" s="45" t="inlineStr">
        <is>
          <t>not_mentioned</t>
        </is>
      </c>
      <c r="S248" s="45" t="inlineStr">
        <is>
          <t>CNPM</t>
        </is>
      </c>
      <c r="T248" s="45" t="inlineStr">
        <is>
          <t>Silveira announced the restructured National Council of Mineral Policy, chaired by Lula, prioritising critical minerals and rare earths, domestic industrialisation and fertiliser self-sufficiency, citing China's April 2025 restriction on rare-earth magnet exports as a supply-chain vulnerability.</t>
        </is>
      </c>
      <c r="U248" s="45" t="inlineStr">
        <is>
          <t>planejar de forma mais estruturada a exploração mineral no país</t>
        </is>
      </c>
      <c r="V248" s="45" t="inlineStr">
        <is>
          <t>plan mineral exploration in the country in a more structured way</t>
        </is>
      </c>
      <c r="W248" s="45" t="inlineStr">
        <is>
          <t>pt</t>
        </is>
      </c>
      <c r="X248" s="45" t="inlineStr">
        <is>
          <t>Congresso em Foco</t>
        </is>
      </c>
      <c r="Y248" s="45" t="inlineStr">
        <is>
          <t>https://www.congressoemfoco.com.br/noticia/111948/governo-reestrutura-conselho-mineral-com-foco-em-terras-raras</t>
        </is>
      </c>
      <c r="Z248" s="45" t="inlineStr">
        <is>
          <t>news_media</t>
        </is>
      </c>
      <c r="AA248" s="45" t="inlineStr">
        <is>
          <t>secondary_reported</t>
        </is>
      </c>
      <c r="AB248" s="45" t="inlineStr">
        <is>
          <t>stance_china 'negative' reflects framing of export-control risk; arguably neutral</t>
        </is>
      </c>
      <c r="AC248" s="45" t="inlineStr">
        <is>
          <t>BRA</t>
        </is>
      </c>
    </row>
    <row r="249" ht="15" customHeight="1" s="24">
      <c r="A249" s="45" t="inlineStr">
        <is>
          <t>PS-0248</t>
        </is>
      </c>
      <c r="B249" s="45" t="inlineStr">
        <is>
          <t>2025-09-18</t>
        </is>
      </c>
      <c r="C249" s="45" t="inlineStr">
        <is>
          <t>2025</t>
        </is>
      </c>
      <c r="D249" s="45" t="inlineStr">
        <is>
          <t>BRA</t>
        </is>
      </c>
      <c r="E249" s="45" t="inlineStr">
        <is>
          <t>Glauber Braga</t>
        </is>
      </c>
      <c r="F249" s="45" t="inlineStr">
        <is>
          <t>Federal Deputy (PSOL-RJ)</t>
        </is>
      </c>
      <c r="G249" s="45" t="inlineStr">
        <is>
          <t>legislator</t>
        </is>
      </c>
      <c r="H249" s="45" t="inlineStr">
        <is>
          <t>LatAm legislature</t>
        </is>
      </c>
      <c r="I249" s="45" t="inlineStr">
        <is>
          <t>BRA</t>
        </is>
      </c>
      <c r="J249" s="45" t="inlineStr">
        <is>
          <t>PSOL</t>
        </is>
      </c>
      <c r="K249" s="45" t="inlineStr">
        <is>
          <t>legislative_debate</t>
        </is>
      </c>
      <c r="L249" s="45" t="inlineStr">
        <is>
          <t>Chamber vote on urgency for PL 2780/2024</t>
        </is>
      </c>
      <c r="M249" s="45" t="inlineStr">
        <is>
          <t>critical_minerals_general</t>
        </is>
      </c>
      <c r="N249" s="45" t="inlineStr"/>
      <c r="O249" s="45" t="inlineStr">
        <is>
          <t>sovereignty;foreign_investment</t>
        </is>
      </c>
      <c r="P249" s="45" t="inlineStr">
        <is>
          <t>none</t>
        </is>
      </c>
      <c r="Q249" s="45" t="inlineStr">
        <is>
          <t>not_mentioned</t>
        </is>
      </c>
      <c r="R249" s="45" t="inlineStr">
        <is>
          <t>not_mentioned</t>
        </is>
      </c>
      <c r="S249" s="45" t="inlineStr">
        <is>
          <t>PL 2780/2024</t>
        </is>
      </c>
      <c r="T249" s="45" t="inlineStr">
        <is>
          <t>Opposing urgency for the critical minerals bill, Glauber Braga argued it would hand Brazil's critical and strategic minerals to foreign capital on a silver platter.</t>
        </is>
      </c>
      <c r="U249" s="45" t="inlineStr"/>
      <c r="V249" s="45" t="inlineStr"/>
      <c r="W249" s="45" t="inlineStr">
        <is>
          <t>pt</t>
        </is>
      </c>
      <c r="X249" s="45" t="inlineStr">
        <is>
          <t>Agência iNFRA</t>
        </is>
      </c>
      <c r="Y249" s="45" t="inlineStr">
        <is>
          <t>https://agenciainfra.com/blog/camara-aprova-urgencia-para-politica-de-minerais-criticos/</t>
        </is>
      </c>
      <c r="Z249" s="45" t="inlineStr">
        <is>
          <t>news_media</t>
        </is>
      </c>
      <c r="AA249" s="45" t="inlineStr">
        <is>
          <t>secondary_reported</t>
        </is>
      </c>
      <c r="AB249" s="45" t="inlineStr">
        <is>
          <t>Quote seen only in translation</t>
        </is>
      </c>
      <c r="AC249" s="45" t="inlineStr">
        <is>
          <t>BRA</t>
        </is>
      </c>
    </row>
    <row r="250" ht="15" customHeight="1" s="24">
      <c r="A250" s="45" t="inlineStr">
        <is>
          <t>PS-0249</t>
        </is>
      </c>
      <c r="B250" s="45" t="inlineStr">
        <is>
          <t>2025-09-18</t>
        </is>
      </c>
      <c r="C250" s="45" t="inlineStr">
        <is>
          <t>2025</t>
        </is>
      </c>
      <c r="D250" s="45" t="inlineStr">
        <is>
          <t>BRA</t>
        </is>
      </c>
      <c r="E250" s="45" t="inlineStr">
        <is>
          <t>Hugo Motta</t>
        </is>
      </c>
      <c r="F250" s="45" t="inlineStr">
        <is>
          <t>President of the Chamber of Deputies</t>
        </is>
      </c>
      <c r="G250" s="45" t="inlineStr">
        <is>
          <t>legislator</t>
        </is>
      </c>
      <c r="H250" s="45" t="inlineStr">
        <is>
          <t>LatAm legislature</t>
        </is>
      </c>
      <c r="I250" s="45" t="inlineStr">
        <is>
          <t>BRA</t>
        </is>
      </c>
      <c r="J250" s="45" t="inlineStr">
        <is>
          <t>Republicanos</t>
        </is>
      </c>
      <c r="K250" s="45" t="inlineStr">
        <is>
          <t>legislative_debate</t>
        </is>
      </c>
      <c r="L250" s="45" t="inlineStr">
        <is>
          <t>Chamber vote approving urgency for PL 2780/2024 (369-38)</t>
        </is>
      </c>
      <c r="M250" s="45" t="inlineStr">
        <is>
          <t>critical_minerals_general;rare_earths</t>
        </is>
      </c>
      <c r="N250" s="45" t="inlineStr">
        <is>
          <t>284690</t>
        </is>
      </c>
      <c r="O250" s="45" t="inlineStr">
        <is>
          <t>environment_water;value_added_industrialization</t>
        </is>
      </c>
      <c r="P250" s="45" t="inlineStr">
        <is>
          <t>none</t>
        </is>
      </c>
      <c r="Q250" s="45" t="inlineStr">
        <is>
          <t>not_mentioned</t>
        </is>
      </c>
      <c r="R250" s="45" t="inlineStr">
        <is>
          <t>not_mentioned</t>
        </is>
      </c>
      <c r="S250" s="45" t="inlineStr">
        <is>
          <t>PL 2780/2024</t>
        </is>
      </c>
      <c r="T250" s="45" t="inlineStr">
        <is>
          <t>After the Chamber approved urgency for the critical minerals bill by 369 to 38, Motta said the Chamber intended to lead a major debate on critical minerals and rare earths, ensuring exploitation with environmental respect, productivity and competitiveness.</t>
        </is>
      </c>
      <c r="U250" s="45" t="inlineStr"/>
      <c r="V250" s="45" t="inlineStr"/>
      <c r="W250" s="45" t="inlineStr">
        <is>
          <t>pt</t>
        </is>
      </c>
      <c r="X250" s="45" t="inlineStr">
        <is>
          <t>Agência iNFRA</t>
        </is>
      </c>
      <c r="Y250" s="45" t="inlineStr">
        <is>
          <t>https://agenciainfra.com/blog/camara-aprova-urgencia-para-politica-de-minerais-criticos/</t>
        </is>
      </c>
      <c r="Z250" s="45" t="inlineStr">
        <is>
          <t>news_media</t>
        </is>
      </c>
      <c r="AA250" s="45" t="inlineStr">
        <is>
          <t>secondary_reported</t>
        </is>
      </c>
      <c r="AB250" s="45" t="inlineStr">
        <is>
          <t>Quote seen only in translation</t>
        </is>
      </c>
      <c r="AC250" s="45" t="inlineStr">
        <is>
          <t>BRA</t>
        </is>
      </c>
    </row>
    <row r="251" ht="15" customHeight="1" s="24">
      <c r="A251" s="45" t="inlineStr">
        <is>
          <t>PS-0250</t>
        </is>
      </c>
      <c r="B251" s="45" t="inlineStr">
        <is>
          <t>2025-09-23</t>
        </is>
      </c>
      <c r="C251" s="45" t="inlineStr">
        <is>
          <t>2025</t>
        </is>
      </c>
      <c r="D251" s="45" t="inlineStr">
        <is>
          <t>PER</t>
        </is>
      </c>
      <c r="E251" s="45" t="inlineStr">
        <is>
          <t>Rohel Sánchez</t>
        </is>
      </c>
      <c r="F251" s="45" t="inlineStr">
        <is>
          <t>Regional Governor of Arequipa</t>
        </is>
      </c>
      <c r="G251" s="45" t="inlineStr">
        <is>
          <t>subnational_gov</t>
        </is>
      </c>
      <c r="H251" s="45" t="inlineStr">
        <is>
          <t>LatAm executive</t>
        </is>
      </c>
      <c r="I251" s="45" t="inlineStr">
        <is>
          <t>PER</t>
        </is>
      </c>
      <c r="J251" s="45" t="inlineStr"/>
      <c r="K251" s="45" t="inlineStr">
        <is>
          <t>interview</t>
        </is>
      </c>
      <c r="L251" s="45" t="inlineStr">
        <is>
          <t>Start of Tía María construction</t>
        </is>
      </c>
      <c r="M251" s="45" t="inlineStr">
        <is>
          <t>copper</t>
        </is>
      </c>
      <c r="N251" s="45" t="inlineStr">
        <is>
          <t>260300;740200;740311</t>
        </is>
      </c>
      <c r="O251" s="45" t="inlineStr">
        <is>
          <t>foreign_investment;royalties_taxation;labor_social_conflict</t>
        </is>
      </c>
      <c r="P251" s="45" t="inlineStr">
        <is>
          <t>none</t>
        </is>
      </c>
      <c r="Q251" s="45" t="inlineStr">
        <is>
          <t>not_mentioned</t>
        </is>
      </c>
      <c r="R251" s="45" t="inlineStr">
        <is>
          <t>not_mentioned</t>
        </is>
      </c>
      <c r="S251" s="45" t="inlineStr">
        <is>
          <t>Tía María; Southern Copper; Grupo México</t>
        </is>
      </c>
      <c r="T251" s="45" t="inlineStr">
        <is>
          <t>Sánchez said Southern had all authorizations to begin building Tía María in October 2025 and that the region would monitor the company's social commitments.</t>
        </is>
      </c>
      <c r="U251" s="45" t="inlineStr">
        <is>
          <t>ya están listos para operar. Es un tema de que fijen la fecha</t>
        </is>
      </c>
      <c r="V251" s="45" t="inlineStr">
        <is>
          <t>they are already ready to operate. It is a matter of setting the date</t>
        </is>
      </c>
      <c r="W251" s="45" t="inlineStr">
        <is>
          <t>es</t>
        </is>
      </c>
      <c r="X251" s="45" t="inlineStr">
        <is>
          <t>Forbes Perú</t>
        </is>
      </c>
      <c r="Y251" s="45" t="inlineStr">
        <is>
          <t>https://forbes.pe/economia-y-finanzas/2025-09-23/tia-maria-comenzara-construccion-en-octubre-segun-gobernador-de-arequipa/</t>
        </is>
      </c>
      <c r="Z251" s="45" t="inlineStr">
        <is>
          <t>news_media</t>
        </is>
      </c>
      <c r="AA251" s="45" t="inlineStr">
        <is>
          <t>secondary_reported</t>
        </is>
      </c>
      <c r="AB251" s="45" t="inlineStr"/>
      <c r="AC251" s="45" t="inlineStr">
        <is>
          <t>PER</t>
        </is>
      </c>
    </row>
    <row r="252" ht="15" customHeight="1" s="24">
      <c r="A252" s="45" t="inlineStr">
        <is>
          <t>PS-0251</t>
        </is>
      </c>
      <c r="B252" s="45" t="inlineStr">
        <is>
          <t>2025-09-27</t>
        </is>
      </c>
      <c r="C252" s="45" t="inlineStr">
        <is>
          <t>2025</t>
        </is>
      </c>
      <c r="D252" s="45" t="inlineStr">
        <is>
          <t>PER</t>
        </is>
      </c>
      <c r="E252" s="45" t="inlineStr">
        <is>
          <t>Jorge Montero</t>
        </is>
      </c>
      <c r="F252" s="45" t="inlineStr">
        <is>
          <t>Minister of Energy and Mines of Peru</t>
        </is>
      </c>
      <c r="G252" s="45" t="inlineStr">
        <is>
          <t>minister_cabinet</t>
        </is>
      </c>
      <c r="H252" s="45" t="inlineStr">
        <is>
          <t>LatAm executive</t>
        </is>
      </c>
      <c r="I252" s="45" t="inlineStr">
        <is>
          <t>PER</t>
        </is>
      </c>
      <c r="J252" s="45" t="inlineStr"/>
      <c r="K252" s="45" t="inlineStr">
        <is>
          <t>speech</t>
        </is>
      </c>
      <c r="L252" s="45" t="inlineStr">
        <is>
          <t>PERUMIN 37, Arequipa</t>
        </is>
      </c>
      <c r="M252" s="45" t="inlineStr">
        <is>
          <t>copper;lithium;mining_general</t>
        </is>
      </c>
      <c r="N252" s="45" t="inlineStr">
        <is>
          <t>253090;260300;282520;283691;740200;740311</t>
        </is>
      </c>
      <c r="O252" s="45" t="inlineStr">
        <is>
          <t>foreign_investment</t>
        </is>
      </c>
      <c r="P252" s="45" t="inlineStr">
        <is>
          <t>JPN</t>
        </is>
      </c>
      <c r="Q252" s="45" t="inlineStr">
        <is>
          <t>not_mentioned</t>
        </is>
      </c>
      <c r="R252" s="45" t="inlineStr">
        <is>
          <t>not_mentioned</t>
        </is>
      </c>
      <c r="S252" s="45" t="inlineStr">
        <is>
          <t>Mitsui; Sumitomo; Mitsubishi</t>
        </is>
      </c>
      <c r="T252" s="45" t="inlineStr">
        <is>
          <t>At PERUMIN, Montero said Peru will remain an enormous opportunity for global mining for 25-30 years thanks to its geology and legal framework, and reported meetings with Japanese investors Mitsui, Sumitomo and Mitsubishi.</t>
        </is>
      </c>
      <c r="U252" s="45" t="inlineStr">
        <is>
          <t>El Perú seguirá siendo, en los próximos 25 a 30 años, una oportunidad enorme para el desarrollo de la minería global</t>
        </is>
      </c>
      <c r="V252" s="45" t="inlineStr">
        <is>
          <t>Peru will remain, over the next 25 to 30 years, an enormous opportunity for the development of global mining</t>
        </is>
      </c>
      <c r="W252" s="45" t="inlineStr">
        <is>
          <t>es</t>
        </is>
      </c>
      <c r="X252" s="45" t="inlineStr">
        <is>
          <t>Energiminas</t>
        </is>
      </c>
      <c r="Y252" s="45" t="inlineStr">
        <is>
          <t>https://energiminas.com/2025/09/27/ministro-montero-el-peru-seguira-siendo-en-los-proximos-25-a-30-anos-una-oportunidad-enorme-para-el-desarrollo-de-la-mineria-global/</t>
        </is>
      </c>
      <c r="Z252" s="45" t="inlineStr">
        <is>
          <t>news_media</t>
        </is>
      </c>
      <c r="AA252" s="45" t="inlineStr">
        <is>
          <t>secondary_reported</t>
        </is>
      </c>
      <c r="AB252" s="45" t="inlineStr"/>
      <c r="AC252" s="45" t="inlineStr">
        <is>
          <t>PER</t>
        </is>
      </c>
    </row>
    <row r="253" ht="15" customHeight="1" s="24">
      <c r="A253" s="45" t="inlineStr">
        <is>
          <t>PS-0252</t>
        </is>
      </c>
      <c r="B253" s="45" t="inlineStr">
        <is>
          <t>2025-10-09</t>
        </is>
      </c>
      <c r="C253" s="45" t="inlineStr">
        <is>
          <t>2025</t>
        </is>
      </c>
      <c r="D253" s="45" t="inlineStr">
        <is>
          <t>ARG</t>
        </is>
      </c>
      <c r="E253" s="45" t="inlineStr">
        <is>
          <t>Scott Bessent</t>
        </is>
      </c>
      <c r="F253" s="45" t="inlineStr">
        <is>
          <t>U.S. Secretary of the Treasury</t>
        </is>
      </c>
      <c r="G253" s="45" t="inlineStr">
        <is>
          <t>us_central_gov</t>
        </is>
      </c>
      <c r="H253" s="45" t="inlineStr">
        <is>
          <t>United States</t>
        </is>
      </c>
      <c r="I253" s="45" t="inlineStr">
        <is>
          <t>USA</t>
        </is>
      </c>
      <c r="J253" s="45" t="inlineStr">
        <is>
          <t>Republican (Trump administration)</t>
        </is>
      </c>
      <c r="K253" s="45" t="inlineStr">
        <is>
          <t>interview</t>
        </is>
      </c>
      <c r="L253" s="45" t="inlineStr">
        <is>
          <t>Fox News interview defending US$20bn US-Argentina currency swap</t>
        </is>
      </c>
      <c r="M253" s="45" t="inlineStr">
        <is>
          <t>rare_earths;critical_minerals_general</t>
        </is>
      </c>
      <c r="N253" s="45" t="inlineStr">
        <is>
          <t>284690</t>
        </is>
      </c>
      <c r="O253" s="45" t="inlineStr">
        <is>
          <t>geopolitics_security;foreign_investment;financing_credit</t>
        </is>
      </c>
      <c r="P253" s="45" t="inlineStr">
        <is>
          <t>CHN;ARG</t>
        </is>
      </c>
      <c r="Q253" s="45" t="inlineStr">
        <is>
          <t>negative</t>
        </is>
      </c>
      <c r="R253" s="45" t="inlineStr">
        <is>
          <t>positive</t>
        </is>
      </c>
      <c r="S253" s="45" t="inlineStr">
        <is>
          <t>US Treasury-BCRA swap line</t>
        </is>
      </c>
      <c r="T253" s="45" t="inlineStr">
        <is>
          <t>Bessent said Milei was committed to getting China out of Argentina and that Argentina is rich in rare earths and uranium, with the government committed to the arrival and collaboration of private US companies.</t>
        </is>
      </c>
      <c r="U253" s="45" t="inlineStr"/>
      <c r="V253" s="45" t="inlineStr"/>
      <c r="W253" s="45" t="inlineStr">
        <is>
          <t>en</t>
        </is>
      </c>
      <c r="X253" s="45" t="inlineStr">
        <is>
          <t>Canal 26</t>
        </is>
      </c>
      <c r="Y253" s="45" t="inlineStr">
        <is>
          <t>https://www.canal26.com/politica/2025/10/10/scott-bessent-aseguro-que-javier-milei-esta-comprometido-con-sacar-a-china-de-argentina/</t>
        </is>
      </c>
      <c r="Z253" s="45" t="inlineStr">
        <is>
          <t>news_media</t>
        </is>
      </c>
      <c r="AA253" s="45" t="inlineStr">
        <is>
          <t>secondary_reported</t>
        </is>
      </c>
      <c r="AB253" s="45" t="inlineStr">
        <is>
          <t>Original remarks in English; source reports them only in Spanish translation, so quote fields left empty. Uranium also mentioned (not in vocabulary). China embassy rebuttal reported by Perfil.</t>
        </is>
      </c>
      <c r="AC253" s="45" t="inlineStr">
        <is>
          <t>USA_gov</t>
        </is>
      </c>
    </row>
    <row r="254" ht="15" customHeight="1" s="24">
      <c r="A254" s="45" t="inlineStr">
        <is>
          <t>PS-0253</t>
        </is>
      </c>
      <c r="B254" s="45" t="inlineStr">
        <is>
          <t>2025-10-16</t>
        </is>
      </c>
      <c r="C254" s="45" t="inlineStr">
        <is>
          <t>2025</t>
        </is>
      </c>
      <c r="D254" s="45" t="inlineStr">
        <is>
          <t>BRA</t>
        </is>
      </c>
      <c r="E254" s="45" t="inlineStr">
        <is>
          <t>Alexandre Silveira</t>
        </is>
      </c>
      <c r="F254" s="45" t="inlineStr">
        <is>
          <t>Minister of Mines and Energy of Brazil</t>
        </is>
      </c>
      <c r="G254" s="45" t="inlineStr">
        <is>
          <t>minister_cabinet</t>
        </is>
      </c>
      <c r="H254" s="45" t="inlineStr">
        <is>
          <t>LatAm executive</t>
        </is>
      </c>
      <c r="I254" s="45" t="inlineStr">
        <is>
          <t>BRA</t>
        </is>
      </c>
      <c r="J254" s="45" t="inlineStr">
        <is>
          <t>PSD</t>
        </is>
      </c>
      <c r="K254" s="45" t="inlineStr">
        <is>
          <t>speech</t>
        </is>
      </c>
      <c r="L254" s="45" t="inlineStr">
        <is>
          <t>Installation of the National Council of Mineral Policy (CNPM), Brasília, with Lula</t>
        </is>
      </c>
      <c r="M254" s="45" t="inlineStr">
        <is>
          <t>rare_earths;niobium;copper;critical_minerals_general</t>
        </is>
      </c>
      <c r="N254" s="45" t="inlineStr">
        <is>
          <t>260300;261590;284690;720293;740200;740311</t>
        </is>
      </c>
      <c r="O254" s="45" t="inlineStr">
        <is>
          <t>diplomatic_relations;foreign_investment;value_added_industrialization</t>
        </is>
      </c>
      <c r="P254" s="45" t="inlineStr">
        <is>
          <t>USA</t>
        </is>
      </c>
      <c r="Q254" s="45" t="inlineStr">
        <is>
          <t>not_mentioned</t>
        </is>
      </c>
      <c r="R254" s="45" t="inlineStr">
        <is>
          <t>positive</t>
        </is>
      </c>
      <c r="S254" s="45" t="inlineStr">
        <is>
          <t>CNPM</t>
        </is>
      </c>
      <c r="T254" s="45" t="inlineStr">
        <is>
          <t>At the installation of the mineral policy council, Silveira said Brazil's abundant rare earths, niobium and copper offered a great opportunity and a window for synergy with the US, ahead of his meeting with US Energy Secretary Chris Wright.</t>
        </is>
      </c>
      <c r="U254" s="45" t="inlineStr">
        <is>
          <t>Isso abre uma janela de oportunidade muito grande para que possamos construir uma sinergia com os Estados Unidos nessa área</t>
        </is>
      </c>
      <c r="V254" s="45" t="inlineStr">
        <is>
          <t>This opens a very large window of opportunity for us to build synergy with the United States in this area</t>
        </is>
      </c>
      <c r="W254" s="45" t="inlineStr">
        <is>
          <t>pt</t>
        </is>
      </c>
      <c r="X254" s="45" t="inlineStr">
        <is>
          <t>Jovem Pan</t>
        </is>
      </c>
      <c r="Y254" s="45" t="inlineStr">
        <is>
          <t>https://jovempan.com.br/politica/alexandre-silveira-destaca-potencial-de-parceria-com-eua-em-minerais-criticos/</t>
        </is>
      </c>
      <c r="Z254" s="45" t="inlineStr">
        <is>
          <t>news_media</t>
        </is>
      </c>
      <c r="AA254" s="45" t="inlineStr">
        <is>
          <t>secondary_reported</t>
        </is>
      </c>
      <c r="AB254" s="45" t="inlineStr">
        <is>
          <t>See also eixos 16 Oct 2025; council described as advising Lula on rare earths (Times Brasil)</t>
        </is>
      </c>
      <c r="AC254" s="45" t="inlineStr">
        <is>
          <t>BRA</t>
        </is>
      </c>
    </row>
    <row r="255" ht="15" customHeight="1" s="24">
      <c r="A255" s="45" t="inlineStr">
        <is>
          <t>PS-0254</t>
        </is>
      </c>
      <c r="B255" s="45" t="inlineStr">
        <is>
          <t>2025-10-23</t>
        </is>
      </c>
      <c r="C255" s="45" t="inlineStr">
        <is>
          <t>2025</t>
        </is>
      </c>
      <c r="D255" s="45" t="inlineStr">
        <is>
          <t>BRA</t>
        </is>
      </c>
      <c r="E255" s="45" t="inlineStr">
        <is>
          <t>Luiz Inácio Lula da Silva</t>
        </is>
      </c>
      <c r="F255" s="45" t="inlineStr">
        <is>
          <t>President of Brazil</t>
        </is>
      </c>
      <c r="G255" s="45" t="inlineStr">
        <is>
          <t>head_of_state</t>
        </is>
      </c>
      <c r="H255" s="45" t="inlineStr">
        <is>
          <t>LatAm executive</t>
        </is>
      </c>
      <c r="I255" s="45" t="inlineStr">
        <is>
          <t>BRA</t>
        </is>
      </c>
      <c r="J255" s="45" t="inlineStr">
        <is>
          <t>PT</t>
        </is>
      </c>
      <c r="K255" s="45" t="inlineStr">
        <is>
          <t>speech</t>
        </is>
      </c>
      <c r="L255" s="45" t="inlineStr">
        <is>
          <t>Brazil-Indonesia business forum, Jakarta</t>
        </is>
      </c>
      <c r="M255" s="45" t="inlineStr">
        <is>
          <t>critical_minerals_general</t>
        </is>
      </c>
      <c r="N255" s="45" t="inlineStr"/>
      <c r="O255" s="45" t="inlineStr">
        <is>
          <t>value_added_industrialization;processing_refining;foreign_investment</t>
        </is>
      </c>
      <c r="P255" s="45" t="inlineStr">
        <is>
          <t>other</t>
        </is>
      </c>
      <c r="Q255" s="45" t="inlineStr">
        <is>
          <t>not_mentioned</t>
        </is>
      </c>
      <c r="R255" s="45" t="inlineStr">
        <is>
          <t>not_mentioned</t>
        </is>
      </c>
      <c r="S255" s="45" t="inlineStr"/>
      <c r="T255" s="45" t="inlineStr">
        <is>
          <t>In Jakarta, Lula said Brazil already holds about 10% of world critical-mineral reserves with only 30% of its territory mapped, and that Brazil does not want to remain a mere commodity exporter but to add value domestically, citing Indonesia's downstream processing policy as an example.</t>
        </is>
      </c>
      <c r="U255" s="45" t="inlineStr">
        <is>
          <t>Não queremos reproduzir a condição de meros exportadores de commodities. Queremos agregar valor em nosso território</t>
        </is>
      </c>
      <c r="V255" s="45" t="inlineStr">
        <is>
          <t>We do not want to reproduce the condition of mere commodity exporters. We want to add value in our territory</t>
        </is>
      </c>
      <c r="W255" s="45" t="inlineStr">
        <is>
          <t>pt</t>
        </is>
      </c>
      <c r="X255" s="45" t="inlineStr">
        <is>
          <t>CNN Brasil</t>
        </is>
      </c>
      <c r="Y255" s="45" t="inlineStr">
        <is>
          <t>https://www.cnnbrasil.com.br/economia/macroeconomia/brasil-quer-processar-minerais-criticos-nao-exportar-commodity-diz-lula/</t>
        </is>
      </c>
      <c r="Z255" s="45" t="inlineStr">
        <is>
          <t>news_media</t>
        </is>
      </c>
      <c r="AA255" s="45" t="inlineStr">
        <is>
          <t>secondary_reported</t>
        </is>
      </c>
      <c r="AB255" s="45" t="inlineStr">
        <is>
          <t>counterpart 'other' = Indonesia; days before Lula-Trump meeting in Kuala Lumpur</t>
        </is>
      </c>
      <c r="AC255" s="45" t="inlineStr">
        <is>
          <t>BRA</t>
        </is>
      </c>
    </row>
    <row r="256" ht="15" customHeight="1" s="24">
      <c r="A256" s="45" t="inlineStr">
        <is>
          <t>PS-0255</t>
        </is>
      </c>
      <c r="B256" s="45" t="inlineStr">
        <is>
          <t>2025-11-07</t>
        </is>
      </c>
      <c r="C256" s="45" t="inlineStr">
        <is>
          <t>2025</t>
        </is>
      </c>
      <c r="D256" s="45" t="inlineStr">
        <is>
          <t>BOL</t>
        </is>
      </c>
      <c r="E256" s="45" t="inlineStr">
        <is>
          <t>José Luis Lupo</t>
        </is>
      </c>
      <c r="F256" s="45" t="inlineStr">
        <is>
          <t>Senior economic adviser to President-elect Rodrigo Paz</t>
        </is>
      </c>
      <c r="G256" s="45" t="inlineStr">
        <is>
          <t>other_executive</t>
        </is>
      </c>
      <c r="H256" s="45" t="inlineStr">
        <is>
          <t>LatAm executive</t>
        </is>
      </c>
      <c r="I256" s="45" t="inlineStr">
        <is>
          <t>BOL</t>
        </is>
      </c>
      <c r="J256" s="45" t="inlineStr">
        <is>
          <t>Partido Demócrata Cristiano (PDC)</t>
        </is>
      </c>
      <c r="K256" s="45" t="inlineStr">
        <is>
          <t>interview</t>
        </is>
      </c>
      <c r="L256" s="45" t="inlineStr">
        <is>
          <t>Bloomberg interview on transition lithium policy</t>
        </is>
      </c>
      <c r="M256" s="45" t="inlineStr">
        <is>
          <t>lithium</t>
        </is>
      </c>
      <c r="N256" s="45" t="inlineStr">
        <is>
          <t>253090;282520;283691</t>
        </is>
      </c>
      <c r="O256" s="45" t="inlineStr">
        <is>
          <t>corruption_governance;foreign_investment</t>
        </is>
      </c>
      <c r="P256" s="45" t="inlineStr">
        <is>
          <t>CHN;RUS</t>
        </is>
      </c>
      <c r="Q256" s="45" t="inlineStr">
        <is>
          <t>not_mentioned</t>
        </is>
      </c>
      <c r="R256" s="45" t="inlineStr">
        <is>
          <t>not_mentioned</t>
        </is>
      </c>
      <c r="S256" s="45" t="inlineStr">
        <is>
          <t>CATL; CBC; Uranium One Group; YLB</t>
        </is>
      </c>
      <c r="T256" s="45" t="inlineStr">
        <is>
          <t>Paz's economic adviser said the incoming government would review the CATL and Uranium One lithium contracts, keeping anything positive, but believed they had been negotiated behind the regions' backs.</t>
        </is>
      </c>
      <c r="U256" s="45" t="inlineStr">
        <is>
          <t>Si hubiera algo positivo que retomar, se va a retomar. Pero nosotros creemos que esos contratos de litio han sido hechos a espaldas de las regiones</t>
        </is>
      </c>
      <c r="V256" s="45" t="inlineStr">
        <is>
          <t>If there is something positive to take up, it will be taken up. But we believe those lithium contracts were made behind the regions' backs</t>
        </is>
      </c>
      <c r="W256" s="45" t="inlineStr">
        <is>
          <t>es</t>
        </is>
      </c>
      <c r="X256" s="45" t="inlineStr">
        <is>
          <t>Bloomberg Línea</t>
        </is>
      </c>
      <c r="Y256" s="45" t="inlineStr">
        <is>
          <t>https://www.bloomberglinea.com/latinoamerica/bolivia/el-nuevo-gobierno-de-bolivia-quiere-reescribir-las-reglas-del-litio-en-plena-crisis-economica/</t>
        </is>
      </c>
      <c r="Z256" s="45" t="inlineStr">
        <is>
          <t>news_media</t>
        </is>
      </c>
      <c r="AA256" s="45" t="inlineStr">
        <is>
          <t>secondary_reported</t>
        </is>
      </c>
      <c r="AB256" s="45" t="inlineStr">
        <is>
          <t>Pre-inauguration (Paz took office 8 Nov 2025).</t>
        </is>
      </c>
      <c r="AC256" s="45" t="inlineStr">
        <is>
          <t>BOL</t>
        </is>
      </c>
    </row>
    <row r="257" ht="15" customHeight="1" s="24">
      <c r="A257" s="45" t="inlineStr">
        <is>
          <t>PS-0256</t>
        </is>
      </c>
      <c r="B257" s="45" t="inlineStr">
        <is>
          <t>2025-11-07</t>
        </is>
      </c>
      <c r="C257" s="45" t="inlineStr">
        <is>
          <t>2025</t>
        </is>
      </c>
      <c r="D257" s="45" t="inlineStr">
        <is>
          <t>BOL</t>
        </is>
      </c>
      <c r="E257" s="45" t="inlineStr">
        <is>
          <t>Luis Arce</t>
        </is>
      </c>
      <c r="F257" s="45" t="inlineStr">
        <is>
          <t>President of Bolivia (outgoing)</t>
        </is>
      </c>
      <c r="G257" s="45" t="inlineStr">
        <is>
          <t>head_of_state</t>
        </is>
      </c>
      <c r="H257" s="45" t="inlineStr">
        <is>
          <t>LatAm executive</t>
        </is>
      </c>
      <c r="I257" s="45" t="inlineStr">
        <is>
          <t>BOL</t>
        </is>
      </c>
      <c r="J257" s="45" t="inlineStr">
        <is>
          <t>Movimiento al Socialismo (MAS)</t>
        </is>
      </c>
      <c r="K257" s="45" t="inlineStr">
        <is>
          <t>interview</t>
        </is>
      </c>
      <c r="L257" s="45" t="inlineStr">
        <is>
          <t>End of term; lithium contract future</t>
        </is>
      </c>
      <c r="M257" s="45" t="inlineStr">
        <is>
          <t>lithium</t>
        </is>
      </c>
      <c r="N257" s="45" t="inlineStr">
        <is>
          <t>253090;282520;283691</t>
        </is>
      </c>
      <c r="O257" s="45" t="inlineStr">
        <is>
          <t>foreign_investment;value_added_industrialization</t>
        </is>
      </c>
      <c r="P257" s="45" t="inlineStr">
        <is>
          <t>CHN;RUS</t>
        </is>
      </c>
      <c r="Q257" s="45" t="inlineStr">
        <is>
          <t>not_mentioned</t>
        </is>
      </c>
      <c r="R257" s="45" t="inlineStr">
        <is>
          <t>not_mentioned</t>
        </is>
      </c>
      <c r="S257" s="45" t="inlineStr">
        <is>
          <t>CATL; Uranium One Group; YLB</t>
        </is>
      </c>
      <c r="T257" s="45" t="inlineStr">
        <is>
          <t>Outgoing President Arce warned that restarting lithium policy from scratch would be very costly and Bolivia could miss the opportunity.</t>
        </is>
      </c>
      <c r="U257" s="45" t="inlineStr">
        <is>
          <t>Empezar de cero significaría un gran costo... Podemos perder el tren</t>
        </is>
      </c>
      <c r="V257" s="45" t="inlineStr">
        <is>
          <t>Starting from scratch would mean a great cost... We could miss the train</t>
        </is>
      </c>
      <c r="W257" s="45" t="inlineStr">
        <is>
          <t>es</t>
        </is>
      </c>
      <c r="X257" s="45" t="inlineStr">
        <is>
          <t>Bloomberg Línea</t>
        </is>
      </c>
      <c r="Y257" s="45" t="inlineStr">
        <is>
          <t>https://www.bloomberglinea.com/latinoamerica/bolivia/el-nuevo-gobierno-de-bolivia-quiere-reescribir-las-reglas-del-litio-en-plena-crisis-economica/</t>
        </is>
      </c>
      <c r="Z257" s="45" t="inlineStr">
        <is>
          <t>news_media</t>
        </is>
      </c>
      <c r="AA257" s="45" t="inlineStr">
        <is>
          <t>secondary_reported</t>
        </is>
      </c>
      <c r="AB257" s="45" t="inlineStr">
        <is>
          <t>Exact date of Arce's remark may predate article.</t>
        </is>
      </c>
      <c r="AC257" s="45" t="inlineStr">
        <is>
          <t>BOL</t>
        </is>
      </c>
    </row>
    <row r="258" ht="15" customHeight="1" s="24">
      <c r="A258" s="45" t="inlineStr">
        <is>
          <t>PS-0257</t>
        </is>
      </c>
      <c r="B258" s="45" t="inlineStr">
        <is>
          <t>2025-11-07</t>
        </is>
      </c>
      <c r="C258" s="45" t="inlineStr">
        <is>
          <t>2025</t>
        </is>
      </c>
      <c r="D258" s="45" t="inlineStr">
        <is>
          <t>BRA</t>
        </is>
      </c>
      <c r="E258" s="45" t="inlineStr">
        <is>
          <t>U.S. International Development Finance Corporation (DFC)</t>
        </is>
      </c>
      <c r="F258" s="45" t="inlineStr">
        <is>
          <t>US development finance agency</t>
        </is>
      </c>
      <c r="G258" s="45" t="inlineStr">
        <is>
          <t>us_central_gov</t>
        </is>
      </c>
      <c r="H258" s="45" t="inlineStr">
        <is>
          <t>United States</t>
        </is>
      </c>
      <c r="I258" s="45" t="inlineStr">
        <is>
          <t>USA</t>
        </is>
      </c>
      <c r="J258" s="45" t="inlineStr">
        <is>
          <t>Trump administration</t>
        </is>
      </c>
      <c r="K258" s="45" t="inlineStr">
        <is>
          <t>official_statement</t>
        </is>
      </c>
      <c r="L258" s="45" t="inlineStr">
        <is>
          <t>DFC financing for Serra Verde Pela Ema rare earth mine, Goiás</t>
        </is>
      </c>
      <c r="M258" s="45" t="inlineStr">
        <is>
          <t>rare_earths</t>
        </is>
      </c>
      <c r="N258" s="45" t="inlineStr">
        <is>
          <t>284690</t>
        </is>
      </c>
      <c r="O258" s="45" t="inlineStr">
        <is>
          <t>financing_credit;geopolitics_security;foreign_investment</t>
        </is>
      </c>
      <c r="P258" s="45" t="inlineStr">
        <is>
          <t>CHN</t>
        </is>
      </c>
      <c r="Q258" s="45" t="inlineStr">
        <is>
          <t>negative</t>
        </is>
      </c>
      <c r="R258" s="45" t="inlineStr">
        <is>
          <t>positive</t>
        </is>
      </c>
      <c r="S258" s="45" t="inlineStr">
        <is>
          <t>Serra Verde; Pela Ema mine</t>
        </is>
      </c>
      <c r="T258" s="45" t="inlineStr">
        <is>
          <t>DFC approved up to $465 million in financing for Serra Verde's rare earth mine in Goiás, part of Western efforts to reduce reliance on China for rare earths.</t>
        </is>
      </c>
      <c r="U258" s="45" t="inlineStr"/>
      <c r="V258" s="45" t="inlineStr"/>
      <c r="W258" s="45" t="inlineStr">
        <is>
          <t>en</t>
        </is>
      </c>
      <c r="X258" s="45" t="inlineStr">
        <is>
          <t>Bloomberg Government</t>
        </is>
      </c>
      <c r="Y258" s="45" t="inlineStr">
        <is>
          <t>https://news.bgov.com/environment-and-energy/us-backs-brazilian-rare-earth-project-with-465-million-funding</t>
        </is>
      </c>
      <c r="Z258" s="45" t="inlineStr">
        <is>
          <t>news_media</t>
        </is>
      </c>
      <c r="AA258" s="45" t="inlineStr">
        <is>
          <t>secondary_reported</t>
        </is>
      </c>
      <c r="AB258" s="45" t="inlineStr">
        <is>
          <t>Stance_china inferred from stated aim of diversifying from China</t>
        </is>
      </c>
      <c r="AC258" s="45" t="inlineStr">
        <is>
          <t>USA_gov</t>
        </is>
      </c>
    </row>
    <row r="259" ht="15" customHeight="1" s="24">
      <c r="A259" s="45" t="inlineStr">
        <is>
          <t>PS-0258</t>
        </is>
      </c>
      <c r="B259" s="45" t="inlineStr">
        <is>
          <t>2025-11-10</t>
        </is>
      </c>
      <c r="C259" s="45" t="inlineStr">
        <is>
          <t>2025</t>
        </is>
      </c>
      <c r="D259" s="45" t="inlineStr">
        <is>
          <t>CHL</t>
        </is>
      </c>
      <c r="E259" s="45" t="inlineStr">
        <is>
          <t>State Administration for Market Regulation (SAMR)</t>
        </is>
      </c>
      <c r="F259" s="45" t="inlineStr">
        <is>
          <t>PRC antitrust regulator</t>
        </is>
      </c>
      <c r="G259" s="45" t="inlineStr">
        <is>
          <t>china_central_gov</t>
        </is>
      </c>
      <c r="H259" s="45" t="inlineStr">
        <is>
          <t>China</t>
        </is>
      </c>
      <c r="I259" s="45" t="inlineStr">
        <is>
          <t>CHN</t>
        </is>
      </c>
      <c r="J259" s="45" t="inlineStr">
        <is>
          <t>CCP</t>
        </is>
      </c>
      <c r="K259" s="45" t="inlineStr">
        <is>
          <t>decree_or_regulation</t>
        </is>
      </c>
      <c r="L259" s="45" t="inlineStr">
        <is>
          <t>Conditional merger clearance of Codelco-SQM lithium joint venture</t>
        </is>
      </c>
      <c r="M259" s="45" t="inlineStr">
        <is>
          <t>lithium</t>
        </is>
      </c>
      <c r="N259" s="45" t="inlineStr">
        <is>
          <t>253090;282520;283691</t>
        </is>
      </c>
      <c r="O259" s="45" t="inlineStr">
        <is>
          <t>trade_deals_offtake;export_controls;geopolitics_security</t>
        </is>
      </c>
      <c r="P259" s="45" t="inlineStr">
        <is>
          <t>CHL</t>
        </is>
      </c>
      <c r="Q259" s="45" t="inlineStr">
        <is>
          <t>positive</t>
        </is>
      </c>
      <c r="R259" s="45" t="inlineStr">
        <is>
          <t>not_mentioned</t>
        </is>
      </c>
      <c r="S259" s="45" t="inlineStr">
        <is>
          <t>Codelco; SQM; NovaAndino Litio; Tianqi</t>
        </is>
      </c>
      <c r="T259" s="45" t="inlineStr">
        <is>
          <t>China's SAMR conditionally approved the Codelco-SQM lithium JV, requiring the parties to make best efforts to keep supplying lithium carbonate to Chinese customers and not refuse, restrict or delay supply.</t>
        </is>
      </c>
      <c r="U259" s="45" t="inlineStr">
        <is>
          <t>they should not turn down, restrict or delay supply to Chinese clients</t>
        </is>
      </c>
      <c r="V259" s="45" t="inlineStr">
        <is>
          <t>they should not turn down, restrict or delay supply to Chinese clients</t>
        </is>
      </c>
      <c r="W259" s="45" t="inlineStr">
        <is>
          <t>en</t>
        </is>
      </c>
      <c r="X259" s="45" t="inlineStr">
        <is>
          <t>Mining Weekly (Reuters)</t>
        </is>
      </c>
      <c r="Y259" s="45" t="inlineStr">
        <is>
          <t>https://www.miningweekly.com/article/china-grants-conditional-approval-for-codelco-sqm-lithium-joint-venture-2025-11-10</t>
        </is>
      </c>
      <c r="Z259" s="45" t="inlineStr">
        <is>
          <t>news_media</t>
        </is>
      </c>
      <c r="AA259" s="45" t="inlineStr">
        <is>
          <t>secondary_reported</t>
        </is>
      </c>
      <c r="AB259" s="45" t="inlineStr">
        <is>
          <t>Quote is English translation of SAMR condition as reported by Reuters</t>
        </is>
      </c>
      <c r="AC259" s="45" t="inlineStr">
        <is>
          <t>CHL</t>
        </is>
      </c>
    </row>
    <row r="260" ht="15" customHeight="1" s="24">
      <c r="A260" s="45" t="inlineStr">
        <is>
          <t>PS-0259</t>
        </is>
      </c>
      <c r="B260" s="45" t="inlineStr">
        <is>
          <t>2025-11-13</t>
        </is>
      </c>
      <c r="C260" s="45" t="inlineStr">
        <is>
          <t>2025</t>
        </is>
      </c>
      <c r="D260" s="45" t="inlineStr">
        <is>
          <t>ARG</t>
        </is>
      </c>
      <c r="E260" s="45" t="inlineStr">
        <is>
          <t>Governments of the United States and Argentina</t>
        </is>
      </c>
      <c r="F260" s="45" t="inlineStr">
        <is>
          <t>Joint statement (White House)</t>
        </is>
      </c>
      <c r="G260" s="45" t="inlineStr">
        <is>
          <t>us_central_gov</t>
        </is>
      </c>
      <c r="H260" s="45" t="inlineStr">
        <is>
          <t>United States</t>
        </is>
      </c>
      <c r="I260" s="45" t="inlineStr">
        <is>
          <t>USA</t>
        </is>
      </c>
      <c r="J260" s="45" t="inlineStr"/>
      <c r="K260" s="45" t="inlineStr">
        <is>
          <t>joint_declaration_or_mou</t>
        </is>
      </c>
      <c r="L260" s="45" t="inlineStr">
        <is>
          <t>Framework for US-Argentina Agreement on Reciprocal Trade and Investment</t>
        </is>
      </c>
      <c r="M260" s="45" t="inlineStr">
        <is>
          <t>critical_minerals_general</t>
        </is>
      </c>
      <c r="N260" s="45" t="inlineStr"/>
      <c r="O260" s="45" t="inlineStr">
        <is>
          <t>trade_deals_offtake;tariffs_trade_policy;export_controls;geopolitics_security</t>
        </is>
      </c>
      <c r="P260" s="45" t="inlineStr">
        <is>
          <t>USA</t>
        </is>
      </c>
      <c r="Q260" s="45" t="inlineStr">
        <is>
          <t>negative</t>
        </is>
      </c>
      <c r="R260" s="45" t="inlineStr">
        <is>
          <t>positive</t>
        </is>
      </c>
      <c r="S260" s="45" t="inlineStr"/>
      <c r="T260" s="45" t="inlineStr">
        <is>
          <t>The joint framework commits both countries to cooperate on investment and trade in critical minerals, Argentina to cooperate against non-market policies of other countries, and both to align approaches on export controls and investment security.</t>
        </is>
      </c>
      <c r="U260" s="45" t="inlineStr">
        <is>
          <t>Argentina and the United States will cooperate to facilitate investment and trade in critical minerals.</t>
        </is>
      </c>
      <c r="V260" s="45" t="inlineStr">
        <is>
          <t>Argentina and the United States will cooperate to facilitate investment and trade in critical minerals.</t>
        </is>
      </c>
      <c r="W260" s="45" t="inlineStr">
        <is>
          <t>en</t>
        </is>
      </c>
      <c r="X260" s="45" t="inlineStr">
        <is>
          <t>Compilation of Presidential Documents (govinfo)</t>
        </is>
      </c>
      <c r="Y260" s="45" t="inlineStr">
        <is>
          <t>https://www.govinfo.gov/content/pkg/DCPD-202501117/html/DCPD-202501117.htm</t>
        </is>
      </c>
      <c r="Z260" s="45" t="inlineStr">
        <is>
          <t>primary_official</t>
        </is>
      </c>
      <c r="AA260" s="45" t="inlineStr">
        <is>
          <t>primary_verified</t>
        </is>
      </c>
      <c r="AB260" s="45" t="inlineStr">
        <is>
          <t>China not named; 'non-market policies of other countries' widely read as China, coded negative implicitly.</t>
        </is>
      </c>
      <c r="AC260" s="45" t="inlineStr">
        <is>
          <t>ARG</t>
        </is>
      </c>
    </row>
    <row r="261" ht="15" customHeight="1" s="24">
      <c r="A261" s="45" t="inlineStr">
        <is>
          <t>PS-0260</t>
        </is>
      </c>
      <c r="B261" s="45" t="inlineStr">
        <is>
          <t>2025-11-13</t>
        </is>
      </c>
      <c r="C261" s="45" t="inlineStr">
        <is>
          <t>2025</t>
        </is>
      </c>
      <c r="D261" s="45" t="inlineStr">
        <is>
          <t>ARG</t>
        </is>
      </c>
      <c r="E261" s="45" t="inlineStr">
        <is>
          <t>Governments of the United States and Argentina (joint statement)</t>
        </is>
      </c>
      <c r="F261" s="45" t="inlineStr">
        <is>
          <t>White House / USTR joint statement with Argentina</t>
        </is>
      </c>
      <c r="G261" s="45" t="inlineStr">
        <is>
          <t>us_central_gov</t>
        </is>
      </c>
      <c r="H261" s="45" t="inlineStr">
        <is>
          <t>United States</t>
        </is>
      </c>
      <c r="I261" s="45" t="inlineStr">
        <is>
          <t>USA</t>
        </is>
      </c>
      <c r="J261" s="45" t="inlineStr">
        <is>
          <t>Trump administration</t>
        </is>
      </c>
      <c r="K261" s="45" t="inlineStr">
        <is>
          <t>joint_declaration_or_mou</t>
        </is>
      </c>
      <c r="L261" s="45" t="inlineStr">
        <is>
          <t>Framework for US-Argentina Agreement on Reciprocal Trade and Investment</t>
        </is>
      </c>
      <c r="M261" s="45" t="inlineStr">
        <is>
          <t>critical_minerals_general;lithium</t>
        </is>
      </c>
      <c r="N261" s="45" t="inlineStr">
        <is>
          <t>253090;282520;283691</t>
        </is>
      </c>
      <c r="O261" s="45" t="inlineStr">
        <is>
          <t>trade_deals_offtake;foreign_investment;tariffs_trade_policy</t>
        </is>
      </c>
      <c r="P261" s="45" t="inlineStr">
        <is>
          <t>ARG</t>
        </is>
      </c>
      <c r="Q261" s="45" t="inlineStr">
        <is>
          <t>not_mentioned</t>
        </is>
      </c>
      <c r="R261" s="45" t="inlineStr">
        <is>
          <t>positive</t>
        </is>
      </c>
      <c r="S261" s="45" t="inlineStr"/>
      <c r="T261" s="45" t="inlineStr">
        <is>
          <t>The reciprocal trade framework announced by the White House includes a commitment that Argentina and the US will cooperate to facilitate investment and trade in critical minerals, building on the August 2024 MoU.</t>
        </is>
      </c>
      <c r="U261" s="45" t="inlineStr">
        <is>
          <t>Argentina y Estados Unidos cooperarán para facilitar la inversión y el comercio de minerales críticos</t>
        </is>
      </c>
      <c r="V261" s="45" t="inlineStr">
        <is>
          <t>Argentina and the United States will cooperate to facilitate investment and trade in critical minerals</t>
        </is>
      </c>
      <c r="W261" s="45" t="inlineStr">
        <is>
          <t>es</t>
        </is>
      </c>
      <c r="X261" s="45" t="inlineStr">
        <is>
          <t>MDZ Online</t>
        </is>
      </c>
      <c r="Y261" s="45" t="inlineStr">
        <is>
          <t>https://www.mdzol.com/dinero/acuerdo-estados-unidos-se-facilitara-el-comercio-minerales-criticos-n1385355</t>
        </is>
      </c>
      <c r="Z261" s="45" t="inlineStr">
        <is>
          <t>news_media</t>
        </is>
      </c>
      <c r="AA261" s="45" t="inlineStr">
        <is>
          <t>secondary_reported</t>
        </is>
      </c>
      <c r="AB261" s="45" t="inlineStr">
        <is>
          <t>Quote is Spanish translation of the English joint statement; article dated 14 Nov 2025; WH fact sheet of 13 Nov 2025 does not mention minerals</t>
        </is>
      </c>
      <c r="AC261" s="45" t="inlineStr">
        <is>
          <t>USA_gov</t>
        </is>
      </c>
    </row>
    <row r="262" ht="15" customHeight="1" s="24">
      <c r="A262" s="45" t="inlineStr">
        <is>
          <t>PS-0261</t>
        </is>
      </c>
      <c r="B262" s="45" t="inlineStr">
        <is>
          <t>2025-11-18</t>
        </is>
      </c>
      <c r="C262" s="45" t="inlineStr">
        <is>
          <t>2025</t>
        </is>
      </c>
      <c r="D262" s="45" t="inlineStr">
        <is>
          <t>BOL</t>
        </is>
      </c>
      <c r="E262" s="45" t="inlineStr">
        <is>
          <t>Marco Antonio Calderón de la Barca</t>
        </is>
      </c>
      <c r="F262" s="45" t="inlineStr">
        <is>
          <t>Minister of Mining and Metallurgy</t>
        </is>
      </c>
      <c r="G262" s="45" t="inlineStr">
        <is>
          <t>minister_cabinet</t>
        </is>
      </c>
      <c r="H262" s="45" t="inlineStr">
        <is>
          <t>LatAm executive</t>
        </is>
      </c>
      <c r="I262" s="45" t="inlineStr">
        <is>
          <t>BOL</t>
        </is>
      </c>
      <c r="J262" s="45" t="inlineStr">
        <is>
          <t>Paz government</t>
        </is>
      </c>
      <c r="K262" s="45" t="inlineStr">
        <is>
          <t>official_statement</t>
        </is>
      </c>
      <c r="L262" s="45" t="inlineStr">
        <is>
          <t>New government mining agenda</t>
        </is>
      </c>
      <c r="M262" s="45" t="inlineStr">
        <is>
          <t>zinc;silver;tin;mining_general</t>
        </is>
      </c>
      <c r="N262" s="45" t="inlineStr">
        <is>
          <t>260800;261610;710691;800110</t>
        </is>
      </c>
      <c r="O262" s="45" t="inlineStr">
        <is>
          <t>foreign_investment;labor_social_conflict</t>
        </is>
      </c>
      <c r="P262" s="45" t="inlineStr">
        <is>
          <t>none</t>
        </is>
      </c>
      <c r="Q262" s="45" t="inlineStr">
        <is>
          <t>not_mentioned</t>
        </is>
      </c>
      <c r="R262" s="45" t="inlineStr">
        <is>
          <t>not_mentioned</t>
        </is>
      </c>
      <c r="S262" s="45" t="inlineStr"/>
      <c r="T262" s="45" t="inlineStr">
        <is>
          <t>The new mining minister said Bolivia must increase the number of mining operations, offer legal certainty for foreign investment, and formalize cooperatives, noting mining provides over half of export earnings.</t>
        </is>
      </c>
      <c r="U262" s="45" t="inlineStr">
        <is>
          <t>Tenemos que incrementar el número de operaciones mineras para que este aporte sea aún mayor</t>
        </is>
      </c>
      <c r="V262" s="45" t="inlineStr">
        <is>
          <t>We have to increase the number of mining operations so that this contribution is even greater</t>
        </is>
      </c>
      <c r="W262" s="45" t="inlineStr">
        <is>
          <t>es</t>
        </is>
      </c>
      <c r="X262" s="45" t="inlineStr">
        <is>
          <t>Reporte Minero</t>
        </is>
      </c>
      <c r="Y262" s="45" t="inlineStr">
        <is>
          <t>https://www.reporteminero.cl/noticia/noticias/2025/11/ministro-mineria-bolivia-marco-calderon-2025</t>
        </is>
      </c>
      <c r="Z262" s="45" t="inlineStr">
        <is>
          <t>news_media</t>
        </is>
      </c>
      <c r="AA262" s="45" t="inlineStr">
        <is>
          <t>secondary_reported</t>
        </is>
      </c>
      <c r="AB262" s="45" t="inlineStr"/>
      <c r="AC262" s="45" t="inlineStr">
        <is>
          <t>BOL</t>
        </is>
      </c>
    </row>
    <row r="263" ht="15" customHeight="1" s="24">
      <c r="A263" s="45" t="inlineStr">
        <is>
          <t>PS-0262</t>
        </is>
      </c>
      <c r="B263" s="45" t="inlineStr">
        <is>
          <t>2025-11-24</t>
        </is>
      </c>
      <c r="C263" s="45" t="inlineStr">
        <is>
          <t>2025</t>
        </is>
      </c>
      <c r="D263" s="45" t="inlineStr">
        <is>
          <t>PER</t>
        </is>
      </c>
      <c r="E263" s="45" t="inlineStr">
        <is>
          <t>José Jerí</t>
        </is>
      </c>
      <c r="F263" s="45" t="inlineStr">
        <is>
          <t>President of Peru (interim)</t>
        </is>
      </c>
      <c r="G263" s="45" t="inlineStr">
        <is>
          <t>head_of_state</t>
        </is>
      </c>
      <c r="H263" s="45" t="inlineStr">
        <is>
          <t>LatAm executive</t>
        </is>
      </c>
      <c r="I263" s="45" t="inlineStr">
        <is>
          <t>PER</t>
        </is>
      </c>
      <c r="J263" s="45" t="inlineStr">
        <is>
          <t>Somos Perú</t>
        </is>
      </c>
      <c r="K263" s="45" t="inlineStr">
        <is>
          <t>interview</t>
        </is>
      </c>
      <c r="L263" s="45" t="inlineStr">
        <is>
          <t>TV interview (El Valor de la Verdad) on REINFO extension</t>
        </is>
      </c>
      <c r="M263" s="45" t="inlineStr">
        <is>
          <t>mining_general</t>
        </is>
      </c>
      <c r="N263" s="45" t="inlineStr"/>
      <c r="O263" s="45" t="inlineStr">
        <is>
          <t>corruption_governance;labor_social_conflict</t>
        </is>
      </c>
      <c r="P263" s="45" t="inlineStr">
        <is>
          <t>none</t>
        </is>
      </c>
      <c r="Q263" s="45" t="inlineStr">
        <is>
          <t>not_mentioned</t>
        </is>
      </c>
      <c r="R263" s="45" t="inlineStr">
        <is>
          <t>not_mentioned</t>
        </is>
      </c>
      <c r="S263" s="45" t="inlineStr">
        <is>
          <t>REINFO</t>
        </is>
      </c>
      <c r="T263" s="45" t="inlineStr">
        <is>
          <t>Jerí said a one-year REINFO extension seemed reasonable rather than the two years proposed by Congress's commission, acknowledging families depend on informal mining and not wanting to leave a complicated situation to the next government.</t>
        </is>
      </c>
      <c r="U263" s="45" t="inlineStr">
        <is>
          <t>Un año me suena razonable</t>
        </is>
      </c>
      <c r="V263" s="45" t="inlineStr">
        <is>
          <t>One year sounds reasonable to me</t>
        </is>
      </c>
      <c r="W263" s="45" t="inlineStr">
        <is>
          <t>es</t>
        </is>
      </c>
      <c r="X263" s="45" t="inlineStr">
        <is>
          <t>Energiminas</t>
        </is>
      </c>
      <c r="Y263" s="45" t="inlineStr">
        <is>
          <t>https://energiminas.com/2025/11/24/un-ano-mas-me-parece-razonable-presidente-jeri-sobre-ampliacion-del-reinfo/</t>
        </is>
      </c>
      <c r="Z263" s="45" t="inlineStr">
        <is>
          <t>news_media</t>
        </is>
      </c>
      <c r="AA263" s="45" t="inlineStr">
        <is>
          <t>secondary_reported</t>
        </is>
      </c>
      <c r="AB263" s="45" t="inlineStr"/>
      <c r="AC263" s="45" t="inlineStr">
        <is>
          <t>PER</t>
        </is>
      </c>
    </row>
    <row r="264" ht="15" customHeight="1" s="24">
      <c r="A264" s="45" t="inlineStr">
        <is>
          <t>PS-0263</t>
        </is>
      </c>
      <c r="B264" s="45" t="inlineStr">
        <is>
          <t>2025-12</t>
        </is>
      </c>
      <c r="C264" s="45" t="inlineStr">
        <is>
          <t>2025</t>
        </is>
      </c>
      <c r="D264" s="45" t="inlineStr">
        <is>
          <t>REG</t>
        </is>
      </c>
      <c r="E264" s="45" t="inlineStr">
        <is>
          <t>The White House (Trump administration)</t>
        </is>
      </c>
      <c r="F264" s="45" t="inlineStr">
        <is>
          <t>National Security Strategy of the United States</t>
        </is>
      </c>
      <c r="G264" s="45" t="inlineStr">
        <is>
          <t>us_central_gov</t>
        </is>
      </c>
      <c r="H264" s="45" t="inlineStr">
        <is>
          <t>United States</t>
        </is>
      </c>
      <c r="I264" s="45" t="inlineStr">
        <is>
          <t>USA</t>
        </is>
      </c>
      <c r="J264" s="45" t="inlineStr">
        <is>
          <t>Republican</t>
        </is>
      </c>
      <c r="K264" s="45" t="inlineStr">
        <is>
          <t>report</t>
        </is>
      </c>
      <c r="L264" s="45" t="inlineStr">
        <is>
          <t>2025 National Security Strategy, 'Trump Corollary' to the Monroe Doctrine</t>
        </is>
      </c>
      <c r="M264" s="45" t="inlineStr">
        <is>
          <t>critical_minerals_general</t>
        </is>
      </c>
      <c r="N264" s="45" t="inlineStr"/>
      <c r="O264" s="45" t="inlineStr">
        <is>
          <t>geopolitics_security;foreign_investment;sovereignty</t>
        </is>
      </c>
      <c r="P264" s="45" t="inlineStr">
        <is>
          <t>none</t>
        </is>
      </c>
      <c r="Q264" s="45" t="inlineStr">
        <is>
          <t>negative</t>
        </is>
      </c>
      <c r="R264" s="45" t="inlineStr">
        <is>
          <t>positive</t>
        </is>
      </c>
      <c r="S264" s="45" t="inlineStr"/>
      <c r="T264" s="45" t="inlineStr">
        <is>
          <t>The NSS says the Western Hemisphere holds strategic resources the US should develop with regional allies, orders an interagency process to identify strategic points and resources for protection and joint development, and pledges to deny non-Hemispheric competitors ownership or control of strategically vital assets.</t>
        </is>
      </c>
      <c r="U264" s="45" t="inlineStr">
        <is>
          <t>The Western Hemisphere is home to many strategic resources that America should partner with regional allies to develop</t>
        </is>
      </c>
      <c r="V264" s="45" t="inlineStr">
        <is>
          <t>The Western Hemisphere is home to many strategic resources that America should partner with regional allies to develop</t>
        </is>
      </c>
      <c r="W264" s="45" t="inlineStr">
        <is>
          <t>en</t>
        </is>
      </c>
      <c r="X264" s="45" t="inlineStr">
        <is>
          <t>The White House</t>
        </is>
      </c>
      <c r="Y264" s="45" t="inlineStr">
        <is>
          <t>https://www.whitehouse.gov/wp-content/uploads/2025/12/2025-National-Security-Strategy.pdf</t>
        </is>
      </c>
      <c r="Z264" s="45" t="inlineStr">
        <is>
          <t>primary_official</t>
        </is>
      </c>
      <c r="AA264" s="45" t="inlineStr">
        <is>
          <t>primary_verified</t>
        </is>
      </c>
      <c r="AB264" s="45" t="inlineStr">
        <is>
          <t>Document dated November 2025, published early December 2025; China implied as 'non-Hemispheric competitor' (stance inferred)</t>
        </is>
      </c>
      <c r="AC264" s="45" t="inlineStr">
        <is>
          <t>USA_gov</t>
        </is>
      </c>
    </row>
    <row r="265" ht="15" customHeight="1" s="24">
      <c r="A265" s="45" t="inlineStr">
        <is>
          <t>PS-0264</t>
        </is>
      </c>
      <c r="B265" s="45" t="inlineStr">
        <is>
          <t>2025-12-04</t>
        </is>
      </c>
      <c r="C265" s="45" t="inlineStr">
        <is>
          <t>2025</t>
        </is>
      </c>
      <c r="D265" s="45" t="inlineStr">
        <is>
          <t>PER</t>
        </is>
      </c>
      <c r="E265" s="45" t="inlineStr">
        <is>
          <t>Congress of the Republic of Peru</t>
        </is>
      </c>
      <c r="F265" s="45" t="inlineStr">
        <is>
          <t>Plenary of Congress</t>
        </is>
      </c>
      <c r="G265" s="45" t="inlineStr">
        <is>
          <t>legislature_body</t>
        </is>
      </c>
      <c r="H265" s="45" t="inlineStr">
        <is>
          <t>LatAm legislature</t>
        </is>
      </c>
      <c r="I265" s="45" t="inlineStr">
        <is>
          <t>PER</t>
        </is>
      </c>
      <c r="J265" s="45" t="inlineStr"/>
      <c r="K265" s="45" t="inlineStr">
        <is>
          <t>legislative_debate</t>
        </is>
      </c>
      <c r="L265" s="45" t="inlineStr">
        <is>
          <t>First vote extending REINFO to 31 Dec 2026</t>
        </is>
      </c>
      <c r="M265" s="45" t="inlineStr">
        <is>
          <t>mining_general</t>
        </is>
      </c>
      <c r="N265" s="45" t="inlineStr"/>
      <c r="O265" s="45" t="inlineStr">
        <is>
          <t>corruption_governance;labor_social_conflict</t>
        </is>
      </c>
      <c r="P265" s="45" t="inlineStr">
        <is>
          <t>none</t>
        </is>
      </c>
      <c r="Q265" s="45" t="inlineStr">
        <is>
          <t>not_mentioned</t>
        </is>
      </c>
      <c r="R265" s="45" t="inlineStr">
        <is>
          <t>not_mentioned</t>
        </is>
      </c>
      <c r="S265" s="45" t="inlineStr">
        <is>
          <t>REINFO</t>
        </is>
      </c>
      <c r="T265" s="45" t="inlineStr">
        <is>
          <t>The plenary voted 60-36-8 to extend REINFO until 31 December 2026 or until a new small-scale and artisanal mining law takes effect, while rejecting provisions to suspend exclusions; the second vote was set for the Permanent Commission on 17 December.</t>
        </is>
      </c>
      <c r="U265" s="45" t="inlineStr"/>
      <c r="V265" s="45" t="inlineStr"/>
      <c r="W265" s="45" t="inlineStr">
        <is>
          <t>es</t>
        </is>
      </c>
      <c r="X265" s="45" t="inlineStr">
        <is>
          <t>El Búho</t>
        </is>
      </c>
      <c r="Y265" s="45" t="inlineStr">
        <is>
          <t>https://elbuho.pe/2025/12/congreso-aprueban-ampliacion-del-reinfo-hasta-el-31-de-diciembre-de-2026/</t>
        </is>
      </c>
      <c r="Z265" s="45" t="inlineStr">
        <is>
          <t>news_media</t>
        </is>
      </c>
      <c r="AA265" s="45" t="inlineStr">
        <is>
          <t>secondary_reported</t>
        </is>
      </c>
      <c r="AB265" s="45" t="inlineStr"/>
      <c r="AC265" s="45" t="inlineStr">
        <is>
          <t>PER</t>
        </is>
      </c>
    </row>
    <row r="266" ht="15" customHeight="1" s="24">
      <c r="A266" s="45" t="inlineStr">
        <is>
          <t>PS-0265</t>
        </is>
      </c>
      <c r="B266" s="45" t="inlineStr">
        <is>
          <t>2025-12-08</t>
        </is>
      </c>
      <c r="C266" s="45" t="inlineStr">
        <is>
          <t>2025</t>
        </is>
      </c>
      <c r="D266" s="45" t="inlineStr">
        <is>
          <t>BOL</t>
        </is>
      </c>
      <c r="E266" s="45" t="inlineStr">
        <is>
          <t>Rodrigo Paz</t>
        </is>
      </c>
      <c r="F266" s="45" t="inlineStr">
        <is>
          <t>President of Bolivia</t>
        </is>
      </c>
      <c r="G266" s="45" t="inlineStr">
        <is>
          <t>head_of_state</t>
        </is>
      </c>
      <c r="H266" s="45" t="inlineStr">
        <is>
          <t>LatAm executive</t>
        </is>
      </c>
      <c r="I266" s="45" t="inlineStr">
        <is>
          <t>BOL</t>
        </is>
      </c>
      <c r="J266" s="45" t="inlineStr">
        <is>
          <t>Partido Demócrata Cristiano (PDC)</t>
        </is>
      </c>
      <c r="K266" s="45" t="inlineStr">
        <is>
          <t>speech</t>
        </is>
      </c>
      <c r="L266" s="45" t="inlineStr">
        <is>
          <t>Lithium policy amid US-China competition</t>
        </is>
      </c>
      <c r="M266" s="45" t="inlineStr">
        <is>
          <t>lithium</t>
        </is>
      </c>
      <c r="N266" s="45" t="inlineStr">
        <is>
          <t>253090;282520;283691</t>
        </is>
      </c>
      <c r="O266" s="45" t="inlineStr">
        <is>
          <t>value_added_industrialization;royalties_taxation</t>
        </is>
      </c>
      <c r="P266" s="45" t="inlineStr">
        <is>
          <t>none</t>
        </is>
      </c>
      <c r="Q266" s="45" t="inlineStr">
        <is>
          <t>not_mentioned</t>
        </is>
      </c>
      <c r="R266" s="45" t="inlineStr">
        <is>
          <t>not_mentioned</t>
        </is>
      </c>
      <c r="S266" s="45" t="inlineStr"/>
      <c r="T266" s="45" t="inlineStr">
        <is>
          <t>Paz said lithium is not a project in itself but a leverage base so that Bolivia's nine departments have capacity, proposing that the state manage 50% of mining resources.</t>
        </is>
      </c>
      <c r="U266" s="45" t="inlineStr">
        <is>
          <t>El litio no es un proyecto en sí mismo, sino que es una base de apalancamiento para que los nueve departamentos tengan la capacidad</t>
        </is>
      </c>
      <c r="V266" s="45" t="inlineStr">
        <is>
          <t>Lithium is not a project in itself, but a leverage base so that the nine departments have the capacity</t>
        </is>
      </c>
      <c r="W266" s="45" t="inlineStr">
        <is>
          <t>es</t>
        </is>
      </c>
      <c r="X266" s="45" t="inlineStr">
        <is>
          <t>Los Tiempos</t>
        </is>
      </c>
      <c r="Y266" s="45" t="inlineStr">
        <is>
          <t>https://www.lostiempos.com/actualidad/economia/20251208/china-eeuu-pugnan-triangulo-del-litio-del-que-forma-parte-bolivia</t>
        </is>
      </c>
      <c r="Z266" s="45" t="inlineStr">
        <is>
          <t>news_media</t>
        </is>
      </c>
      <c r="AA266" s="45" t="inlineStr">
        <is>
          <t>secondary_reported</t>
        </is>
      </c>
      <c r="AB266" s="45" t="inlineStr">
        <is>
          <t>Date is article date; date of Paz's remark may be earlier.</t>
        </is>
      </c>
      <c r="AC266" s="45" t="inlineStr">
        <is>
          <t>BOL</t>
        </is>
      </c>
    </row>
    <row r="267" ht="15" customHeight="1" s="24">
      <c r="A267" s="45" t="inlineStr">
        <is>
          <t>PS-0266</t>
        </is>
      </c>
      <c r="B267" s="45" t="inlineStr">
        <is>
          <t>2025-12-09</t>
        </is>
      </c>
      <c r="C267" s="45" t="inlineStr">
        <is>
          <t>2025</t>
        </is>
      </c>
      <c r="D267" s="45" t="inlineStr">
        <is>
          <t>BRA</t>
        </is>
      </c>
      <c r="E267" s="45" t="inlineStr">
        <is>
          <t>Comissão de Assuntos Econômicos (CAE), Senado Federal</t>
        </is>
      </c>
      <c r="F267" s="45" t="inlineStr">
        <is>
          <t>Senate Economic Affairs Committee</t>
        </is>
      </c>
      <c r="G267" s="45" t="inlineStr">
        <is>
          <t>legislature_body</t>
        </is>
      </c>
      <c r="H267" s="45" t="inlineStr">
        <is>
          <t>LatAm legislature</t>
        </is>
      </c>
      <c r="I267" s="45" t="inlineStr">
        <is>
          <t>BRA</t>
        </is>
      </c>
      <c r="J267" s="45" t="inlineStr"/>
      <c r="K267" s="45" t="inlineStr">
        <is>
          <t>legislative_debate</t>
        </is>
      </c>
      <c r="L267" s="45" t="inlineStr">
        <is>
          <t>CAE vote on PL 4443/2025 (Senate critical minerals bill)</t>
        </is>
      </c>
      <c r="M267" s="45" t="inlineStr">
        <is>
          <t>critical_minerals_general</t>
        </is>
      </c>
      <c r="N267" s="45" t="inlineStr"/>
      <c r="O267" s="45" t="inlineStr">
        <is>
          <t>value_added_industrialization</t>
        </is>
      </c>
      <c r="P267" s="45" t="inlineStr">
        <is>
          <t>none</t>
        </is>
      </c>
      <c r="Q267" s="45" t="inlineStr">
        <is>
          <t>not_mentioned</t>
        </is>
      </c>
      <c r="R267" s="45" t="inlineStr">
        <is>
          <t>not_mentioned</t>
        </is>
      </c>
      <c r="S267" s="45" t="inlineStr">
        <is>
          <t>PL 4443/2025; PL 2780/2024</t>
        </is>
      </c>
      <c r="T267" s="45" t="inlineStr">
        <is>
          <t>The Senate Economic Affairs Committee approved Senator Esperidião Amin's report on an alternative critical minerals bill (PL 4443/2025), sending it to the Infrastructure Committee, while the Chamber's PL 2780/2024 vote was postponed to 2026.</t>
        </is>
      </c>
      <c r="U267" s="45" t="inlineStr"/>
      <c r="V267" s="45" t="inlineStr"/>
      <c r="W267" s="45" t="inlineStr">
        <is>
          <t>pt</t>
        </is>
      </c>
      <c r="X267" s="45" t="inlineStr">
        <is>
          <t>Agência iNFRA</t>
        </is>
      </c>
      <c r="Y267" s="45" t="inlineStr">
        <is>
          <t>https://agenciainfra.com/blog/?p=33602</t>
        </is>
      </c>
      <c r="Z267" s="45" t="inlineStr">
        <is>
          <t>news_media</t>
        </is>
      </c>
      <c r="AA267" s="45" t="inlineStr">
        <is>
          <t>secondary_reported</t>
        </is>
      </c>
      <c r="AB267" s="45" t="inlineStr">
        <is>
          <t>Same article quotes Jardim: 'Como ficou lotado de pautas, vai ficar para fevereiro'</t>
        </is>
      </c>
      <c r="AC267" s="45" t="inlineStr">
        <is>
          <t>BRA</t>
        </is>
      </c>
    </row>
    <row r="268" ht="15" customHeight="1" s="24">
      <c r="A268" s="45" t="inlineStr">
        <is>
          <t>PS-0267</t>
        </is>
      </c>
      <c r="B268" s="45" t="inlineStr">
        <is>
          <t>2025-12-10</t>
        </is>
      </c>
      <c r="C268" s="45" t="inlineStr">
        <is>
          <t>2025</t>
        </is>
      </c>
      <c r="D268" s="45" t="inlineStr">
        <is>
          <t>REG</t>
        </is>
      </c>
      <c r="E268" s="45" t="inlineStr">
        <is>
          <t>Government of the People's Republic of China</t>
        </is>
      </c>
      <c r="F268" s="45" t="inlineStr">
        <is>
          <t>Central government (policy paper issued via Xinhua)</t>
        </is>
      </c>
      <c r="G268" s="45" t="inlineStr">
        <is>
          <t>china_central_gov</t>
        </is>
      </c>
      <c r="H268" s="45" t="inlineStr">
        <is>
          <t>China</t>
        </is>
      </c>
      <c r="I268" s="45" t="inlineStr">
        <is>
          <t>CHN</t>
        </is>
      </c>
      <c r="J268" s="45" t="inlineStr">
        <is>
          <t>CCP</t>
        </is>
      </c>
      <c r="K268" s="45" t="inlineStr">
        <is>
          <t>report</t>
        </is>
      </c>
      <c r="L268" s="45" t="inlineStr">
        <is>
          <t>Third China's Policy Paper on Latin America and the Caribbean</t>
        </is>
      </c>
      <c r="M268" s="45" t="inlineStr">
        <is>
          <t>mining_general;critical_minerals_general</t>
        </is>
      </c>
      <c r="N268" s="45" t="inlineStr"/>
      <c r="O268" s="45" t="inlineStr">
        <is>
          <t>energy_transition;environment_water;trade_deals_offtake;foreign_investment;diplomatic_relations</t>
        </is>
      </c>
      <c r="P268" s="45" t="inlineStr">
        <is>
          <t>none</t>
        </is>
      </c>
      <c r="Q268" s="45" t="inlineStr">
        <is>
          <t>positive</t>
        </is>
      </c>
      <c r="R268" s="45" t="inlineStr">
        <is>
          <t>not_mentioned</t>
        </is>
      </c>
      <c r="S268" s="45" t="inlineStr"/>
      <c r="T268" s="45" t="inlineStr">
        <is>
          <t>China's third policy paper on LAC, under its energy and resources cooperation section, pledges full-industrial-chain energy cooperation and green development and use of mineral resources across all stages. It also proposes mechanisms for long-term supply of energy and resource products with local-currency pricing and settlement.</t>
        </is>
      </c>
      <c r="U268" s="45" t="inlineStr">
        <is>
          <t>加强矿产资源各环节绿色开发利用</t>
        </is>
      </c>
      <c r="V268" s="45" t="inlineStr">
        <is>
          <t>Strengthen the green development and utilization of mineral resources across all links</t>
        </is>
      </c>
      <c r="W268" s="45" t="inlineStr">
        <is>
          <t>zh</t>
        </is>
      </c>
      <c r="X268" s="45" t="inlineStr">
        <is>
          <t>Xinhua (news.cn)</t>
        </is>
      </c>
      <c r="Y268" s="45" t="inlineStr">
        <is>
          <t>https://www.news.cn/world/20251210/b545159c29b8403b9abe934f261f57b6/c.html</t>
        </is>
      </c>
      <c r="Z268" s="45" t="inlineStr">
        <is>
          <t>primary_official</t>
        </is>
      </c>
      <c r="AA268" s="45" t="inlineStr">
        <is>
          <t>primary_verified</t>
        </is>
      </c>
      <c r="AB268" s="45" t="inlineStr">
        <is>
          <t>Section (五) 能源资源合作; full text published by Xinhua; English version referenced at english.www.gov.cn content_WS693962c3c6d00ca5f9a08069</t>
        </is>
      </c>
      <c r="AC268" s="45" t="inlineStr">
        <is>
          <t>CHN_gov</t>
        </is>
      </c>
    </row>
    <row r="269" ht="15" customHeight="1" s="24">
      <c r="A269" s="45" t="inlineStr">
        <is>
          <t>PS-0268</t>
        </is>
      </c>
      <c r="B269" s="45" t="inlineStr">
        <is>
          <t>2025-12-11</t>
        </is>
      </c>
      <c r="C269" s="45" t="inlineStr">
        <is>
          <t>2025</t>
        </is>
      </c>
      <c r="D269" s="45" t="inlineStr">
        <is>
          <t>ECU</t>
        </is>
      </c>
      <c r="E269" s="45" t="inlineStr">
        <is>
          <t>Javier Subía</t>
        </is>
      </c>
      <c r="F269" s="45" t="inlineStr">
        <is>
          <t>Vice Minister of Mines of Ecuador</t>
        </is>
      </c>
      <c r="G269" s="45" t="inlineStr">
        <is>
          <t>other_executive</t>
        </is>
      </c>
      <c r="H269" s="45" t="inlineStr">
        <is>
          <t>LatAm executive</t>
        </is>
      </c>
      <c r="I269" s="45" t="inlineStr">
        <is>
          <t>ECU</t>
        </is>
      </c>
      <c r="J269" s="45" t="inlineStr">
        <is>
          <t>Noboa government</t>
        </is>
      </c>
      <c r="K269" s="45" t="inlineStr">
        <is>
          <t>interview</t>
        </is>
      </c>
      <c r="L269" s="45" t="inlineStr">
        <is>
          <t>Mining cadastre reopening plans</t>
        </is>
      </c>
      <c r="M269" s="45" t="inlineStr">
        <is>
          <t>copper;silver;mining_general</t>
        </is>
      </c>
      <c r="N269" s="45" t="inlineStr">
        <is>
          <t>260300;261610;710691;740200;740311</t>
        </is>
      </c>
      <c r="O269" s="45" t="inlineStr">
        <is>
          <t>foreign_investment;corruption_governance</t>
        </is>
      </c>
      <c r="P269" s="45" t="inlineStr">
        <is>
          <t>none</t>
        </is>
      </c>
      <c r="Q269" s="45" t="inlineStr">
        <is>
          <t>not_mentioned</t>
        </is>
      </c>
      <c r="R269" s="45" t="inlineStr">
        <is>
          <t>not_mentioned</t>
        </is>
      </c>
      <c r="S269" s="45" t="inlineStr">
        <is>
          <t>Loma Larga; ARCOM</t>
        </is>
      </c>
      <c r="T269" s="45" t="inlineStr">
        <is>
          <t>The vice minister said the cadastre for medium and large metallic mining would reopen in 2026 after eight years closed, calling 2026 the big year for large-scale metal mining, and said Loma Larga remained suspended.</t>
        </is>
      </c>
      <c r="U269" s="45" t="inlineStr"/>
      <c r="V269" s="45" t="inlineStr"/>
      <c r="W269" s="45" t="inlineStr">
        <is>
          <t>es</t>
        </is>
      </c>
      <c r="X269" s="45" t="inlineStr">
        <is>
          <t>Primicias</t>
        </is>
      </c>
      <c r="Y269" s="45" t="inlineStr">
        <is>
          <t>https://www.primicias.ec/economia/2026-minas-oro-plata-cobre-mineria-catastro-ecuador-111611/</t>
        </is>
      </c>
      <c r="Z269" s="45" t="inlineStr">
        <is>
          <t>news_media</t>
        </is>
      </c>
      <c r="AA269" s="45" t="inlineStr">
        <is>
          <t>secondary_reported</t>
        </is>
      </c>
      <c r="AB269" s="45" t="inlineStr">
        <is>
          <t>Spanish wording not captured; paraphrased.</t>
        </is>
      </c>
      <c r="AC269" s="45" t="inlineStr">
        <is>
          <t>COL_ECU_PAN</t>
        </is>
      </c>
    </row>
    <row r="270" ht="15" customHeight="1" s="24">
      <c r="A270" s="45" t="inlineStr">
        <is>
          <t>PS-0269</t>
        </is>
      </c>
      <c r="B270" s="45" t="inlineStr">
        <is>
          <t>2025-12-11</t>
        </is>
      </c>
      <c r="C270" s="45" t="inlineStr">
        <is>
          <t>2025</t>
        </is>
      </c>
      <c r="D270" s="45" t="inlineStr">
        <is>
          <t>PER</t>
        </is>
      </c>
      <c r="E270" s="45" t="inlineStr">
        <is>
          <t>Hugo de Zela</t>
        </is>
      </c>
      <c r="F270" s="45" t="inlineStr">
        <is>
          <t>Minister of Foreign Affairs of Peru</t>
        </is>
      </c>
      <c r="G270" s="45" t="inlineStr">
        <is>
          <t>minister_cabinet</t>
        </is>
      </c>
      <c r="H270" s="45" t="inlineStr">
        <is>
          <t>LatAm executive</t>
        </is>
      </c>
      <c r="I270" s="45" t="inlineStr">
        <is>
          <t>PER</t>
        </is>
      </c>
      <c r="J270" s="45" t="inlineStr"/>
      <c r="K270" s="45" t="inlineStr">
        <is>
          <t>press_conference</t>
        </is>
      </c>
      <c r="L270" s="45" t="inlineStr">
        <is>
          <t>Evaluation of critical minerals MoU with the US</t>
        </is>
      </c>
      <c r="M270" s="45" t="inlineStr">
        <is>
          <t>copper;critical_minerals_general</t>
        </is>
      </c>
      <c r="N270" s="45" t="inlineStr">
        <is>
          <t>260300;740200;740311</t>
        </is>
      </c>
      <c r="O270" s="45" t="inlineStr">
        <is>
          <t>trade_deals_offtake;diplomatic_relations</t>
        </is>
      </c>
      <c r="P270" s="45" t="inlineStr">
        <is>
          <t>USA</t>
        </is>
      </c>
      <c r="Q270" s="45" t="inlineStr">
        <is>
          <t>not_mentioned</t>
        </is>
      </c>
      <c r="R270" s="45" t="inlineStr">
        <is>
          <t>positive</t>
        </is>
      </c>
      <c r="S270" s="45" t="inlineStr"/>
      <c r="T270" s="45" t="inlineStr">
        <is>
          <t>De Zela said Peru was evaluating a memorandum of understanding with the United States on critical minerals, noting Washington's strong interest given Peru's status as the third-largest copper producer.</t>
        </is>
      </c>
      <c r="U270" s="45" t="inlineStr">
        <is>
          <t>Peru is evaluating a memorandum of understanding with the United States on critical minerals</t>
        </is>
      </c>
      <c r="V270" s="45" t="inlineStr">
        <is>
          <t>Peru is evaluating a memorandum of understanding with the United States on critical minerals</t>
        </is>
      </c>
      <c r="W270" s="45" t="inlineStr">
        <is>
          <t>en</t>
        </is>
      </c>
      <c r="X270" s="45" t="inlineStr">
        <is>
          <t>Mining Reporters</t>
        </is>
      </c>
      <c r="Y270" s="45" t="inlineStr">
        <is>
          <t>https://www.miningreporters.com/noticia/news/2025/12/peru-weighs-agreement-us-critical-minerals-hugo-de-zela</t>
        </is>
      </c>
      <c r="Z270" s="45" t="inlineStr">
        <is>
          <t>news_media</t>
        </is>
      </c>
      <c r="AA270" s="45" t="inlineStr">
        <is>
          <t>secondary_reported</t>
        </is>
      </c>
      <c r="AB270" s="45" t="inlineStr">
        <is>
          <t>English translation of Spanish remarks</t>
        </is>
      </c>
      <c r="AC270" s="45" t="inlineStr">
        <is>
          <t>PER</t>
        </is>
      </c>
    </row>
    <row r="271" ht="15" customHeight="1" s="24">
      <c r="A271" s="45" t="inlineStr">
        <is>
          <t>PS-0270</t>
        </is>
      </c>
      <c r="B271" s="45" t="inlineStr">
        <is>
          <t>2025-12-17</t>
        </is>
      </c>
      <c r="C271" s="45" t="inlineStr">
        <is>
          <t>2025</t>
        </is>
      </c>
      <c r="D271" s="45" t="inlineStr">
        <is>
          <t>COL</t>
        </is>
      </c>
      <c r="E271" s="45" t="inlineStr">
        <is>
          <t>Edwin Palma</t>
        </is>
      </c>
      <c r="F271" s="45" t="inlineStr">
        <is>
          <t>Minister of Mines and Energy of Colombia</t>
        </is>
      </c>
      <c r="G271" s="45" t="inlineStr">
        <is>
          <t>minister_cabinet</t>
        </is>
      </c>
      <c r="H271" s="45" t="inlineStr">
        <is>
          <t>LatAm executive</t>
        </is>
      </c>
      <c r="I271" s="45" t="inlineStr">
        <is>
          <t>COL</t>
        </is>
      </c>
      <c r="J271" s="45" t="inlineStr">
        <is>
          <t>Petro government</t>
        </is>
      </c>
      <c r="K271" s="45" t="inlineStr">
        <is>
          <t>official_statement</t>
        </is>
      </c>
      <c r="L271" s="45" t="inlineStr">
        <is>
          <t>Launch of mining round of 14 Strategic Mining Areas</t>
        </is>
      </c>
      <c r="M271" s="45" t="inlineStr">
        <is>
          <t>copper;mining_general</t>
        </is>
      </c>
      <c r="N271" s="45" t="inlineStr">
        <is>
          <t>260300;740200;740311</t>
        </is>
      </c>
      <c r="O271" s="45" t="inlineStr">
        <is>
          <t>energy_transition;foreign_investment;value_added_industrialization</t>
        </is>
      </c>
      <c r="P271" s="45" t="inlineStr">
        <is>
          <t>none</t>
        </is>
      </c>
      <c r="Q271" s="45" t="inlineStr">
        <is>
          <t>not_mentioned</t>
        </is>
      </c>
      <c r="R271" s="45" t="inlineStr">
        <is>
          <t>not_mentioned</t>
        </is>
      </c>
      <c r="S271" s="45" t="inlineStr">
        <is>
          <t>ANM; Áreas Estratégicas Mineras</t>
        </is>
      </c>
      <c r="T271" s="45" t="inlineStr">
        <is>
          <t>The minister opened a new mining round offering 14 Strategic Mining Areas with copper, gold and polymetallic potential, presented as supporting the energy transition and reindustrialization.</t>
        </is>
      </c>
      <c r="U271" s="45" t="inlineStr">
        <is>
          <t>Estas 14 Áreas Estratégicas Mineras son territorios libres, categorizados y con alto potencial mineral, que ya cuentan con certificaciones ambientales</t>
        </is>
      </c>
      <c r="V271" s="45" t="inlineStr">
        <is>
          <t>These 14 Strategic Mining Areas are free, categorized territories with high mineral potential that already have environmental certifications</t>
        </is>
      </c>
      <c r="W271" s="45" t="inlineStr">
        <is>
          <t>es</t>
        </is>
      </c>
      <c r="X271" s="45" t="inlineStr">
        <is>
          <t>Portafolio</t>
        </is>
      </c>
      <c r="Y271" s="45" t="inlineStr">
        <is>
          <t>https://www.portafolio.co/energia/fue-abierta-una-nueva-ronda-minera-con-14-areas-estrategicas-para-impulsar-la-transicion-energetica-484836</t>
        </is>
      </c>
      <c r="Z271" s="45" t="inlineStr">
        <is>
          <t>news_media</t>
        </is>
      </c>
      <c r="AA271" s="45" t="inlineStr">
        <is>
          <t>secondary_reported</t>
        </is>
      </c>
      <c r="AB271" s="45" t="inlineStr"/>
      <c r="AC271" s="45" t="inlineStr">
        <is>
          <t>COL_ECU_PAN</t>
        </is>
      </c>
    </row>
    <row r="272" ht="15" customHeight="1" s="24">
      <c r="A272" s="45" t="inlineStr">
        <is>
          <t>PS-0271</t>
        </is>
      </c>
      <c r="B272" s="45" t="inlineStr">
        <is>
          <t>2026-01-16</t>
        </is>
      </c>
      <c r="C272" s="45" t="inlineStr">
        <is>
          <t>2026</t>
        </is>
      </c>
      <c r="D272" s="45" t="inlineStr">
        <is>
          <t>BOL</t>
        </is>
      </c>
      <c r="E272" s="45" t="inlineStr">
        <is>
          <t>Mauricio Medinaceli</t>
        </is>
      </c>
      <c r="F272" s="45" t="inlineStr">
        <is>
          <t>Minister of Hydrocarbons and Energy</t>
        </is>
      </c>
      <c r="G272" s="45" t="inlineStr">
        <is>
          <t>minister_cabinet</t>
        </is>
      </c>
      <c r="H272" s="45" t="inlineStr">
        <is>
          <t>LatAm executive</t>
        </is>
      </c>
      <c r="I272" s="45" t="inlineStr">
        <is>
          <t>BOL</t>
        </is>
      </c>
      <c r="J272" s="45" t="inlineStr">
        <is>
          <t>Paz government</t>
        </is>
      </c>
      <c r="K272" s="45" t="inlineStr">
        <is>
          <t>official_statement</t>
        </is>
      </c>
      <c r="L272" s="45" t="inlineStr">
        <is>
          <t>Investment certainty for energy and lithium</t>
        </is>
      </c>
      <c r="M272" s="45" t="inlineStr">
        <is>
          <t>lithium</t>
        </is>
      </c>
      <c r="N272" s="45" t="inlineStr">
        <is>
          <t>253090;282520;283691</t>
        </is>
      </c>
      <c r="O272" s="45" t="inlineStr">
        <is>
          <t>foreign_investment;corruption_governance</t>
        </is>
      </c>
      <c r="P272" s="45" t="inlineStr">
        <is>
          <t>CHN;RUS</t>
        </is>
      </c>
      <c r="Q272" s="45" t="inlineStr">
        <is>
          <t>neutral</t>
        </is>
      </c>
      <c r="R272" s="45" t="inlineStr">
        <is>
          <t>not_mentioned</t>
        </is>
      </c>
      <c r="S272" s="45" t="inlineStr"/>
      <c r="T272" s="45" t="inlineStr">
        <is>
          <t>Medinaceli said the government would honor existing agreements, including those with China- and Russia-linked firms, to give predictability to investors, while pledging more contract transparency and independent resource certification.</t>
        </is>
      </c>
      <c r="U272" s="45" t="inlineStr">
        <is>
          <t>previsibilidad a quienes ya invirtieron</t>
        </is>
      </c>
      <c r="V272" s="45" t="inlineStr">
        <is>
          <t>predictability to those who have already invested</t>
        </is>
      </c>
      <c r="W272" s="45" t="inlineStr">
        <is>
          <t>es</t>
        </is>
      </c>
      <c r="X272" s="45" t="inlineStr">
        <is>
          <t>Reporte Minero</t>
        </is>
      </c>
      <c r="Y272" s="45" t="inlineStr">
        <is>
          <t>https://www.reporteminero.cl/noticia/noticias/2026/01/bolivia-respetara-contratos-litio-hidrocarburos-transparencia-inversion</t>
        </is>
      </c>
      <c r="Z272" s="45" t="inlineStr">
        <is>
          <t>news_media</t>
        </is>
      </c>
      <c r="AA272" s="45" t="inlineStr">
        <is>
          <t>secondary_reported</t>
        </is>
      </c>
      <c r="AB272" s="45" t="inlineStr"/>
      <c r="AC272" s="45" t="inlineStr">
        <is>
          <t>BOL</t>
        </is>
      </c>
    </row>
    <row r="273" ht="15" customHeight="1" s="24">
      <c r="A273" s="45" t="inlineStr">
        <is>
          <t>PS-0272</t>
        </is>
      </c>
      <c r="B273" s="45" t="inlineStr">
        <is>
          <t>2026-01-21</t>
        </is>
      </c>
      <c r="C273" s="45" t="inlineStr">
        <is>
          <t>2026</t>
        </is>
      </c>
      <c r="D273" s="45" t="inlineStr">
        <is>
          <t>BRA</t>
        </is>
      </c>
      <c r="E273" s="45" t="inlineStr">
        <is>
          <t>Ministério de Minas e Energia (Ana Paula Bittencourt)</t>
        </is>
      </c>
      <c r="F273" s="45" t="inlineStr">
        <is>
          <t>Ministry of Mines and Energy; National Secretary of Geology, Mining and Mineral Transformation</t>
        </is>
      </c>
      <c r="G273" s="45" t="inlineStr">
        <is>
          <t>other_executive</t>
        </is>
      </c>
      <c r="H273" s="45" t="inlineStr">
        <is>
          <t>LatAm executive</t>
        </is>
      </c>
      <c r="I273" s="45" t="inlineStr">
        <is>
          <t>BRA</t>
        </is>
      </c>
      <c r="J273" s="45" t="inlineStr"/>
      <c r="K273" s="45" t="inlineStr">
        <is>
          <t>official_statement</t>
        </is>
      </c>
      <c r="L273" s="45" t="inlineStr">
        <is>
          <t>Launch of studies for a National Rare Earths Strategy</t>
        </is>
      </c>
      <c r="M273" s="45" t="inlineStr">
        <is>
          <t>rare_earths</t>
        </is>
      </c>
      <c r="N273" s="45" t="inlineStr">
        <is>
          <t>284690</t>
        </is>
      </c>
      <c r="O273" s="45" t="inlineStr">
        <is>
          <t>value_added_industrialization;processing_refining;energy_transition</t>
        </is>
      </c>
      <c r="P273" s="45" t="inlineStr">
        <is>
          <t>none</t>
        </is>
      </c>
      <c r="Q273" s="45" t="inlineStr">
        <is>
          <t>not_mentioned</t>
        </is>
      </c>
      <c r="R273" s="45" t="inlineStr">
        <is>
          <t>not_mentioned</t>
        </is>
      </c>
      <c r="S273" s="45" t="inlineStr"/>
      <c r="T273" s="45" t="inlineStr">
        <is>
          <t>The MME began technical studies to formulate a National Rare Earths Strategy with guidelines, targets and instruments for exploration, processing and use, linked to industrial and energy transition policy.</t>
        </is>
      </c>
      <c r="U273" s="45" t="inlineStr">
        <is>
          <t>Queremos avançar da produção primária para a transformação mineral, capturando mais valor</t>
        </is>
      </c>
      <c r="V273" s="45" t="inlineStr">
        <is>
          <t>We want to move from primary production to mineral transformation, capturing more value</t>
        </is>
      </c>
      <c r="W273" s="45" t="inlineStr">
        <is>
          <t>pt</t>
        </is>
      </c>
      <c r="X273" s="45" t="inlineStr">
        <is>
          <t>eixos</t>
        </is>
      </c>
      <c r="Y273" s="45" t="inlineStr">
        <is>
          <t>https://eixos.com.br/transicao-energetica/mme-inicia-estudo-para-estruturar-estrategia-nacional-de-terras-raras/</t>
        </is>
      </c>
      <c r="Z273" s="45" t="inlineStr">
        <is>
          <t>news_media</t>
        </is>
      </c>
      <c r="AA273" s="45" t="inlineStr">
        <is>
          <t>secondary_reported</t>
        </is>
      </c>
      <c r="AB273" s="45" t="inlineStr"/>
      <c r="AC273" s="45" t="inlineStr">
        <is>
          <t>BRA</t>
        </is>
      </c>
    </row>
    <row r="274" ht="15" customHeight="1" s="24">
      <c r="A274" s="45" t="inlineStr">
        <is>
          <t>PS-0273</t>
        </is>
      </c>
      <c r="B274" s="45" t="inlineStr">
        <is>
          <t>2026-01-26</t>
        </is>
      </c>
      <c r="C274" s="45" t="inlineStr">
        <is>
          <t>2026</t>
        </is>
      </c>
      <c r="D274" s="45" t="inlineStr">
        <is>
          <t>BOL</t>
        </is>
      </c>
      <c r="E274" s="45" t="inlineStr">
        <is>
          <t>José Gabriel Espinoza</t>
        </is>
      </c>
      <c r="F274" s="45" t="inlineStr">
        <is>
          <t>Minister of Economy and Public Finance</t>
        </is>
      </c>
      <c r="G274" s="45" t="inlineStr">
        <is>
          <t>minister_cabinet</t>
        </is>
      </c>
      <c r="H274" s="45" t="inlineStr">
        <is>
          <t>LatAm executive</t>
        </is>
      </c>
      <c r="I274" s="45" t="inlineStr">
        <is>
          <t>BOL</t>
        </is>
      </c>
      <c r="J274" s="45" t="inlineStr">
        <is>
          <t>Paz government</t>
        </is>
      </c>
      <c r="K274" s="45" t="inlineStr">
        <is>
          <t>interview</t>
        </is>
      </c>
      <c r="L274" s="45" t="inlineStr">
        <is>
          <t>New lithium law design</t>
        </is>
      </c>
      <c r="M274" s="45" t="inlineStr">
        <is>
          <t>lithium</t>
        </is>
      </c>
      <c r="N274" s="45" t="inlineStr">
        <is>
          <t>253090;282520;283691</t>
        </is>
      </c>
      <c r="O274" s="45" t="inlineStr">
        <is>
          <t>foreign_investment;state_control_nationalization</t>
        </is>
      </c>
      <c r="P274" s="45" t="inlineStr">
        <is>
          <t>none</t>
        </is>
      </c>
      <c r="Q274" s="45" t="inlineStr">
        <is>
          <t>not_mentioned</t>
        </is>
      </c>
      <c r="R274" s="45" t="inlineStr">
        <is>
          <t>not_mentioned</t>
        </is>
      </c>
      <c r="S274" s="45" t="inlineStr"/>
      <c r="T274" s="45" t="inlineStr">
        <is>
          <t>Espinoza said Bolivia could adopt an intermediate model for lithium with state participation but a large opening to private investment.</t>
        </is>
      </c>
      <c r="U274" s="45" t="inlineStr">
        <is>
          <t>podemos jugar en un escenario intermedio</t>
        </is>
      </c>
      <c r="V274" s="45" t="inlineStr">
        <is>
          <t>we can play in an intermediate scenario</t>
        </is>
      </c>
      <c r="W274" s="45" t="inlineStr">
        <is>
          <t>es</t>
        </is>
      </c>
      <c r="X274" s="45" t="inlineStr">
        <is>
          <t>Bloomberg Línea</t>
        </is>
      </c>
      <c r="Y274" s="45" t="inlineStr">
        <is>
          <t>https://www.bloomberglinea.com/latinoamerica/bolivia/bolivia-impulsaria-nueva-ley-de-litio-con-reglas-claras-y-participacion-de-inversion-privada/</t>
        </is>
      </c>
      <c r="Z274" s="45" t="inlineStr">
        <is>
          <t>news_media</t>
        </is>
      </c>
      <c r="AA274" s="45" t="inlineStr">
        <is>
          <t>secondary_reported</t>
        </is>
      </c>
      <c r="AB274" s="45" t="inlineStr"/>
      <c r="AC274" s="45" t="inlineStr">
        <is>
          <t>BOL</t>
        </is>
      </c>
    </row>
    <row r="275" ht="15" customHeight="1" s="24">
      <c r="A275" s="45" t="inlineStr">
        <is>
          <t>PS-0274</t>
        </is>
      </c>
      <c r="B275" s="45" t="inlineStr">
        <is>
          <t>2026-01-26</t>
        </is>
      </c>
      <c r="C275" s="45" t="inlineStr">
        <is>
          <t>2026</t>
        </is>
      </c>
      <c r="D275" s="45" t="inlineStr">
        <is>
          <t>BOL</t>
        </is>
      </c>
      <c r="E275" s="45" t="inlineStr">
        <is>
          <t>Rodrigo Paz</t>
        </is>
      </c>
      <c r="F275" s="45" t="inlineStr">
        <is>
          <t>President of Bolivia</t>
        </is>
      </c>
      <c r="G275" s="45" t="inlineStr">
        <is>
          <t>head_of_state</t>
        </is>
      </c>
      <c r="H275" s="45" t="inlineStr">
        <is>
          <t>LatAm executive</t>
        </is>
      </c>
      <c r="I275" s="45" t="inlineStr">
        <is>
          <t>BOL</t>
        </is>
      </c>
      <c r="J275" s="45" t="inlineStr">
        <is>
          <t>Partido Demócrata Cristiano (PDC)</t>
        </is>
      </c>
      <c r="K275" s="45" t="inlineStr">
        <is>
          <t>speech</t>
        </is>
      </c>
      <c r="L275" s="45" t="inlineStr">
        <is>
          <t>Event in Potosí; announcement of new lithium law</t>
        </is>
      </c>
      <c r="M275" s="45" t="inlineStr">
        <is>
          <t>lithium</t>
        </is>
      </c>
      <c r="N275" s="45" t="inlineStr">
        <is>
          <t>253090;282520;283691</t>
        </is>
      </c>
      <c r="O275" s="45" t="inlineStr">
        <is>
          <t>foreign_investment;corruption_governance</t>
        </is>
      </c>
      <c r="P275" s="45" t="inlineStr">
        <is>
          <t>none</t>
        </is>
      </c>
      <c r="Q275" s="45" t="inlineStr">
        <is>
          <t>not_mentioned</t>
        </is>
      </c>
      <c r="R275" s="45" t="inlineStr">
        <is>
          <t>not_mentioned</t>
        </is>
      </c>
      <c r="S275" s="45" t="inlineStr">
        <is>
          <t>YLB; Salar de Uyuni</t>
        </is>
      </c>
      <c r="T275" s="45" t="inlineStr">
        <is>
          <t>Paz said Bolivia needs a new evaporites (lithium) law with clear rules to attract investment, and criticized the Arce government's lithium contracts that 'nobody knows'.</t>
        </is>
      </c>
      <c r="U275" s="45" t="inlineStr">
        <is>
          <t>Tenemos que desarrollar una nueva ley de evaporíticos, o sea del litio</t>
        </is>
      </c>
      <c r="V275" s="45" t="inlineStr">
        <is>
          <t>We have to develop a new law on evaporites, that is, on lithium</t>
        </is>
      </c>
      <c r="W275" s="45" t="inlineStr">
        <is>
          <t>es</t>
        </is>
      </c>
      <c r="X275" s="45" t="inlineStr">
        <is>
          <t>Bloomberg Línea</t>
        </is>
      </c>
      <c r="Y275" s="45" t="inlineStr">
        <is>
          <t>https://www.bloomberglinea.com/latinoamerica/bolivia/bolivia-impulsaria-nueva-ley-de-litio-con-reglas-claras-y-participacion-de-inversion-privada/</t>
        </is>
      </c>
      <c r="Z275" s="45" t="inlineStr">
        <is>
          <t>news_media</t>
        </is>
      </c>
      <c r="AA275" s="45" t="inlineStr">
        <is>
          <t>secondary_reported</t>
        </is>
      </c>
      <c r="AB275" s="45" t="inlineStr">
        <is>
          <t>Also Correo del Sur 27 Jan 2026: https://correodelsur.com/economia/20260127/paz-bolivia-necesita-nueva-ley-del-litio.html</t>
        </is>
      </c>
      <c r="AC275" s="45" t="inlineStr">
        <is>
          <t>BOL</t>
        </is>
      </c>
    </row>
    <row r="276" ht="15" customHeight="1" s="24">
      <c r="A276" s="45" t="inlineStr">
        <is>
          <t>PS-0275</t>
        </is>
      </c>
      <c r="B276" s="45" t="inlineStr">
        <is>
          <t>2026-01-28</t>
        </is>
      </c>
      <c r="C276" s="45" t="inlineStr">
        <is>
          <t>2026</t>
        </is>
      </c>
      <c r="D276" s="45" t="inlineStr">
        <is>
          <t>BOL</t>
        </is>
      </c>
      <c r="E276" s="45" t="inlineStr">
        <is>
          <t>José Gabriel Espinoza</t>
        </is>
      </c>
      <c r="F276" s="45" t="inlineStr">
        <is>
          <t>Minister of Economy and Public Finance</t>
        </is>
      </c>
      <c r="G276" s="45" t="inlineStr">
        <is>
          <t>minister_cabinet</t>
        </is>
      </c>
      <c r="H276" s="45" t="inlineStr">
        <is>
          <t>LatAm executive</t>
        </is>
      </c>
      <c r="I276" s="45" t="inlineStr">
        <is>
          <t>BOL</t>
        </is>
      </c>
      <c r="J276" s="45" t="inlineStr">
        <is>
          <t>Paz government</t>
        </is>
      </c>
      <c r="K276" s="45" t="inlineStr">
        <is>
          <t>interview</t>
        </is>
      </c>
      <c r="L276" s="45" t="inlineStr">
        <is>
          <t>Review of Arce-era lithium contracts</t>
        </is>
      </c>
      <c r="M276" s="45" t="inlineStr">
        <is>
          <t>lithium</t>
        </is>
      </c>
      <c r="N276" s="45" t="inlineStr">
        <is>
          <t>253090;282520;283691</t>
        </is>
      </c>
      <c r="O276" s="45" t="inlineStr">
        <is>
          <t>corruption_governance;foreign_investment</t>
        </is>
      </c>
      <c r="P276" s="45" t="inlineStr">
        <is>
          <t>CHN;RUS</t>
        </is>
      </c>
      <c r="Q276" s="45" t="inlineStr">
        <is>
          <t>not_mentioned</t>
        </is>
      </c>
      <c r="R276" s="45" t="inlineStr">
        <is>
          <t>not_mentioned</t>
        </is>
      </c>
      <c r="S276" s="45" t="inlineStr">
        <is>
          <t>CBC; Uranium One Group; YLB</t>
        </is>
      </c>
      <c r="T276" s="45" t="inlineStr">
        <is>
          <t>Espinoza said the government was evaluating the CBC and Uranium One contracts and would break them if irregularities or economic damage were found, while minding Bolivia's international credibility.</t>
        </is>
      </c>
      <c r="U276" s="45" t="inlineStr">
        <is>
          <t>Si se hallan irregularidades o daño económico...se romperán los contratos</t>
        </is>
      </c>
      <c r="V276" s="45" t="inlineStr">
        <is>
          <t>If irregularities or economic damage are found... the contracts will be broken</t>
        </is>
      </c>
      <c r="W276" s="45" t="inlineStr">
        <is>
          <t>es</t>
        </is>
      </c>
      <c r="X276" s="45" t="inlineStr">
        <is>
          <t>Correo del Sur</t>
        </is>
      </c>
      <c r="Y276" s="45" t="inlineStr">
        <is>
          <t>https://correodelsur.com/economia/20260128/litio-evaluan-contratos-y-no-descartan-anularlos.html</t>
        </is>
      </c>
      <c r="Z276" s="45" t="inlineStr">
        <is>
          <t>news_media</t>
        </is>
      </c>
      <c r="AA276" s="45" t="inlineStr">
        <is>
          <t>secondary_reported</t>
        </is>
      </c>
      <c r="AB276" s="45" t="inlineStr"/>
      <c r="AC276" s="45" t="inlineStr">
        <is>
          <t>BOL</t>
        </is>
      </c>
    </row>
    <row r="277" ht="15" customHeight="1" s="24">
      <c r="A277" s="45" t="inlineStr">
        <is>
          <t>PS-0276</t>
        </is>
      </c>
      <c r="B277" s="45" t="inlineStr">
        <is>
          <t>2026-01-29</t>
        </is>
      </c>
      <c r="C277" s="45" t="inlineStr">
        <is>
          <t>2026</t>
        </is>
      </c>
      <c r="D277" s="45" t="inlineStr">
        <is>
          <t>MEX</t>
        </is>
      </c>
      <c r="E277" s="45" t="inlineStr">
        <is>
          <t>Claudia Sheinbaum</t>
        </is>
      </c>
      <c r="F277" s="45" t="inlineStr">
        <is>
          <t>President of Mexico</t>
        </is>
      </c>
      <c r="G277" s="45" t="inlineStr">
        <is>
          <t>head_of_state</t>
        </is>
      </c>
      <c r="H277" s="45" t="inlineStr">
        <is>
          <t>LatAm executive</t>
        </is>
      </c>
      <c r="I277" s="45" t="inlineStr">
        <is>
          <t>MEX</t>
        </is>
      </c>
      <c r="J277" s="45" t="inlineStr">
        <is>
          <t>Morena</t>
        </is>
      </c>
      <c r="K277" s="45" t="inlineStr">
        <is>
          <t>press_conference</t>
        </is>
      </c>
      <c r="L277" s="45" t="inlineStr">
        <is>
          <t>Mañanera after call with US on USMCA review and critical minerals</t>
        </is>
      </c>
      <c r="M277" s="45" t="inlineStr">
        <is>
          <t>critical_minerals_general</t>
        </is>
      </c>
      <c r="N277" s="45" t="inlineStr"/>
      <c r="O277" s="45" t="inlineStr">
        <is>
          <t>trade_deals_offtake;diplomatic_relations</t>
        </is>
      </c>
      <c r="P277" s="45" t="inlineStr">
        <is>
          <t>USA</t>
        </is>
      </c>
      <c r="Q277" s="45" t="inlineStr">
        <is>
          <t>not_mentioned</t>
        </is>
      </c>
      <c r="R277" s="45" t="inlineStr">
        <is>
          <t>neutral</t>
        </is>
      </c>
      <c r="S277" s="45" t="inlineStr">
        <is>
          <t>USMCA</t>
        </is>
      </c>
      <c r="T277" s="45" t="inlineStr">
        <is>
          <t>Sheinbaum said critical minerals were being discussed in multilateral settings rather than in her bilateral calls, ahead of the 1 July 2026 USMCA joint review.</t>
        </is>
      </c>
      <c r="U277" s="45" t="inlineStr"/>
      <c r="V277" s="45" t="inlineStr"/>
      <c r="W277" s="45" t="inlineStr">
        <is>
          <t>es</t>
        </is>
      </c>
      <c r="X277" s="45" t="inlineStr">
        <is>
          <t>Uno TV</t>
        </is>
      </c>
      <c r="Y277" s="45" t="inlineStr">
        <is>
          <t>https://www.unotv.com/nacional/minerales-criticos-tmec-mexico-ee-uu/</t>
        </is>
      </c>
      <c r="Z277" s="45" t="inlineStr">
        <is>
          <t>news_media</t>
        </is>
      </c>
      <c r="AA277" s="45" t="inlineStr">
        <is>
          <t>secondary_reported</t>
        </is>
      </c>
      <c r="AB277" s="45" t="inlineStr"/>
      <c r="AC277" s="45" t="inlineStr">
        <is>
          <t>MEX</t>
        </is>
      </c>
    </row>
    <row r="278" ht="15" customHeight="1" s="24">
      <c r="A278" s="45" t="inlineStr">
        <is>
          <t>PS-0277</t>
        </is>
      </c>
      <c r="B278" s="45" t="inlineStr">
        <is>
          <t>2026-01-31</t>
        </is>
      </c>
      <c r="C278" s="45" t="inlineStr">
        <is>
          <t>2026</t>
        </is>
      </c>
      <c r="D278" s="45" t="inlineStr">
        <is>
          <t>MEX</t>
        </is>
      </c>
      <c r="E278" s="45" t="inlineStr">
        <is>
          <t>Marcelo Ebrard</t>
        </is>
      </c>
      <c r="F278" s="45" t="inlineStr">
        <is>
          <t>Secretary of Economy of Mexico</t>
        </is>
      </c>
      <c r="G278" s="45" t="inlineStr">
        <is>
          <t>minister_cabinet</t>
        </is>
      </c>
      <c r="H278" s="45" t="inlineStr">
        <is>
          <t>LatAm executive</t>
        </is>
      </c>
      <c r="I278" s="45" t="inlineStr">
        <is>
          <t>MEX</t>
        </is>
      </c>
      <c r="J278" s="45" t="inlineStr">
        <is>
          <t>Morena</t>
        </is>
      </c>
      <c r="K278" s="45" t="inlineStr">
        <is>
          <t>press_conference</t>
        </is>
      </c>
      <c r="L278" s="45" t="inlineStr">
        <is>
          <t>Planned meetings with USTR Greer on critical minerals and USMCA</t>
        </is>
      </c>
      <c r="M278" s="45" t="inlineStr">
        <is>
          <t>critical_minerals_general;lithium;copper;nickel;cobalt;graphite</t>
        </is>
      </c>
      <c r="N278" s="45" t="inlineStr">
        <is>
          <t>250490;253090;260300;260400;282520;283691;720260;740200;740311</t>
        </is>
      </c>
      <c r="O278" s="45" t="inlineStr">
        <is>
          <t>trade_deals_offtake;diplomatic_relations</t>
        </is>
      </c>
      <c r="P278" s="45" t="inlineStr">
        <is>
          <t>USA</t>
        </is>
      </c>
      <c r="Q278" s="45" t="inlineStr">
        <is>
          <t>not_mentioned</t>
        </is>
      </c>
      <c r="R278" s="45" t="inlineStr">
        <is>
          <t>positive</t>
        </is>
      </c>
      <c r="S278" s="45" t="inlineStr">
        <is>
          <t>USMCA</t>
        </is>
      </c>
      <c r="T278" s="45" t="inlineStr">
        <is>
          <t>Ebrard announced meetings on 3-4 February with USTR Greer to discuss cooperation on critical minerals such as lithium, copper, nickel, cobalt and graphite, and said the USMCA was not at risk.</t>
        </is>
      </c>
      <c r="U278" s="45" t="inlineStr">
        <is>
          <t>Yo no veo que esté en riesgo el tratado, porque ya estamos en consultas formales los tres países, ya terminamos el proceso de consulta</t>
        </is>
      </c>
      <c r="V278" s="45" t="inlineStr">
        <is>
          <t>I do not see the treaty at risk, because the three countries are already in formal consultations, we have already finished the consultation process</t>
        </is>
      </c>
      <c r="W278" s="45" t="inlineStr">
        <is>
          <t>es</t>
        </is>
      </c>
      <c r="X278" s="45" t="inlineStr">
        <is>
          <t>Uno TV</t>
        </is>
      </c>
      <c r="Y278" s="45" t="inlineStr">
        <is>
          <t>https://www.unotv.com/nacional/ebrard-se-reunira-con-ee-uu-para-negociar-explotacion-de-minerales-criticos-en-t-mec/</t>
        </is>
      </c>
      <c r="Z278" s="45" t="inlineStr">
        <is>
          <t>news_media</t>
        </is>
      </c>
      <c r="AA278" s="45" t="inlineStr">
        <is>
          <t>secondary_reported</t>
        </is>
      </c>
      <c r="AB278" s="45" t="inlineStr"/>
      <c r="AC278" s="45" t="inlineStr">
        <is>
          <t>MEX</t>
        </is>
      </c>
    </row>
    <row r="279" ht="15" customHeight="1" s="24">
      <c r="A279" s="45" t="inlineStr">
        <is>
          <t>PS-0278</t>
        </is>
      </c>
      <c r="B279" s="45" t="inlineStr">
        <is>
          <t>2026-02</t>
        </is>
      </c>
      <c r="C279" s="45" t="inlineStr">
        <is>
          <t>2026</t>
        </is>
      </c>
      <c r="D279" s="45" t="inlineStr">
        <is>
          <t>PER</t>
        </is>
      </c>
      <c r="E279" s="45" t="inlineStr">
        <is>
          <t>Bernie Navarro</t>
        </is>
      </c>
      <c r="F279" s="45" t="inlineStr">
        <is>
          <t>U.S. Ambassador to Peru</t>
        </is>
      </c>
      <c r="G279" s="45" t="inlineStr">
        <is>
          <t>us_embassy</t>
        </is>
      </c>
      <c r="H279" s="45" t="inlineStr">
        <is>
          <t>United States</t>
        </is>
      </c>
      <c r="I279" s="45" t="inlineStr">
        <is>
          <t>USA</t>
        </is>
      </c>
      <c r="J279" s="45" t="inlineStr">
        <is>
          <t>Trump administration</t>
        </is>
      </c>
      <c r="K279" s="45" t="inlineStr">
        <is>
          <t>official_statement</t>
        </is>
      </c>
      <c r="L279" s="45" t="inlineStr">
        <is>
          <t>Chancay port oversight dispute</t>
        </is>
      </c>
      <c r="M279" s="45" t="inlineStr">
        <is>
          <t>mining_general</t>
        </is>
      </c>
      <c r="N279" s="45" t="inlineStr"/>
      <c r="O279" s="45" t="inlineStr">
        <is>
          <t>sovereignty;infrastructure_ports;geopolitics_security</t>
        </is>
      </c>
      <c r="P279" s="45" t="inlineStr">
        <is>
          <t>CHN;PER</t>
        </is>
      </c>
      <c r="Q279" s="45" t="inlineStr">
        <is>
          <t>negative</t>
        </is>
      </c>
      <c r="R279" s="45" t="inlineStr">
        <is>
          <t>positive</t>
        </is>
      </c>
      <c r="S279" s="45" t="inlineStr">
        <is>
          <t>Chancay port; COSCO Shipping</t>
        </is>
      </c>
      <c r="T279" s="45" t="inlineStr">
        <is>
          <t>Ambassador Navarro echoed the State Department warning on Chancay, saying cheap deals end up costly and that there is no higher price than losing sovereignty.</t>
        </is>
      </c>
      <c r="U279" s="45" t="inlineStr">
        <is>
          <t>Todo tiene un precio, y a la larga lo barato sale caro. No hay precio más alto que perder soberanía</t>
        </is>
      </c>
      <c r="V279" s="45" t="inlineStr">
        <is>
          <t>Everything has a price, and in the long run cheap turns out expensive. There is no higher price than losing sovereignty</t>
        </is>
      </c>
      <c r="W279" s="45" t="inlineStr">
        <is>
          <t>es</t>
        </is>
      </c>
      <c r="X279" s="45" t="inlineStr">
        <is>
          <t>Gestión</t>
        </is>
      </c>
      <c r="Y279" s="45" t="inlineStr">
        <is>
          <t>https://gestion.pe/economia/puerto-de-chancay-que-dice-cosco-shipping-ports-ante-los-cuestionamientos-de-estados-unidos-noticia/</t>
        </is>
      </c>
      <c r="Z279" s="45" t="inlineStr">
        <is>
          <t>news_media</t>
        </is>
      </c>
      <c r="AA279" s="45" t="inlineStr">
        <is>
          <t>secondary_reported</t>
        </is>
      </c>
      <c r="AB279" s="45" t="inlineStr">
        <is>
          <t>Exact day in Feb 2026 not given; minerals not explicitly mentioned</t>
        </is>
      </c>
      <c r="AC279" s="45" t="inlineStr">
        <is>
          <t>USA_gov</t>
        </is>
      </c>
    </row>
    <row r="280" ht="15" customHeight="1" s="24">
      <c r="A280" s="45" t="inlineStr">
        <is>
          <t>PS-0279</t>
        </is>
      </c>
      <c r="B280" s="45" t="inlineStr">
        <is>
          <t>2026-02</t>
        </is>
      </c>
      <c r="C280" s="45" t="inlineStr">
        <is>
          <t>2026</t>
        </is>
      </c>
      <c r="D280" s="45" t="inlineStr">
        <is>
          <t>PER</t>
        </is>
      </c>
      <c r="E280" s="45" t="inlineStr">
        <is>
          <t>Verónica Zambrano</t>
        </is>
      </c>
      <c r="F280" s="45" t="inlineStr">
        <is>
          <t>President of Ositran (transport infrastructure regulator)</t>
        </is>
      </c>
      <c r="G280" s="45" t="inlineStr">
        <is>
          <t>other_executive</t>
        </is>
      </c>
      <c r="H280" s="45" t="inlineStr">
        <is>
          <t>LatAm executive</t>
        </is>
      </c>
      <c r="I280" s="45" t="inlineStr">
        <is>
          <t>PER</t>
        </is>
      </c>
      <c r="J280" s="45" t="inlineStr"/>
      <c r="K280" s="45" t="inlineStr">
        <is>
          <t>interview</t>
        </is>
      </c>
      <c r="L280" s="45" t="inlineStr">
        <is>
          <t>Court ruling exempting Chancay from regulator oversight</t>
        </is>
      </c>
      <c r="M280" s="45" t="inlineStr">
        <is>
          <t>mining_general</t>
        </is>
      </c>
      <c r="N280" s="45" t="inlineStr"/>
      <c r="O280" s="45" t="inlineStr">
        <is>
          <t>sovereignty;infrastructure_ports;corruption_governance</t>
        </is>
      </c>
      <c r="P280" s="45" t="inlineStr">
        <is>
          <t>CHN</t>
        </is>
      </c>
      <c r="Q280" s="45" t="inlineStr">
        <is>
          <t>not_mentioned</t>
        </is>
      </c>
      <c r="R280" s="45" t="inlineStr">
        <is>
          <t>not_mentioned</t>
        </is>
      </c>
      <c r="S280" s="45" t="inlineStr">
        <is>
          <t>Puerto de Chancay; Cosco Shipping; Ositran</t>
        </is>
      </c>
      <c r="T280" s="45" t="inlineStr">
        <is>
          <t>Ositran's president warned that if the court ruling stands, Cosco would become the only public-service provider that could not be supervised.</t>
        </is>
      </c>
      <c r="U280" s="45" t="inlineStr">
        <is>
          <t>the only company providing services to the public that could not be supervised</t>
        </is>
      </c>
      <c r="V280" s="45" t="inlineStr">
        <is>
          <t>the only company providing services to the public that could not be supervised</t>
        </is>
      </c>
      <c r="W280" s="45" t="inlineStr">
        <is>
          <t>en</t>
        </is>
      </c>
      <c r="X280" s="45" t="inlineStr">
        <is>
          <t>AP via Wyoming Public Media</t>
        </is>
      </c>
      <c r="Y280" s="45" t="inlineStr">
        <is>
          <t>https://www.wyomingpublicmedia.org/2026-02-11/in-blunt-warning-the-u-s-says-peru-could-lose-its-sovereignty-to-china</t>
        </is>
      </c>
      <c r="Z280" s="45" t="inlineStr">
        <is>
          <t>news_media</t>
        </is>
      </c>
      <c r="AA280" s="45" t="inlineStr">
        <is>
          <t>secondary_reported</t>
        </is>
      </c>
      <c r="AB280" s="45" t="inlineStr">
        <is>
          <t>English translation of Spanish remarks to local media; port record</t>
        </is>
      </c>
      <c r="AC280" s="45" t="inlineStr">
        <is>
          <t>PER</t>
        </is>
      </c>
    </row>
    <row r="281" ht="15" customHeight="1" s="24">
      <c r="A281" s="45" t="inlineStr">
        <is>
          <t>PS-0280</t>
        </is>
      </c>
      <c r="B281" s="45" t="inlineStr">
        <is>
          <t>2026-02-02</t>
        </is>
      </c>
      <c r="C281" s="45" t="inlineStr">
        <is>
          <t>2026</t>
        </is>
      </c>
      <c r="D281" s="45" t="inlineStr">
        <is>
          <t>CHL</t>
        </is>
      </c>
      <c r="E281" s="45" t="inlineStr">
        <is>
          <t>Brandon Judd</t>
        </is>
      </c>
      <c r="F281" s="45" t="inlineStr">
        <is>
          <t>U.S. Ambassador to Chile</t>
        </is>
      </c>
      <c r="G281" s="45" t="inlineStr">
        <is>
          <t>us_embassy</t>
        </is>
      </c>
      <c r="H281" s="45" t="inlineStr">
        <is>
          <t>United States</t>
        </is>
      </c>
      <c r="I281" s="45" t="inlineStr">
        <is>
          <t>USA</t>
        </is>
      </c>
      <c r="J281" s="45" t="inlineStr">
        <is>
          <t>U.S. Department of State (Trump administration)</t>
        </is>
      </c>
      <c r="K281" s="45" t="inlineStr">
        <is>
          <t>official_statement</t>
        </is>
      </c>
      <c r="L281" s="45" t="inlineStr">
        <is>
          <t>Meetings with US mining investors (Albemarle, EnergyX, Freeport)</t>
        </is>
      </c>
      <c r="M281" s="45" t="inlineStr">
        <is>
          <t>lithium;copper;cobalt</t>
        </is>
      </c>
      <c r="N281" s="45" t="inlineStr">
        <is>
          <t>253090;260300;282520;283691;740200;740311</t>
        </is>
      </c>
      <c r="O281" s="45" t="inlineStr">
        <is>
          <t>geopolitics_security;foreign_investment;trade_deals_offtake</t>
        </is>
      </c>
      <c r="P281" s="45" t="inlineStr">
        <is>
          <t>CHN</t>
        </is>
      </c>
      <c r="Q281" s="45" t="inlineStr">
        <is>
          <t>negative</t>
        </is>
      </c>
      <c r="R281" s="45" t="inlineStr">
        <is>
          <t>positive</t>
        </is>
      </c>
      <c r="S281" s="45" t="inlineStr">
        <is>
          <t>Albemarle; EnergyX; Freeport-McMoRan</t>
        </is>
      </c>
      <c r="T281" s="45" t="inlineStr">
        <is>
          <t>The US ambassador stressed the importance of lithium, copper and cobalt for US national security, expressed concern about China's weight as destination of Chilean lithium and criticised slow permitting.</t>
        </is>
      </c>
      <c r="U281" s="45" t="inlineStr"/>
      <c r="V281" s="45" t="inlineStr"/>
      <c r="W281" s="45" t="inlineStr">
        <is>
          <t>es</t>
        </is>
      </c>
      <c r="X281" s="45" t="inlineStr">
        <is>
          <t>Redimin</t>
        </is>
      </c>
      <c r="Y281" s="45" t="inlineStr">
        <is>
          <t>https://www.redimin.cl/brandon-judd-despliega-en-chile-una-ofensiva-diplomatica-para-blindar-la-inversion-estadounidense?amp=1</t>
        </is>
      </c>
      <c r="Z281" s="45" t="inlineStr">
        <is>
          <t>news_media</t>
        </is>
      </c>
      <c r="AA281" s="45" t="inlineStr">
        <is>
          <t>secondary_reported</t>
        </is>
      </c>
      <c r="AB281" s="45" t="inlineStr">
        <is>
          <t>Paraphrase; article 2 Feb 2026 summarising multiple meetings</t>
        </is>
      </c>
      <c r="AC281" s="45" t="inlineStr">
        <is>
          <t>CHL</t>
        </is>
      </c>
    </row>
    <row r="282" ht="15" customHeight="1" s="24">
      <c r="A282" s="45" t="inlineStr">
        <is>
          <t>PS-0281</t>
        </is>
      </c>
      <c r="B282" s="45" t="inlineStr">
        <is>
          <t>2026-02-03</t>
        </is>
      </c>
      <c r="C282" s="45" t="inlineStr">
        <is>
          <t>2026</t>
        </is>
      </c>
      <c r="D282" s="45" t="inlineStr">
        <is>
          <t>BOL</t>
        </is>
      </c>
      <c r="E282" s="45" t="inlineStr">
        <is>
          <t>Rodrigo Paz</t>
        </is>
      </c>
      <c r="F282" s="45" t="inlineStr">
        <is>
          <t>President of Bolivia</t>
        </is>
      </c>
      <c r="G282" s="45" t="inlineStr">
        <is>
          <t>head_of_state</t>
        </is>
      </c>
      <c r="H282" s="45" t="inlineStr">
        <is>
          <t>LatAm executive</t>
        </is>
      </c>
      <c r="I282" s="45" t="inlineStr">
        <is>
          <t>BOL</t>
        </is>
      </c>
      <c r="J282" s="45" t="inlineStr">
        <is>
          <t>Partido Demócrata Cristiano (PDC)</t>
        </is>
      </c>
      <c r="K282" s="45" t="inlineStr">
        <is>
          <t>interview</t>
        </is>
      </c>
      <c r="L282" s="45" t="inlineStr">
        <is>
          <t>Financial Times interview</t>
        </is>
      </c>
      <c r="M282" s="45" t="inlineStr">
        <is>
          <t>lithium</t>
        </is>
      </c>
      <c r="N282" s="45" t="inlineStr">
        <is>
          <t>253090;282520;283691</t>
        </is>
      </c>
      <c r="O282" s="45" t="inlineStr">
        <is>
          <t>corruption_governance;foreign_investment;diplomatic_relations</t>
        </is>
      </c>
      <c r="P282" s="45" t="inlineStr">
        <is>
          <t>CHN;RUS</t>
        </is>
      </c>
      <c r="Q282" s="45" t="inlineStr">
        <is>
          <t>neutral</t>
        </is>
      </c>
      <c r="R282" s="45" t="inlineStr">
        <is>
          <t>not_mentioned</t>
        </is>
      </c>
      <c r="S282" s="45" t="inlineStr">
        <is>
          <t>CBC; Uranium One Group</t>
        </is>
      </c>
      <c r="T282" s="45" t="inlineStr">
        <is>
          <t>Paz said the lithium deals signed with Russian and Chinese firms by the prior government would be respected if they are transparent, after review and public disclosure.</t>
        </is>
      </c>
      <c r="U282" s="45" t="inlineStr">
        <is>
          <t>They will be respected if and when they are transparent.</t>
        </is>
      </c>
      <c r="V282" s="45" t="inlineStr">
        <is>
          <t>They will be respected if and when they are transparent.</t>
        </is>
      </c>
      <c r="W282" s="45" t="inlineStr">
        <is>
          <t>en</t>
        </is>
      </c>
      <c r="X282" s="45" t="inlineStr">
        <is>
          <t>Sputnik International (citing Financial Times)</t>
        </is>
      </c>
      <c r="Y282" s="45" t="inlineStr">
        <is>
          <t>https://92.5.118.90.traefik.me/20260203/bolivia-to-honor-transparent-lithium-deals-with-russia-china---president-1123572887.html</t>
        </is>
      </c>
      <c r="Z282" s="45" t="inlineStr">
        <is>
          <t>news_media</t>
        </is>
      </c>
      <c r="AA282" s="45" t="inlineStr">
        <is>
          <t>unverified</t>
        </is>
      </c>
      <c r="AB282" s="45" t="inlineStr">
        <is>
          <t>Seen via mirror of Sputnik page; original FT interview not seen; Russian state media source.</t>
        </is>
      </c>
      <c r="AC282" s="45" t="inlineStr">
        <is>
          <t>BOL</t>
        </is>
      </c>
    </row>
    <row r="283" ht="15" customHeight="1" s="24">
      <c r="A283" s="45" t="inlineStr">
        <is>
          <t>PS-0282</t>
        </is>
      </c>
      <c r="B283" s="45" t="inlineStr">
        <is>
          <t>2026-02-04</t>
        </is>
      </c>
      <c r="C283" s="45" t="inlineStr">
        <is>
          <t>2026</t>
        </is>
      </c>
      <c r="D283" s="45" t="inlineStr">
        <is>
          <t>ARG</t>
        </is>
      </c>
      <c r="E283" s="45" t="inlineStr">
        <is>
          <t>Marco Rubio</t>
        </is>
      </c>
      <c r="F283" s="45" t="inlineStr">
        <is>
          <t>US Secretary of State</t>
        </is>
      </c>
      <c r="G283" s="45" t="inlineStr">
        <is>
          <t>us_central_gov</t>
        </is>
      </c>
      <c r="H283" s="45" t="inlineStr">
        <is>
          <t>United States</t>
        </is>
      </c>
      <c r="I283" s="45" t="inlineStr">
        <is>
          <t>USA</t>
        </is>
      </c>
      <c r="J283" s="45" t="inlineStr">
        <is>
          <t>Republican</t>
        </is>
      </c>
      <c r="K283" s="45" t="inlineStr">
        <is>
          <t>speech</t>
        </is>
      </c>
      <c r="L283" s="45" t="inlineStr">
        <is>
          <t>Critical Minerals Ministerial, Washington DC</t>
        </is>
      </c>
      <c r="M283" s="45" t="inlineStr">
        <is>
          <t>critical_minerals_general</t>
        </is>
      </c>
      <c r="N283" s="45" t="inlineStr"/>
      <c r="O283" s="45" t="inlineStr">
        <is>
          <t>processing_refining;geopolitics_security;diplomatic_relations</t>
        </is>
      </c>
      <c r="P283" s="45" t="inlineStr">
        <is>
          <t>ARG</t>
        </is>
      </c>
      <c r="Q283" s="45" t="inlineStr">
        <is>
          <t>not_mentioned</t>
        </is>
      </c>
      <c r="R283" s="45" t="inlineStr">
        <is>
          <t>positive</t>
        </is>
      </c>
      <c r="S283" s="45" t="inlineStr"/>
      <c r="T283" s="45" t="inlineStr">
        <is>
          <t>Rubio said Argentina would play a key role for the world in critical minerals, highlighting not only its natural resources but also its processing expertise.</t>
        </is>
      </c>
      <c r="U283" s="45" t="inlineStr"/>
      <c r="V283" s="45" t="inlineStr"/>
      <c r="W283" s="45" t="inlineStr">
        <is>
          <t>es</t>
        </is>
      </c>
      <c r="X283" s="45" t="inlineStr">
        <is>
          <t>Bloomberg Línea</t>
        </is>
      </c>
      <c r="Y283" s="45" t="inlineStr">
        <is>
          <t>https://www.bloomberglinea.com/latinoamerica/argentina/argentina-avanza-en-adhesion-a-zona-de-preferencia-de-minerales-criticos-lanzada-por-eeuu/</t>
        </is>
      </c>
      <c r="Z283" s="45" t="inlineStr">
        <is>
          <t>news_media</t>
        </is>
      </c>
      <c r="AA283" s="45" t="inlineStr">
        <is>
          <t>secondary_reported</t>
        </is>
      </c>
      <c r="AB283" s="45" t="inlineStr">
        <is>
          <t>Quote available only in Spanish rendering; original language uncertain, so paraphrased.</t>
        </is>
      </c>
      <c r="AC283" s="45" t="inlineStr">
        <is>
          <t>ARG</t>
        </is>
      </c>
    </row>
    <row r="284" ht="15" customHeight="1" s="24">
      <c r="A284" s="45" t="inlineStr">
        <is>
          <t>PS-0283</t>
        </is>
      </c>
      <c r="B284" s="45" t="inlineStr">
        <is>
          <t>2026-02-04</t>
        </is>
      </c>
      <c r="C284" s="45" t="inlineStr">
        <is>
          <t>2026</t>
        </is>
      </c>
      <c r="D284" s="45" t="inlineStr">
        <is>
          <t>ARG</t>
        </is>
      </c>
      <c r="E284" s="45" t="inlineStr">
        <is>
          <t>Pablo Quirno</t>
        </is>
      </c>
      <c r="F284" s="45" t="inlineStr">
        <is>
          <t>Foreign Minister of Argentina</t>
        </is>
      </c>
      <c r="G284" s="45" t="inlineStr">
        <is>
          <t>minister_cabinet</t>
        </is>
      </c>
      <c r="H284" s="45" t="inlineStr">
        <is>
          <t>LatAm executive</t>
        </is>
      </c>
      <c r="I284" s="45" t="inlineStr">
        <is>
          <t>ARG</t>
        </is>
      </c>
      <c r="J284" s="45" t="inlineStr">
        <is>
          <t>La Libertad Avanza</t>
        </is>
      </c>
      <c r="K284" s="45" t="inlineStr">
        <is>
          <t>speech</t>
        </is>
      </c>
      <c r="L284" s="45" t="inlineStr">
        <is>
          <t>Critical Minerals Ministerial, Washington DC</t>
        </is>
      </c>
      <c r="M284" s="45" t="inlineStr">
        <is>
          <t>critical_minerals_general</t>
        </is>
      </c>
      <c r="N284" s="45" t="inlineStr"/>
      <c r="O284" s="45" t="inlineStr">
        <is>
          <t>trade_deals_offtake;geopolitics_security;diplomatic_relations</t>
        </is>
      </c>
      <c r="P284" s="45" t="inlineStr">
        <is>
          <t>USA</t>
        </is>
      </c>
      <c r="Q284" s="45" t="inlineStr">
        <is>
          <t>not_mentioned</t>
        </is>
      </c>
      <c r="R284" s="45" t="inlineStr">
        <is>
          <t>positive</t>
        </is>
      </c>
      <c r="S284" s="45" t="inlineStr"/>
      <c r="T284" s="45" t="inlineStr">
        <is>
          <t>At the US-convened critical minerals ministerial where Argentina moved to join the US-launched preferential trade zone, Quirno said Argentina is committed to deepening critical-minerals cooperation with the US and secure supply chains.</t>
        </is>
      </c>
      <c r="U284" s="45" t="inlineStr">
        <is>
          <t>Argentina está comprometida en profundizar la cooperación con los Estados Unidos en materia de minerales críticos, apoyando cadenas de suministro seguras</t>
        </is>
      </c>
      <c r="V284" s="45" t="inlineStr">
        <is>
          <t>Argentina is committed to deepening cooperation with the United States on critical minerals, supporting secure supply chains</t>
        </is>
      </c>
      <c r="W284" s="45" t="inlineStr">
        <is>
          <t>es</t>
        </is>
      </c>
      <c r="X284" s="45" t="inlineStr">
        <is>
          <t>Bloomberg Línea</t>
        </is>
      </c>
      <c r="Y284" s="45" t="inlineStr">
        <is>
          <t>https://www.bloomberglinea.com/latinoamerica/argentina/argentina-avanza-en-adhesion-a-zona-de-preferencia-de-minerales-criticos-lanzada-por-eeuu/</t>
        </is>
      </c>
      <c r="Z284" s="45" t="inlineStr">
        <is>
          <t>news_media</t>
        </is>
      </c>
      <c r="AA284" s="45" t="inlineStr">
        <is>
          <t>secondary_reported</t>
        </is>
      </c>
      <c r="AB284" s="45" t="inlineStr"/>
      <c r="AC284" s="45" t="inlineStr">
        <is>
          <t>ARG</t>
        </is>
      </c>
    </row>
    <row r="285" ht="15" customHeight="1" s="24">
      <c r="A285" s="45" t="inlineStr">
        <is>
          <t>PS-0284</t>
        </is>
      </c>
      <c r="B285" s="45" t="inlineStr">
        <is>
          <t>2026-02-04</t>
        </is>
      </c>
      <c r="C285" s="45" t="inlineStr">
        <is>
          <t>2026</t>
        </is>
      </c>
      <c r="D285" s="45" t="inlineStr">
        <is>
          <t>BOL</t>
        </is>
      </c>
      <c r="E285" s="45" t="inlineStr">
        <is>
          <t>Fernando Aramayo</t>
        </is>
      </c>
      <c r="F285" s="45" t="inlineStr">
        <is>
          <t>Minister of Foreign Affairs</t>
        </is>
      </c>
      <c r="G285" s="45" t="inlineStr">
        <is>
          <t>minister_cabinet</t>
        </is>
      </c>
      <c r="H285" s="45" t="inlineStr">
        <is>
          <t>LatAm executive</t>
        </is>
      </c>
      <c r="I285" s="45" t="inlineStr">
        <is>
          <t>BOL</t>
        </is>
      </c>
      <c r="J285" s="45" t="inlineStr">
        <is>
          <t>Paz government</t>
        </is>
      </c>
      <c r="K285" s="45" t="inlineStr">
        <is>
          <t>official_statement</t>
        </is>
      </c>
      <c r="L285" s="45" t="inlineStr">
        <is>
          <t>US State Department Critical Minerals Ministerial, Washington</t>
        </is>
      </c>
      <c r="M285" s="45" t="inlineStr">
        <is>
          <t>critical_minerals_general;lithium</t>
        </is>
      </c>
      <c r="N285" s="45" t="inlineStr">
        <is>
          <t>253090;282520;283691</t>
        </is>
      </c>
      <c r="O285" s="45" t="inlineStr">
        <is>
          <t>diplomatic_relations;geopolitics_security</t>
        </is>
      </c>
      <c r="P285" s="45" t="inlineStr">
        <is>
          <t>USA</t>
        </is>
      </c>
      <c r="Q285" s="45" t="inlineStr">
        <is>
          <t>not_mentioned</t>
        </is>
      </c>
      <c r="R285" s="45" t="inlineStr">
        <is>
          <t>positive</t>
        </is>
      </c>
      <c r="S285" s="45" t="inlineStr"/>
      <c r="T285" s="45" t="inlineStr">
        <is>
          <t>Bolivia's foreign and mining ministers took part in the US-hosted critical minerals ministerial with over 50 countries, focused on diversifying supply chains away from Chinese dominance.</t>
        </is>
      </c>
      <c r="U285" s="45" t="inlineStr"/>
      <c r="V285" s="45" t="inlineStr"/>
      <c r="W285" s="45" t="inlineStr">
        <is>
          <t>es</t>
        </is>
      </c>
      <c r="X285" s="45" t="inlineStr">
        <is>
          <t>Los Tiempos</t>
        </is>
      </c>
      <c r="Y285" s="45" t="inlineStr">
        <is>
          <t>https://www.lostiempos.com/actualidad/pais/20260204/bolivia-participa-conferencia-eeuu-suministro-minerales-criticos</t>
        </is>
      </c>
      <c r="Z285" s="45" t="inlineStr">
        <is>
          <t>news_media</t>
        </is>
      </c>
      <c r="AA285" s="45" t="inlineStr">
        <is>
          <t>secondary_reported</t>
        </is>
      </c>
      <c r="AB285" s="45" t="inlineStr">
        <is>
          <t>Participation act; no Bolivian quote seen; stance inferred from participation.</t>
        </is>
      </c>
      <c r="AC285" s="45" t="inlineStr">
        <is>
          <t>BOL</t>
        </is>
      </c>
    </row>
    <row r="286" ht="15" customHeight="1" s="24">
      <c r="A286" s="45" t="inlineStr">
        <is>
          <t>PS-0285</t>
        </is>
      </c>
      <c r="B286" s="45" t="inlineStr">
        <is>
          <t>2026-02-04</t>
        </is>
      </c>
      <c r="C286" s="45" t="inlineStr">
        <is>
          <t>2026</t>
        </is>
      </c>
      <c r="D286" s="45" t="inlineStr">
        <is>
          <t>ECU</t>
        </is>
      </c>
      <c r="E286" s="45" t="inlineStr">
        <is>
          <t>Governments of Ecuador and the United States (Gabriela Sommerfeld)</t>
        </is>
      </c>
      <c r="F286" s="45" t="inlineStr">
        <is>
          <t>Ecuadorian Foreign Minister (signatory)</t>
        </is>
      </c>
      <c r="G286" s="45" t="inlineStr">
        <is>
          <t>other</t>
        </is>
      </c>
      <c r="H286" s="45" t="inlineStr">
        <is>
          <t>Other (business, civil society, third countries)</t>
        </is>
      </c>
      <c r="I286" s="45" t="inlineStr">
        <is>
          <t>ECU</t>
        </is>
      </c>
      <c r="J286" s="45" t="inlineStr"/>
      <c r="K286" s="45" t="inlineStr">
        <is>
          <t>joint_declaration_or_mou</t>
        </is>
      </c>
      <c r="L286" s="45" t="inlineStr">
        <is>
          <t>2026 Critical Minerals Ministerial, Washington</t>
        </is>
      </c>
      <c r="M286" s="45" t="inlineStr">
        <is>
          <t>critical_minerals_general;rare_earths;copper;lithium;cobalt;nickel</t>
        </is>
      </c>
      <c r="N286" s="45" t="inlineStr">
        <is>
          <t>253090;260300;260400;282520;283691;284690;720260;740200;740311</t>
        </is>
      </c>
      <c r="O286" s="45" t="inlineStr">
        <is>
          <t>geopolitics_security;foreign_investment;processing_refining;environment_water</t>
        </is>
      </c>
      <c r="P286" s="45" t="inlineStr">
        <is>
          <t>USA</t>
        </is>
      </c>
      <c r="Q286" s="45" t="inlineStr">
        <is>
          <t>not_mentioned</t>
        </is>
      </c>
      <c r="R286" s="45" t="inlineStr">
        <is>
          <t>positive</t>
        </is>
      </c>
      <c r="S286" s="45" t="inlineStr"/>
      <c r="T286" s="45" t="inlineStr">
        <is>
          <t>Ecuador signed a non-binding Framework on Securing Supply in Mining and Processing of Critical Minerals and Rare Earths with the US, committing to tools to review and deter sales of critical mineral assets and to speed permitting.</t>
        </is>
      </c>
      <c r="U286" s="45" t="inlineStr">
        <is>
          <t>revisar y disuadir la venta de activos de minerales críticos</t>
        </is>
      </c>
      <c r="V286" s="45" t="inlineStr">
        <is>
          <t>review and deter the sale of critical mineral assets</t>
        </is>
      </c>
      <c r="W286" s="45" t="inlineStr">
        <is>
          <t>es</t>
        </is>
      </c>
      <c r="X286" s="45" t="inlineStr">
        <is>
          <t>Primicias</t>
        </is>
      </c>
      <c r="Y286" s="45" t="inlineStr">
        <is>
          <t>https://www.primicias.ec/economia/tierras-raras-acuerdo-estados-unidos-proyectos-ecuador-activos-estrategicos-116336/</t>
        </is>
      </c>
      <c r="Z286" s="45" t="inlineStr">
        <is>
          <t>news_media</t>
        </is>
      </c>
      <c r="AA286" s="45" t="inlineStr">
        <is>
          <t>secondary_reported</t>
        </is>
      </c>
      <c r="AB286" s="45" t="inlineStr">
        <is>
          <t>US State Dept ministerial readout lists Ecuador among 11 signatories (globalsecurity.org mirror mil-260204-state02).</t>
        </is>
      </c>
      <c r="AC286" s="45" t="inlineStr">
        <is>
          <t>COL_ECU_PAN</t>
        </is>
      </c>
    </row>
    <row r="287" ht="15" customHeight="1" s="24">
      <c r="A287" s="45" t="inlineStr">
        <is>
          <t>PS-0286</t>
        </is>
      </c>
      <c r="B287" s="45" t="inlineStr">
        <is>
          <t>2026-02-04</t>
        </is>
      </c>
      <c r="C287" s="45" t="inlineStr">
        <is>
          <t>2026</t>
        </is>
      </c>
      <c r="D287" s="45" t="inlineStr">
        <is>
          <t>ECU</t>
        </is>
      </c>
      <c r="E287" s="45" t="inlineStr">
        <is>
          <t>U.S. Department of State</t>
        </is>
      </c>
      <c r="F287" s="45" t="inlineStr">
        <is>
          <t>Signatory, US-Ecuador framework on critical minerals and rare earths</t>
        </is>
      </c>
      <c r="G287" s="45" t="inlineStr">
        <is>
          <t>us_central_gov</t>
        </is>
      </c>
      <c r="H287" s="45" t="inlineStr">
        <is>
          <t>United States</t>
        </is>
      </c>
      <c r="I287" s="45" t="inlineStr">
        <is>
          <t>USA</t>
        </is>
      </c>
      <c r="J287" s="45" t="inlineStr">
        <is>
          <t>Trump administration</t>
        </is>
      </c>
      <c r="K287" s="45" t="inlineStr">
        <is>
          <t>joint_declaration_or_mou</t>
        </is>
      </c>
      <c r="L287" s="45" t="inlineStr">
        <is>
          <t>2026 Critical Minerals Ministerial, Washington; signed with FM Gabriela Sommerfeld</t>
        </is>
      </c>
      <c r="M287" s="45" t="inlineStr">
        <is>
          <t>critical_minerals_general;rare_earths</t>
        </is>
      </c>
      <c r="N287" s="45" t="inlineStr">
        <is>
          <t>284690</t>
        </is>
      </c>
      <c r="O287" s="45" t="inlineStr">
        <is>
          <t>foreign_investment;financing_credit;geopolitics_security;environment_water;trade_deals_offtake</t>
        </is>
      </c>
      <c r="P287" s="45" t="inlineStr">
        <is>
          <t>ECU</t>
        </is>
      </c>
      <c r="Q287" s="45" t="inlineStr">
        <is>
          <t>not_mentioned</t>
        </is>
      </c>
      <c r="R287" s="45" t="inlineStr">
        <is>
          <t>positive</t>
        </is>
      </c>
      <c r="S287" s="45" t="inlineStr"/>
      <c r="T287" s="45" t="inlineStr">
        <is>
          <t>The non-binding US-Ecuador framework gives both sides six months to identify projects and mobilize financing (equity, guaranteed loans, offtake), commits them to accelerate or simplify permitting including environmental licences, and to develop tools to review and discourage sales of critical mineral assets for national security reasons.</t>
        </is>
      </c>
      <c r="U287" s="45" t="inlineStr"/>
      <c r="V287" s="45" t="inlineStr"/>
      <c r="W287" s="45" t="inlineStr">
        <is>
          <t>es</t>
        </is>
      </c>
      <c r="X287" s="45" t="inlineStr">
        <is>
          <t>Primicias</t>
        </is>
      </c>
      <c r="Y287" s="45" t="inlineStr">
        <is>
          <t>https://www.primicias.ec/economia/tierras-raras-acuerdo-estados-unidos-proyectos-ecuador-activos-estrategicos-116336/</t>
        </is>
      </c>
      <c r="Z287" s="45" t="inlineStr">
        <is>
          <t>news_media</t>
        </is>
      </c>
      <c r="AA287" s="45" t="inlineStr">
        <is>
          <t>secondary_reported</t>
        </is>
      </c>
      <c r="AB287" s="45" t="inlineStr"/>
      <c r="AC287" s="45" t="inlineStr">
        <is>
          <t>USA_gov</t>
        </is>
      </c>
    </row>
    <row r="288" ht="15" customHeight="1" s="24">
      <c r="A288" s="45" t="inlineStr">
        <is>
          <t>PS-0287</t>
        </is>
      </c>
      <c r="B288" s="45" t="inlineStr">
        <is>
          <t>2026-02-04</t>
        </is>
      </c>
      <c r="C288" s="45" t="inlineStr">
        <is>
          <t>2026</t>
        </is>
      </c>
      <c r="D288" s="45" t="inlineStr">
        <is>
          <t>MEX</t>
        </is>
      </c>
      <c r="E288" s="45" t="inlineStr">
        <is>
          <t>Jamieson Greer</t>
        </is>
      </c>
      <c r="F288" s="45" t="inlineStr">
        <is>
          <t>United States Trade Representative</t>
        </is>
      </c>
      <c r="G288" s="45" t="inlineStr">
        <is>
          <t>us_central_gov</t>
        </is>
      </c>
      <c r="H288" s="45" t="inlineStr">
        <is>
          <t>United States</t>
        </is>
      </c>
      <c r="I288" s="45" t="inlineStr">
        <is>
          <t>USA</t>
        </is>
      </c>
      <c r="J288" s="45" t="inlineStr">
        <is>
          <t>Republican</t>
        </is>
      </c>
      <c r="K288" s="45" t="inlineStr">
        <is>
          <t>official_statement</t>
        </is>
      </c>
      <c r="L288" s="45" t="inlineStr">
        <is>
          <t>Announcement of U.S.-Mexico Action Plan on Critical Minerals</t>
        </is>
      </c>
      <c r="M288" s="45" t="inlineStr">
        <is>
          <t>critical_minerals_general</t>
        </is>
      </c>
      <c r="N288" s="45" t="inlineStr"/>
      <c r="O288" s="45" t="inlineStr">
        <is>
          <t>trade_deals_offtake;tariffs_trade_policy;geopolitics_security</t>
        </is>
      </c>
      <c r="P288" s="45" t="inlineStr">
        <is>
          <t>USA</t>
        </is>
      </c>
      <c r="Q288" s="45" t="inlineStr">
        <is>
          <t>not_mentioned</t>
        </is>
      </c>
      <c r="R288" s="45" t="inlineStr">
        <is>
          <t>positive</t>
        </is>
      </c>
      <c r="S288" s="45" t="inlineStr">
        <is>
          <t>USMCA</t>
        </is>
      </c>
      <c r="T288" s="45" t="inlineStr">
        <is>
          <t>USTR Greer announced a U.S.-Mexico action plan to develop coordinated trade policies on critical minerals, including possible price floors for imports, within 60 days.</t>
        </is>
      </c>
      <c r="U288" s="45" t="inlineStr">
        <is>
          <t>Today's announcement demonstrates the United States and Mexico's shared commitment to address global market distortions that have left North American critical minerals supply chains vulnerable to disruptions.</t>
        </is>
      </c>
      <c r="V288" s="45" t="inlineStr">
        <is>
          <t>Today's announcement demonstrates the United States and Mexico's shared commitment to address global market distortions that have left North American critical minerals supply chains vulnerable to disruptions.</t>
        </is>
      </c>
      <c r="W288" s="45" t="inlineStr">
        <is>
          <t>en</t>
        </is>
      </c>
      <c r="X288" s="45" t="inlineStr">
        <is>
          <t>USTR</t>
        </is>
      </c>
      <c r="Y288" s="45" t="inlineStr">
        <is>
          <t>https://ustr.gov/about/policy-offices/press-office/press-releases/2026/february/ambassador-jamieson-greer-announces-us-mexico-action-plan-critical-minerals</t>
        </is>
      </c>
      <c r="Z288" s="45" t="inlineStr">
        <is>
          <t>primary_official</t>
        </is>
      </c>
      <c r="AA288" s="45" t="inlineStr">
        <is>
          <t>primary_verified</t>
        </is>
      </c>
      <c r="AB288" s="45" t="inlineStr">
        <is>
          <t>Statement does not name China explicitly; 'market distortions' widely read as referring to China.</t>
        </is>
      </c>
      <c r="AC288" s="45" t="inlineStr">
        <is>
          <t>MEX</t>
        </is>
      </c>
    </row>
    <row r="289" ht="15" customHeight="1" s="24">
      <c r="A289" s="45" t="inlineStr">
        <is>
          <t>PS-0288</t>
        </is>
      </c>
      <c r="B289" s="45" t="inlineStr">
        <is>
          <t>2026-02-04</t>
        </is>
      </c>
      <c r="C289" s="45" t="inlineStr">
        <is>
          <t>2026</t>
        </is>
      </c>
      <c r="D289" s="45" t="inlineStr">
        <is>
          <t>MEX</t>
        </is>
      </c>
      <c r="E289" s="45" t="inlineStr">
        <is>
          <t>Marcelo Ebrard</t>
        </is>
      </c>
      <c r="F289" s="45" t="inlineStr">
        <is>
          <t>Secretary of Economy of Mexico</t>
        </is>
      </c>
      <c r="G289" s="45" t="inlineStr">
        <is>
          <t>minister_cabinet</t>
        </is>
      </c>
      <c r="H289" s="45" t="inlineStr">
        <is>
          <t>LatAm executive</t>
        </is>
      </c>
      <c r="I289" s="45" t="inlineStr">
        <is>
          <t>MEX</t>
        </is>
      </c>
      <c r="J289" s="45" t="inlineStr">
        <is>
          <t>Morena</t>
        </is>
      </c>
      <c r="K289" s="45" t="inlineStr">
        <is>
          <t>press_conference</t>
        </is>
      </c>
      <c r="L289" s="45" t="inlineStr">
        <is>
          <t>U.S.-Mexico Action Plan on Critical Minerals</t>
        </is>
      </c>
      <c r="M289" s="45" t="inlineStr">
        <is>
          <t>critical_minerals_general</t>
        </is>
      </c>
      <c r="N289" s="45" t="inlineStr"/>
      <c r="O289" s="45" t="inlineStr">
        <is>
          <t>trade_deals_offtake;sovereignty;diplomatic_relations</t>
        </is>
      </c>
      <c r="P289" s="45" t="inlineStr">
        <is>
          <t>USA</t>
        </is>
      </c>
      <c r="Q289" s="45" t="inlineStr">
        <is>
          <t>not_mentioned</t>
        </is>
      </c>
      <c r="R289" s="45" t="inlineStr">
        <is>
          <t>positive</t>
        </is>
      </c>
      <c r="S289" s="45" t="inlineStr">
        <is>
          <t>Servicio Geológico Mexicano</t>
        </is>
      </c>
      <c r="T289" s="45" t="inlineStr">
        <is>
          <t>Ebrard said the Economy Ministry, which oversees the Geological Survey and mining regulation, would form a team to develop a joint work plan with the US on critical minerals, each side respecting its own laws and sovereignty.</t>
        </is>
      </c>
      <c r="U289" s="45" t="inlineStr">
        <is>
          <t>vamos a desarrollar un plan de trabajo conjunto... cada quien, respetando sus normas legales, son diferentes las nuestras a las de ellos. Y respetando cada quien la soberanía del otro</t>
        </is>
      </c>
      <c r="V289" s="45" t="inlineStr">
        <is>
          <t>we are going to develop a joint work plan... each respecting its legal norms, ours differ from theirs, and each respecting the other's sovereignty</t>
        </is>
      </c>
      <c r="W289" s="45" t="inlineStr">
        <is>
          <t>es</t>
        </is>
      </c>
      <c r="X289" s="45" t="inlineStr">
        <is>
          <t>Vanguardia</t>
        </is>
      </c>
      <c r="Y289" s="45" t="inlineStr">
        <is>
          <t>https://vanguardia.com.mx/noticias/mexico/mexico-y-eu-lanzan-plan-sobre-minerales-criticos-ebrard-dice-que-habra-plan-de-trabajo-conjunto-CO19176235</t>
        </is>
      </c>
      <c r="Z289" s="45" t="inlineStr">
        <is>
          <t>news_media</t>
        </is>
      </c>
      <c r="AA289" s="45" t="inlineStr">
        <is>
          <t>secondary_reported</t>
        </is>
      </c>
      <c r="AB289" s="45" t="inlineStr"/>
      <c r="AC289" s="45" t="inlineStr">
        <is>
          <t>MEX</t>
        </is>
      </c>
    </row>
    <row r="290" ht="15" customHeight="1" s="24">
      <c r="A290" s="45" t="inlineStr">
        <is>
          <t>PS-0289</t>
        </is>
      </c>
      <c r="B290" s="45" t="inlineStr">
        <is>
          <t>2026-02-04</t>
        </is>
      </c>
      <c r="C290" s="45" t="inlineStr">
        <is>
          <t>2026</t>
        </is>
      </c>
      <c r="D290" s="45" t="inlineStr">
        <is>
          <t>PER</t>
        </is>
      </c>
      <c r="E290" s="45" t="inlineStr">
        <is>
          <t>Carlos Talavera Flores</t>
        </is>
      </c>
      <c r="F290" s="45" t="inlineStr">
        <is>
          <t>Vice Minister of Mines of Peru</t>
        </is>
      </c>
      <c r="G290" s="45" t="inlineStr">
        <is>
          <t>other_executive</t>
        </is>
      </c>
      <c r="H290" s="45" t="inlineStr">
        <is>
          <t>LatAm executive</t>
        </is>
      </c>
      <c r="I290" s="45" t="inlineStr">
        <is>
          <t>PER</t>
        </is>
      </c>
      <c r="J290" s="45" t="inlineStr"/>
      <c r="K290" s="45" t="inlineStr">
        <is>
          <t>official_statement</t>
        </is>
      </c>
      <c r="L290" s="45" t="inlineStr">
        <is>
          <t>Critical Minerals Ministerial, Washington D.C.</t>
        </is>
      </c>
      <c r="M290" s="45" t="inlineStr">
        <is>
          <t>critical_minerals_general</t>
        </is>
      </c>
      <c r="N290" s="45" t="inlineStr"/>
      <c r="O290" s="45" t="inlineStr">
        <is>
          <t>trade_deals_offtake;financing_credit;energy_transition</t>
        </is>
      </c>
      <c r="P290" s="45" t="inlineStr">
        <is>
          <t>USA</t>
        </is>
      </c>
      <c r="Q290" s="45" t="inlineStr">
        <is>
          <t>not_mentioned</t>
        </is>
      </c>
      <c r="R290" s="45" t="inlineStr">
        <is>
          <t>positive</t>
        </is>
      </c>
      <c r="S290" s="45" t="inlineStr"/>
      <c r="T290" s="45" t="inlineStr">
        <is>
          <t>MINEM said Vice Minister Talavera led its delegation to the Washington critical minerals ministerial alongside the foreign minister, focusing on strengthening resilient global supply chains, investment conditions and financing.</t>
        </is>
      </c>
      <c r="U290" s="45" t="inlineStr"/>
      <c r="V290" s="45" t="inlineStr"/>
      <c r="W290" s="45" t="inlineStr">
        <is>
          <t>es</t>
        </is>
      </c>
      <c r="X290" s="45" t="inlineStr">
        <is>
          <t>Reporte Minero</t>
        </is>
      </c>
      <c r="Y290" s="45" t="inlineStr">
        <is>
          <t>https://www.reporteminero.cl/noticia/noticias/2026/02/peru-minem-reunion-ministerial-minerales-criticos-washington</t>
        </is>
      </c>
      <c r="Z290" s="45" t="inlineStr">
        <is>
          <t>news_media</t>
        </is>
      </c>
      <c r="AA290" s="45" t="inlineStr">
        <is>
          <t>secondary_reported</t>
        </is>
      </c>
      <c r="AB290" s="45" t="inlineStr"/>
      <c r="AC290" s="45" t="inlineStr">
        <is>
          <t>PER</t>
        </is>
      </c>
    </row>
    <row r="291" ht="15" customHeight="1" s="24">
      <c r="A291" s="45" t="inlineStr">
        <is>
          <t>PS-0290</t>
        </is>
      </c>
      <c r="B291" s="45" t="inlineStr">
        <is>
          <t>2026-02-04</t>
        </is>
      </c>
      <c r="C291" s="45" t="inlineStr">
        <is>
          <t>2026</t>
        </is>
      </c>
      <c r="D291" s="45" t="inlineStr">
        <is>
          <t>PER</t>
        </is>
      </c>
      <c r="E291" s="45" t="inlineStr">
        <is>
          <t>Hugo de Zela</t>
        </is>
      </c>
      <c r="F291" s="45" t="inlineStr">
        <is>
          <t>Minister of Foreign Affairs of Peru</t>
        </is>
      </c>
      <c r="G291" s="45" t="inlineStr">
        <is>
          <t>minister_cabinet</t>
        </is>
      </c>
      <c r="H291" s="45" t="inlineStr">
        <is>
          <t>LatAm executive</t>
        </is>
      </c>
      <c r="I291" s="45" t="inlineStr">
        <is>
          <t>PER</t>
        </is>
      </c>
      <c r="J291" s="45" t="inlineStr"/>
      <c r="K291" s="45" t="inlineStr">
        <is>
          <t>joint_declaration_or_mou</t>
        </is>
      </c>
      <c r="L291" s="45" t="inlineStr">
        <is>
          <t>Critical Minerals Ministerial, Washington D.C.; Peru-US MoU</t>
        </is>
      </c>
      <c r="M291" s="45" t="inlineStr">
        <is>
          <t>critical_minerals_general;copper</t>
        </is>
      </c>
      <c r="N291" s="45" t="inlineStr">
        <is>
          <t>260300;740200;740311</t>
        </is>
      </c>
      <c r="O291" s="45" t="inlineStr">
        <is>
          <t>trade_deals_offtake;processing_refining;financing_credit;technology_transfer</t>
        </is>
      </c>
      <c r="P291" s="45" t="inlineStr">
        <is>
          <t>USA</t>
        </is>
      </c>
      <c r="Q291" s="45" t="inlineStr">
        <is>
          <t>not_mentioned</t>
        </is>
      </c>
      <c r="R291" s="45" t="inlineStr">
        <is>
          <t>positive</t>
        </is>
      </c>
      <c r="S291" s="45" t="inlineStr"/>
      <c r="T291" s="45" t="inlineStr">
        <is>
          <t>De Zela signed a non-binding Peru-US memorandum of understanding on critical minerals in Washington, framed as enabling joint identification of priority projects and access to US financial and technological instruments for exploration, processing and recycling.</t>
        </is>
      </c>
      <c r="U291" s="45" t="inlineStr">
        <is>
          <t>The agreement facilitates the joint identification of priority projects, as well as access to financial and technological instruments that will contribute to boosting new investments.</t>
        </is>
      </c>
      <c r="V291" s="45" t="inlineStr">
        <is>
          <t>The agreement facilitates the joint identification of priority projects, as well as access to financial and technological instruments that will contribute to boosting new investments.</t>
        </is>
      </c>
      <c r="W291" s="45" t="inlineStr">
        <is>
          <t>en</t>
        </is>
      </c>
      <c r="X291" s="45" t="inlineStr">
        <is>
          <t>Andina</t>
        </is>
      </c>
      <c r="Y291" s="45" t="inlineStr">
        <is>
          <t>https://andina.pe/ingles/noticia-perus-foreign-affairs-minister-signs-critical-minerals-mou-in-us-1061912.aspx</t>
        </is>
      </c>
      <c r="Z291" s="45" t="inlineStr">
        <is>
          <t>primary_official</t>
        </is>
      </c>
      <c r="AA291" s="45" t="inlineStr">
        <is>
          <t>primary_verified</t>
        </is>
      </c>
      <c r="AB291" s="45" t="inlineStr">
        <is>
          <t>Andina is the state news agency; quote is official English version (may be ministry wording rather than minister's own)</t>
        </is>
      </c>
      <c r="AC291" s="45" t="inlineStr">
        <is>
          <t>PER</t>
        </is>
      </c>
    </row>
    <row r="292" ht="15" customHeight="1" s="24">
      <c r="A292" s="45" t="inlineStr">
        <is>
          <t>PS-0291</t>
        </is>
      </c>
      <c r="B292" s="45" t="inlineStr">
        <is>
          <t>2026-02-04</t>
        </is>
      </c>
      <c r="C292" s="45" t="inlineStr">
        <is>
          <t>2026</t>
        </is>
      </c>
      <c r="D292" s="45" t="inlineStr">
        <is>
          <t>PER</t>
        </is>
      </c>
      <c r="E292" s="45" t="inlineStr">
        <is>
          <t>U.S. Department of State</t>
        </is>
      </c>
      <c r="F292" s="45" t="inlineStr">
        <is>
          <t>Signatory, US-Peru critical minerals MoU</t>
        </is>
      </c>
      <c r="G292" s="45" t="inlineStr">
        <is>
          <t>us_central_gov</t>
        </is>
      </c>
      <c r="H292" s="45" t="inlineStr">
        <is>
          <t>United States</t>
        </is>
      </c>
      <c r="I292" s="45" t="inlineStr">
        <is>
          <t>USA</t>
        </is>
      </c>
      <c r="J292" s="45" t="inlineStr">
        <is>
          <t>Trump administration</t>
        </is>
      </c>
      <c r="K292" s="45" t="inlineStr">
        <is>
          <t>joint_declaration_or_mou</t>
        </is>
      </c>
      <c r="L292" s="45" t="inlineStr">
        <is>
          <t>Critical Minerals Ministerial, Washington</t>
        </is>
      </c>
      <c r="M292" s="45" t="inlineStr">
        <is>
          <t>critical_minerals_general;copper;lithium;tin</t>
        </is>
      </c>
      <c r="N292" s="45" t="inlineStr">
        <is>
          <t>253090;260300;282520;283691;740200;740311;800110</t>
        </is>
      </c>
      <c r="O292" s="45" t="inlineStr">
        <is>
          <t>trade_deals_offtake;financing_credit;technology_transfer</t>
        </is>
      </c>
      <c r="P292" s="45" t="inlineStr">
        <is>
          <t>PER</t>
        </is>
      </c>
      <c r="Q292" s="45" t="inlineStr">
        <is>
          <t>not_mentioned</t>
        </is>
      </c>
      <c r="R292" s="45" t="inlineStr">
        <is>
          <t>positive</t>
        </is>
      </c>
      <c r="S292" s="45" t="inlineStr"/>
      <c r="T292" s="45" t="inlineStr">
        <is>
          <t>The US and Peru (FM Hugo de Zela) signed a non-binding MoU on critical minerals to jointly identify priority projects and facilitate access to financing and technology, in the presence of VP Vance and Sec. Rubio.</t>
        </is>
      </c>
      <c r="U292" s="45" t="inlineStr"/>
      <c r="V292" s="45" t="inlineStr"/>
      <c r="W292" s="45" t="inlineStr">
        <is>
          <t>en</t>
        </is>
      </c>
      <c r="X292" s="45" t="inlineStr">
        <is>
          <t>Andina</t>
        </is>
      </c>
      <c r="Y292" s="45" t="inlineStr">
        <is>
          <t>https://andina.pe/ingles/noticia-perus-foreign-affairs-minister-signs-critical-minerals-mou-in-us-1061912.aspx</t>
        </is>
      </c>
      <c r="Z292" s="45" t="inlineStr">
        <is>
          <t>news_media</t>
        </is>
      </c>
      <c r="AA292" s="45" t="inlineStr">
        <is>
          <t>secondary_reported</t>
        </is>
      </c>
      <c r="AB292" s="45" t="inlineStr"/>
      <c r="AC292" s="45" t="inlineStr">
        <is>
          <t>USA_gov</t>
        </is>
      </c>
    </row>
    <row r="293" ht="15" customHeight="1" s="24">
      <c r="A293" s="45" t="inlineStr">
        <is>
          <t>PS-0292</t>
        </is>
      </c>
      <c r="B293" s="45" t="inlineStr">
        <is>
          <t>2026-02-04</t>
        </is>
      </c>
      <c r="C293" s="45" t="inlineStr">
        <is>
          <t>2026</t>
        </is>
      </c>
      <c r="D293" s="45" t="inlineStr">
        <is>
          <t>REG</t>
        </is>
      </c>
      <c r="E293" s="45" t="inlineStr">
        <is>
          <t>U.S. Department of State</t>
        </is>
      </c>
      <c r="F293" s="45" t="inlineStr">
        <is>
          <t>Host of 2026 Critical Minerals Ministerial (Sec. Marco Rubio)</t>
        </is>
      </c>
      <c r="G293" s="45" t="inlineStr">
        <is>
          <t>us_central_gov</t>
        </is>
      </c>
      <c r="H293" s="45" t="inlineStr">
        <is>
          <t>United States</t>
        </is>
      </c>
      <c r="I293" s="45" t="inlineStr">
        <is>
          <t>USA</t>
        </is>
      </c>
      <c r="J293" s="45" t="inlineStr">
        <is>
          <t>Trump administration</t>
        </is>
      </c>
      <c r="K293" s="45" t="inlineStr">
        <is>
          <t>official_statement</t>
        </is>
      </c>
      <c r="L293" s="45" t="inlineStr">
        <is>
          <t>2026 Critical Minerals Ministerial, Washington</t>
        </is>
      </c>
      <c r="M293" s="45" t="inlineStr">
        <is>
          <t>critical_minerals_general;rare_earths</t>
        </is>
      </c>
      <c r="N293" s="45" t="inlineStr">
        <is>
          <t>284690</t>
        </is>
      </c>
      <c r="O293" s="45" t="inlineStr">
        <is>
          <t>trade_deals_offtake;financing_credit;geopolitics_security</t>
        </is>
      </c>
      <c r="P293" s="45" t="inlineStr">
        <is>
          <t>ARG;BOL;BRA;ECU;PER;other</t>
        </is>
      </c>
      <c r="Q293" s="45" t="inlineStr">
        <is>
          <t>not_mentioned</t>
        </is>
      </c>
      <c r="R293" s="45" t="inlineStr">
        <is>
          <t>positive</t>
        </is>
      </c>
      <c r="S293" s="45" t="inlineStr"/>
      <c r="T293" s="45" t="inlineStr">
        <is>
          <t>State Department fact sheet on the ministerial hosted by Rubio and VP Vance listed attending delegations including Argentina, Bolivia, Brazil, Ecuador, Paraguay and Peru, new bilateral critical minerals frameworks/MOUs with Argentina, Ecuador, Paraguay and Peru, and $565 million for rare earth extraction in Brazil.</t>
        </is>
      </c>
      <c r="U293" s="45" t="inlineStr"/>
      <c r="V293" s="45" t="inlineStr"/>
      <c r="W293" s="45" t="inlineStr">
        <is>
          <t>en</t>
        </is>
      </c>
      <c r="X293" s="45" t="inlineStr">
        <is>
          <t>U.S. Department of State (via GlobalSecurity.org)</t>
        </is>
      </c>
      <c r="Y293" s="45" t="inlineStr">
        <is>
          <t>https://www.globalsecurity.org/military/library/news/2026/02/mil-260204-state02.htm</t>
        </is>
      </c>
      <c r="Z293" s="45" t="inlineStr">
        <is>
          <t>primary_official</t>
        </is>
      </c>
      <c r="AA293" s="45" t="inlineStr">
        <is>
          <t>primary_verified</t>
        </is>
      </c>
      <c r="AB293" s="45" t="inlineStr">
        <is>
          <t>Fact sheet reproduced by GlobalSecurity; 'other' = Paraguay</t>
        </is>
      </c>
      <c r="AC293" s="45" t="inlineStr">
        <is>
          <t>USA_gov</t>
        </is>
      </c>
    </row>
    <row r="294" ht="15" customHeight="1" s="24">
      <c r="A294" s="45" t="inlineStr">
        <is>
          <t>PS-0293</t>
        </is>
      </c>
      <c r="B294" s="45" t="inlineStr">
        <is>
          <t>2026-02-05</t>
        </is>
      </c>
      <c r="C294" s="45" t="inlineStr">
        <is>
          <t>2026</t>
        </is>
      </c>
      <c r="D294" s="45" t="inlineStr">
        <is>
          <t>ARG</t>
        </is>
      </c>
      <c r="E294" s="45" t="inlineStr">
        <is>
          <t>Christopher Landau</t>
        </is>
      </c>
      <c r="F294" s="45" t="inlineStr">
        <is>
          <t>U.S. Deputy Secretary of State</t>
        </is>
      </c>
      <c r="G294" s="45" t="inlineStr">
        <is>
          <t>us_central_gov</t>
        </is>
      </c>
      <c r="H294" s="45" t="inlineStr">
        <is>
          <t>United States</t>
        </is>
      </c>
      <c r="I294" s="45" t="inlineStr">
        <is>
          <t>USA</t>
        </is>
      </c>
      <c r="J294" s="45" t="inlineStr">
        <is>
          <t>Trump administration</t>
        </is>
      </c>
      <c r="K294" s="45" t="inlineStr">
        <is>
          <t>joint_declaration_or_mou</t>
        </is>
      </c>
      <c r="L294" s="45" t="inlineStr">
        <is>
          <t>Signing of US-Argentina Framework on critical minerals supply, Critical Minerals Ministerial</t>
        </is>
      </c>
      <c r="M294" s="45" t="inlineStr">
        <is>
          <t>critical_minerals_general;lithium;copper</t>
        </is>
      </c>
      <c r="N294" s="45" t="inlineStr">
        <is>
          <t>253090;260300;282520;283691;740200;740311</t>
        </is>
      </c>
      <c r="O294" s="45" t="inlineStr">
        <is>
          <t>trade_deals_offtake;processing_refining;diplomatic_relations</t>
        </is>
      </c>
      <c r="P294" s="45" t="inlineStr">
        <is>
          <t>ARG</t>
        </is>
      </c>
      <c r="Q294" s="45" t="inlineStr">
        <is>
          <t>not_mentioned</t>
        </is>
      </c>
      <c r="R294" s="45" t="inlineStr">
        <is>
          <t>positive</t>
        </is>
      </c>
      <c r="S294" s="45" t="inlineStr"/>
      <c r="T294" s="45" t="inlineStr">
        <is>
          <t>Landau signed with FM Pablo Quirno a framework instrument to secure supply in critical minerals mining and processing, praising Argentina's leadership.</t>
        </is>
      </c>
      <c r="U294" s="45" t="inlineStr">
        <is>
          <t>Critical minerals cooperation strengthens U.S.-Argentina ties and advances secure, sustainable supply chains.</t>
        </is>
      </c>
      <c r="V294" s="45" t="inlineStr">
        <is>
          <t>Critical minerals cooperation strengthens U.S.-Argentina ties and advances secure, sustainable supply chains.</t>
        </is>
      </c>
      <c r="W294" s="45" t="inlineStr">
        <is>
          <t>en</t>
        </is>
      </c>
      <c r="X294" s="45" t="inlineStr">
        <is>
          <t>Buenos Aires Herald</t>
        </is>
      </c>
      <c r="Y294" s="45" t="inlineStr">
        <is>
          <t>https://buenosairesherald.com/business/argentina-and-us-sign-critical-minerals-agreement</t>
        </is>
      </c>
      <c r="Z294" s="45" t="inlineStr">
        <is>
          <t>news_media</t>
        </is>
      </c>
      <c r="AA294" s="45" t="inlineStr">
        <is>
          <t>secondary_reported</t>
        </is>
      </c>
      <c r="AB294" s="45" t="inlineStr"/>
      <c r="AC294" s="45" t="inlineStr">
        <is>
          <t>USA_gov</t>
        </is>
      </c>
    </row>
    <row r="295" ht="15" customHeight="1" s="24">
      <c r="A295" s="45" t="inlineStr">
        <is>
          <t>PS-0294</t>
        </is>
      </c>
      <c r="B295" s="45" t="inlineStr">
        <is>
          <t>2026-02-05</t>
        </is>
      </c>
      <c r="C295" s="45" t="inlineStr">
        <is>
          <t>2026</t>
        </is>
      </c>
      <c r="D295" s="45" t="inlineStr">
        <is>
          <t>ARG</t>
        </is>
      </c>
      <c r="E295" s="45" t="inlineStr">
        <is>
          <t>Lin Jian</t>
        </is>
      </c>
      <c r="F295" s="45" t="inlineStr">
        <is>
          <t>Spokesperson, Ministry of Foreign Affairs of China</t>
        </is>
      </c>
      <c r="G295" s="45" t="inlineStr">
        <is>
          <t>china_central_gov</t>
        </is>
      </c>
      <c r="H295" s="45" t="inlineStr">
        <is>
          <t>China</t>
        </is>
      </c>
      <c r="I295" s="45" t="inlineStr">
        <is>
          <t>CHN</t>
        </is>
      </c>
      <c r="J295" s="45" t="inlineStr">
        <is>
          <t>CCP</t>
        </is>
      </c>
      <c r="K295" s="45" t="inlineStr">
        <is>
          <t>press_conference</t>
        </is>
      </c>
      <c r="L295" s="45" t="inlineStr">
        <is>
          <t>MFA regular press conference after US-hosted critical minerals ministerial and Argentina-US critical minerals agreement</t>
        </is>
      </c>
      <c r="M295" s="45" t="inlineStr">
        <is>
          <t>critical_minerals_general</t>
        </is>
      </c>
      <c r="N295" s="45" t="inlineStr"/>
      <c r="O295" s="45" t="inlineStr">
        <is>
          <t>geopolitics_security;trade_deals_offtake;tariffs_trade_policy</t>
        </is>
      </c>
      <c r="P295" s="45" t="inlineStr">
        <is>
          <t>USA</t>
        </is>
      </c>
      <c r="Q295" s="45" t="inlineStr">
        <is>
          <t>positive</t>
        </is>
      </c>
      <c r="R295" s="45" t="inlineStr">
        <is>
          <t>negative</t>
        </is>
      </c>
      <c r="S295" s="45" t="inlineStr"/>
      <c r="T295" s="45" t="inlineStr">
        <is>
          <t>Asked about the US-organised critical minerals arrangement, Lin Jian said all parties should help keep global critical-mineral supply chains stable and opposed any country using 'small circle' rules to undermine the international economic and trade order. The remarks were reported alongside Argentina's signing of a critical minerals deal with the US.</t>
        </is>
      </c>
      <c r="U295" s="45" t="inlineStr">
        <is>
          <t>各方都有责任为维护关键矿产全球产供链稳定与安全发挥建设性作用。</t>
        </is>
      </c>
      <c r="V295" s="45" t="inlineStr">
        <is>
          <t>All parties have a responsibility to play a constructive role in maintaining the stability and security of global critical-mineral supply chains.</t>
        </is>
      </c>
      <c r="W295" s="45" t="inlineStr">
        <is>
          <t>zh</t>
        </is>
      </c>
      <c r="X295" s="45" t="inlineStr">
        <is>
          <t>ifeng.com</t>
        </is>
      </c>
      <c r="Y295" s="45" t="inlineStr">
        <is>
          <t>https://news.ifeng.com/c/8qZTwaL5AxS</t>
        </is>
      </c>
      <c r="Z295" s="45" t="inlineStr">
        <is>
          <t>news_media</t>
        </is>
      </c>
      <c r="AA295" s="45" t="inlineStr">
        <is>
          <t>secondary_reported</t>
        </is>
      </c>
      <c r="AB295" s="45" t="inlineStr">
        <is>
          <t>Article headline concerns Argentine FM saying the US deal does not exclude Chinese investment; Lin's remark addresses the US-led mechanism generally, not Argentina by name. A similar Lin Jian remark on 4 Feb 2026 is reported at news.ifeng.com/c/8qZobd1qUnI. MFA transcript not fetched.</t>
        </is>
      </c>
      <c r="AC295" s="45" t="inlineStr">
        <is>
          <t>CHN_gov</t>
        </is>
      </c>
    </row>
    <row r="296" ht="15" customHeight="1" s="24">
      <c r="A296" s="45" t="inlineStr">
        <is>
          <t>PS-0295</t>
        </is>
      </c>
      <c r="B296" s="45" t="inlineStr">
        <is>
          <t>2026-02-05</t>
        </is>
      </c>
      <c r="C296" s="45" t="inlineStr">
        <is>
          <t>2026</t>
        </is>
      </c>
      <c r="D296" s="45" t="inlineStr">
        <is>
          <t>ARG</t>
        </is>
      </c>
      <c r="E296" s="45" t="inlineStr">
        <is>
          <t>Pablo Quirno; Marco Rubio</t>
        </is>
      </c>
      <c r="F296" s="45" t="inlineStr">
        <is>
          <t>Foreign Minister of Argentina; US Secretary of State</t>
        </is>
      </c>
      <c r="G296" s="45" t="inlineStr">
        <is>
          <t>minister_cabinet</t>
        </is>
      </c>
      <c r="H296" s="45" t="inlineStr">
        <is>
          <t>LatAm executive</t>
        </is>
      </c>
      <c r="I296" s="45" t="inlineStr">
        <is>
          <t>ARG</t>
        </is>
      </c>
      <c r="J296" s="45" t="inlineStr">
        <is>
          <t>La Libertad Avanza</t>
        </is>
      </c>
      <c r="K296" s="45" t="inlineStr">
        <is>
          <t>joint_declaration_or_mou</t>
        </is>
      </c>
      <c r="L296" s="45" t="inlineStr">
        <is>
          <t>Signing of Argentina-US critical minerals agreement, Washington</t>
        </is>
      </c>
      <c r="M296" s="45" t="inlineStr">
        <is>
          <t>critical_minerals_general;copper;lithium</t>
        </is>
      </c>
      <c r="N296" s="45" t="inlineStr">
        <is>
          <t>253090;260300;282520;283691;740200;740311</t>
        </is>
      </c>
      <c r="O296" s="45" t="inlineStr">
        <is>
          <t>trade_deals_offtake;foreign_investment;geopolitics_security</t>
        </is>
      </c>
      <c r="P296" s="45" t="inlineStr">
        <is>
          <t>USA</t>
        </is>
      </c>
      <c r="Q296" s="45" t="inlineStr">
        <is>
          <t>not_mentioned</t>
        </is>
      </c>
      <c r="R296" s="45" t="inlineStr">
        <is>
          <t>positive</t>
        </is>
      </c>
      <c r="S296" s="45" t="inlineStr"/>
      <c r="T296" s="45" t="inlineStr">
        <is>
          <t>Argentina and the US signed a bilateral critical minerals framework aimed at stronger, diversified and resilient value chains and long-term productive investment, with Argentina projecting mining exports above US$20bn within seven years.</t>
        </is>
      </c>
      <c r="U296" s="45" t="inlineStr">
        <is>
          <t>garantizar cadenas de valor más sólidas, diversificadas y resilientes, fomentando inversiones productivas de largo plazo</t>
        </is>
      </c>
      <c r="V296" s="45" t="inlineStr">
        <is>
          <t>ensure stronger, more diversified and resilient value chains, fostering long-term productive investment</t>
        </is>
      </c>
      <c r="W296" s="45" t="inlineStr">
        <is>
          <t>es</t>
        </is>
      </c>
      <c r="X296" s="45" t="inlineStr">
        <is>
          <t>Diario de Cuyo</t>
        </is>
      </c>
      <c r="Y296" s="45" t="inlineStr">
        <is>
          <t>https://www.diariodecuyo.com.ar/cuyominero/argentina-y-estados-unidos-suscribieron-un-acuerdo-sobre-minerales-criticos-1829029.html</t>
        </is>
      </c>
      <c r="Z296" s="45" t="inlineStr">
        <is>
          <t>news_media</t>
        </is>
      </c>
      <c r="AA296" s="45" t="inlineStr">
        <is>
          <t>secondary_reported</t>
        </is>
      </c>
      <c r="AB296" s="45" t="inlineStr">
        <is>
          <t>Official Cancillería release exists (cancilleria.gob.ar) but timed out on fetch.</t>
        </is>
      </c>
      <c r="AC296" s="45" t="inlineStr">
        <is>
          <t>ARG</t>
        </is>
      </c>
    </row>
    <row r="297" ht="15" customHeight="1" s="24">
      <c r="A297" s="45" t="inlineStr">
        <is>
          <t>PS-0296</t>
        </is>
      </c>
      <c r="B297" s="45" t="inlineStr">
        <is>
          <t>2026-02-05</t>
        </is>
      </c>
      <c r="C297" s="45" t="inlineStr">
        <is>
          <t>2026</t>
        </is>
      </c>
      <c r="D297" s="45" t="inlineStr">
        <is>
          <t>REG</t>
        </is>
      </c>
      <c r="E297" s="45" t="inlineStr">
        <is>
          <t>Marco Rubio</t>
        </is>
      </c>
      <c r="F297" s="45" t="inlineStr">
        <is>
          <t>U.S. Secretary of State</t>
        </is>
      </c>
      <c r="G297" s="45" t="inlineStr">
        <is>
          <t>us_central_gov</t>
        </is>
      </c>
      <c r="H297" s="45" t="inlineStr">
        <is>
          <t>United States</t>
        </is>
      </c>
      <c r="I297" s="45" t="inlineStr">
        <is>
          <t>USA</t>
        </is>
      </c>
      <c r="J297" s="45" t="inlineStr">
        <is>
          <t>Republican</t>
        </is>
      </c>
      <c r="K297" s="45" t="inlineStr">
        <is>
          <t>official_statement</t>
        </is>
      </c>
      <c r="L297" s="45" t="inlineStr">
        <is>
          <t>Close of 2026 Critical Minerals Ministerial; 11 bilateral frameworks incl. Argentina, Ecuador, Paraguay, Peru</t>
        </is>
      </c>
      <c r="M297" s="45" t="inlineStr">
        <is>
          <t>critical_minerals_general;rare_earths</t>
        </is>
      </c>
      <c r="N297" s="45" t="inlineStr">
        <is>
          <t>284690</t>
        </is>
      </c>
      <c r="O297" s="45" t="inlineStr">
        <is>
          <t>trade_deals_offtake;financing_credit;geopolitics_security</t>
        </is>
      </c>
      <c r="P297" s="45" t="inlineStr">
        <is>
          <t>ARG;ECU;PER;other</t>
        </is>
      </c>
      <c r="Q297" s="45" t="inlineStr">
        <is>
          <t>not_mentioned</t>
        </is>
      </c>
      <c r="R297" s="45" t="inlineStr">
        <is>
          <t>positive</t>
        </is>
      </c>
      <c r="S297" s="45" t="inlineStr"/>
      <c r="T297" s="45" t="inlineStr">
        <is>
          <t>Rubio said the US and partners took a decisive step to reshape the global critical minerals and rare earths market, as 11 new bilateral agreements were signed including with Argentina, Ecuador, Paraguay and Peru.</t>
        </is>
      </c>
      <c r="U297" s="45" t="inlineStr">
        <is>
          <t>took a decisive step to reshape the global market for critical minerals and rare earths, strengthening supply chains that underpin the world's most advanced technologies</t>
        </is>
      </c>
      <c r="V297" s="45" t="inlineStr">
        <is>
          <t>took a decisive step to reshape the global market for critical minerals and rare earths, strengthening supply chains that underpin the world's most advanced technologies</t>
        </is>
      </c>
      <c r="W297" s="45" t="inlineStr">
        <is>
          <t>en</t>
        </is>
      </c>
      <c r="X297" s="45" t="inlineStr">
        <is>
          <t>UNI (United News of India)</t>
        </is>
      </c>
      <c r="Y297" s="45" t="inlineStr">
        <is>
          <t>https://www.uniindia.com/news/world/us-partners-sign-11-critical-minerals-agreements-to-secure-supply-chains/3730388.html</t>
        </is>
      </c>
      <c r="Z297" s="45" t="inlineStr">
        <is>
          <t>news_media</t>
        </is>
      </c>
      <c r="AA297" s="45" t="inlineStr">
        <is>
          <t>secondary_reported</t>
        </is>
      </c>
      <c r="AB297" s="45" t="inlineStr">
        <is>
          <t>'other' = Paraguay</t>
        </is>
      </c>
      <c r="AC297" s="45" t="inlineStr">
        <is>
          <t>USA_gov</t>
        </is>
      </c>
    </row>
    <row r="298" ht="15" customHeight="1" s="24">
      <c r="A298" s="45" t="inlineStr">
        <is>
          <t>PS-0297</t>
        </is>
      </c>
      <c r="B298" s="45" t="inlineStr">
        <is>
          <t>2026-02-09</t>
        </is>
      </c>
      <c r="C298" s="45" t="inlineStr">
        <is>
          <t>2026</t>
        </is>
      </c>
      <c r="D298" s="45" t="inlineStr">
        <is>
          <t>MEX</t>
        </is>
      </c>
      <c r="E298" s="45" t="inlineStr">
        <is>
          <t>Claudia Sheinbaum</t>
        </is>
      </c>
      <c r="F298" s="45" t="inlineStr">
        <is>
          <t>President of Mexico</t>
        </is>
      </c>
      <c r="G298" s="45" t="inlineStr">
        <is>
          <t>head_of_state</t>
        </is>
      </c>
      <c r="H298" s="45" t="inlineStr">
        <is>
          <t>LatAm executive</t>
        </is>
      </c>
      <c r="I298" s="45" t="inlineStr">
        <is>
          <t>MEX</t>
        </is>
      </c>
      <c r="J298" s="45" t="inlineStr">
        <is>
          <t>Morena</t>
        </is>
      </c>
      <c r="K298" s="45" t="inlineStr">
        <is>
          <t>press_conference</t>
        </is>
      </c>
      <c r="L298" s="45" t="inlineStr">
        <is>
          <t>Mañanera on US critical minerals talks and mining concessions</t>
        </is>
      </c>
      <c r="M298" s="45" t="inlineStr">
        <is>
          <t>critical_minerals_general;mining_general</t>
        </is>
      </c>
      <c r="N298" s="45" t="inlineStr"/>
      <c r="O298" s="45" t="inlineStr">
        <is>
          <t>sovereignty;state_control_nationalization;diplomatic_relations</t>
        </is>
      </c>
      <c r="P298" s="45" t="inlineStr">
        <is>
          <t>USA</t>
        </is>
      </c>
      <c r="Q298" s="45" t="inlineStr">
        <is>
          <t>not_mentioned</t>
        </is>
      </c>
      <c r="R298" s="45" t="inlineStr">
        <is>
          <t>neutral</t>
        </is>
      </c>
      <c r="S298" s="45" t="inlineStr"/>
      <c r="T298" s="45" t="inlineStr">
        <is>
          <t>Sheinbaum said nothing had been signed with the US on critical minerals, that Mexico would not change its mining law or open new mines as a result, and that over 200 unproductive concessions would return to the state.</t>
        </is>
      </c>
      <c r="U298" s="45" t="inlineStr">
        <is>
          <t>No hay nada firmado… Estados Unidos investiga en su país y nosotros exploramos en el nuestro, cada quien conforme a sus propias leyes</t>
        </is>
      </c>
      <c r="V298" s="45" t="inlineStr">
        <is>
          <t>Nothing is signed... the United States researches in its country and we explore in ours, each according to its own laws</t>
        </is>
      </c>
      <c r="W298" s="45" t="inlineStr">
        <is>
          <t>es</t>
        </is>
      </c>
      <c r="X298" s="45" t="inlineStr">
        <is>
          <t>Diario de Yucatán</t>
        </is>
      </c>
      <c r="Y298" s="45" t="inlineStr">
        <is>
          <t>https://www.yucatan.com.mx/mexico/2026/02/09/sheinbaum-descarta-cambios-a-la-ley-minera-ante-negociaciones-por-minerales-criticos-con-ee-uu.html</t>
        </is>
      </c>
      <c r="Z298" s="45" t="inlineStr">
        <is>
          <t>news_media</t>
        </is>
      </c>
      <c r="AA298" s="45" t="inlineStr">
        <is>
          <t>secondary_reported</t>
        </is>
      </c>
      <c r="AB298" s="45" t="inlineStr"/>
      <c r="AC298" s="45" t="inlineStr">
        <is>
          <t>MEX</t>
        </is>
      </c>
    </row>
    <row r="299" ht="15" customHeight="1" s="24">
      <c r="A299" s="45" t="inlineStr">
        <is>
          <t>PS-0298</t>
        </is>
      </c>
      <c r="B299" s="45" t="inlineStr">
        <is>
          <t>2026-02-10</t>
        </is>
      </c>
      <c r="C299" s="45" t="inlineStr">
        <is>
          <t>2026</t>
        </is>
      </c>
      <c r="D299" s="45" t="inlineStr">
        <is>
          <t>ARG</t>
        </is>
      </c>
      <c r="E299" s="45" t="inlineStr">
        <is>
          <t>Pablo Quirno</t>
        </is>
      </c>
      <c r="F299" s="45" t="inlineStr">
        <is>
          <t>Foreign Minister of Argentina</t>
        </is>
      </c>
      <c r="G299" s="45" t="inlineStr">
        <is>
          <t>minister_cabinet</t>
        </is>
      </c>
      <c r="H299" s="45" t="inlineStr">
        <is>
          <t>LatAm executive</t>
        </is>
      </c>
      <c r="I299" s="45" t="inlineStr">
        <is>
          <t>ARG</t>
        </is>
      </c>
      <c r="J299" s="45" t="inlineStr">
        <is>
          <t>La Libertad Avanza</t>
        </is>
      </c>
      <c r="K299" s="45" t="inlineStr">
        <is>
          <t>press_conference</t>
        </is>
      </c>
      <c r="L299" s="45" t="inlineStr">
        <is>
          <t>Press conference after US-Argentina critical minerals and reciprocal trade agreements</t>
        </is>
      </c>
      <c r="M299" s="45" t="inlineStr">
        <is>
          <t>critical_minerals_general</t>
        </is>
      </c>
      <c r="N299" s="45" t="inlineStr"/>
      <c r="O299" s="45" t="inlineStr">
        <is>
          <t>foreign_investment;geopolitics_security;diplomatic_relations</t>
        </is>
      </c>
      <c r="P299" s="45" t="inlineStr">
        <is>
          <t>CHN;USA</t>
        </is>
      </c>
      <c r="Q299" s="45" t="inlineStr">
        <is>
          <t>neutral</t>
        </is>
      </c>
      <c r="R299" s="45" t="inlineStr">
        <is>
          <t>positive</t>
        </is>
      </c>
      <c r="S299" s="45" t="inlineStr"/>
      <c r="T299" s="45" t="inlineStr">
        <is>
          <t>Quirno said the agreements with the US do not prevent China from participating in Argentine investments, noting China already has mineral investments in the country, while the pact prioritizes the US over market-manipulating economies.</t>
        </is>
      </c>
      <c r="U299" s="45" t="inlineStr">
        <is>
          <t>Esto, a hoy, no implica que China no pueda participar o no vaya a participar en inversiones en Argentina. De hecho, tiene inversiones en Argentina, en minerales</t>
        </is>
      </c>
      <c r="V299" s="45" t="inlineStr">
        <is>
          <t>This, as of today, does not mean China cannot or will not participate in investments in Argentina. In fact, it has investments in Argentina, in minerals</t>
        </is>
      </c>
      <c r="W299" s="45" t="inlineStr">
        <is>
          <t>es</t>
        </is>
      </c>
      <c r="X299" s="45" t="inlineStr">
        <is>
          <t>Reporte Minero</t>
        </is>
      </c>
      <c r="Y299" s="45" t="inlineStr">
        <is>
          <t>https://www.reporteminero.cl/noticia/noticias/2026/02/acuerdo-argentina-eeuu-minerales-criticos-no-excluye-china-quirno</t>
        </is>
      </c>
      <c r="Z299" s="45" t="inlineStr">
        <is>
          <t>news_media</t>
        </is>
      </c>
      <c r="AA299" s="45" t="inlineStr">
        <is>
          <t>secondary_reported</t>
        </is>
      </c>
      <c r="AB299" s="45" t="inlineStr"/>
      <c r="AC299" s="45" t="inlineStr">
        <is>
          <t>ARG</t>
        </is>
      </c>
    </row>
    <row r="300" ht="15" customHeight="1" s="24">
      <c r="A300" s="45" t="inlineStr">
        <is>
          <t>PS-0299</t>
        </is>
      </c>
      <c r="B300" s="45" t="inlineStr">
        <is>
          <t>2026-02-10</t>
        </is>
      </c>
      <c r="C300" s="45" t="inlineStr">
        <is>
          <t>2026</t>
        </is>
      </c>
      <c r="D300" s="45" t="inlineStr">
        <is>
          <t>PER</t>
        </is>
      </c>
      <c r="E300" s="45" t="inlineStr">
        <is>
          <t>U.S. Department of State, Bureau of Western Hemisphere Affairs</t>
        </is>
      </c>
      <c r="F300" s="45" t="inlineStr">
        <is>
          <t>US State Department bureau</t>
        </is>
      </c>
      <c r="G300" s="45" t="inlineStr">
        <is>
          <t>us_central_gov</t>
        </is>
      </c>
      <c r="H300" s="45" t="inlineStr">
        <is>
          <t>United States</t>
        </is>
      </c>
      <c r="I300" s="45" t="inlineStr">
        <is>
          <t>USA</t>
        </is>
      </c>
      <c r="J300" s="45" t="inlineStr"/>
      <c r="K300" s="45" t="inlineStr">
        <is>
          <t>social_media_post</t>
        </is>
      </c>
      <c r="L300" s="45" t="inlineStr">
        <is>
          <t>Court ruling exempting Chancay port from Ositran oversight</t>
        </is>
      </c>
      <c r="M300" s="45" t="inlineStr">
        <is>
          <t>mining_general</t>
        </is>
      </c>
      <c r="N300" s="45" t="inlineStr"/>
      <c r="O300" s="45" t="inlineStr">
        <is>
          <t>geopolitics_security;sovereignty;infrastructure_ports</t>
        </is>
      </c>
      <c r="P300" s="45" t="inlineStr">
        <is>
          <t>CHN;PER</t>
        </is>
      </c>
      <c r="Q300" s="45" t="inlineStr">
        <is>
          <t>negative</t>
        </is>
      </c>
      <c r="R300" s="45" t="inlineStr">
        <is>
          <t>not_mentioned</t>
        </is>
      </c>
      <c r="S300" s="45" t="inlineStr">
        <is>
          <t>Puerto de Chancay; Cosco Shipping; Ositran</t>
        </is>
      </c>
      <c r="T300" s="45" t="inlineStr">
        <is>
          <t>The State Department's WHA bureau said it was concerned Peru could be powerless to oversee Chancay under 'predatory Chinese owners' and warned that cheap Chinese money costs sovereignty.</t>
        </is>
      </c>
      <c r="U300" s="45" t="inlineStr">
        <is>
          <t>concerned about latest reports that Peru could be powerless to oversee Chancay, one of its largest ports, which is under the jurisdiction of predatory Chinese owners</t>
        </is>
      </c>
      <c r="V300" s="45" t="inlineStr">
        <is>
          <t>concerned about latest reports that Peru could be powerless to oversee Chancay, one of its largest ports, which is under the jurisdiction of predatory Chinese owners</t>
        </is>
      </c>
      <c r="W300" s="45" t="inlineStr">
        <is>
          <t>en</t>
        </is>
      </c>
      <c r="X300" s="45" t="inlineStr">
        <is>
          <t>AP via Wyoming Public Media</t>
        </is>
      </c>
      <c r="Y300" s="45" t="inlineStr">
        <is>
          <t>https://www.wyomingpublicmedia.org/2026-02-11/in-blunt-warning-the-u-s-says-peru-could-lose-its-sovereignty-to-china</t>
        </is>
      </c>
      <c r="Z300" s="45" t="inlineStr">
        <is>
          <t>news_media</t>
        </is>
      </c>
      <c r="AA300" s="45" t="inlineStr">
        <is>
          <t>secondary_reported</t>
        </is>
      </c>
      <c r="AB300" s="45" t="inlineStr">
        <is>
          <t>Date approximate (post before 11 Feb 2026); port record</t>
        </is>
      </c>
      <c r="AC300" s="45" t="inlineStr">
        <is>
          <t>PER</t>
        </is>
      </c>
    </row>
    <row r="301" ht="15" customHeight="1" s="24">
      <c r="A301" s="45" t="inlineStr">
        <is>
          <t>PS-0300</t>
        </is>
      </c>
      <c r="B301" s="45" t="inlineStr">
        <is>
          <t>2026-02-11</t>
        </is>
      </c>
      <c r="C301" s="45" t="inlineStr">
        <is>
          <t>2026</t>
        </is>
      </c>
      <c r="D301" s="45" t="inlineStr">
        <is>
          <t>ECU</t>
        </is>
      </c>
      <c r="E301" s="45" t="inlineStr">
        <is>
          <t>Caleb Orr</t>
        </is>
      </c>
      <c r="F301" s="45" t="inlineStr">
        <is>
          <t>U.S. Assistant Secretary of State for Economic, Energy and Business Affairs</t>
        </is>
      </c>
      <c r="G301" s="45" t="inlineStr">
        <is>
          <t>us_central_gov</t>
        </is>
      </c>
      <c r="H301" s="45" t="inlineStr">
        <is>
          <t>United States</t>
        </is>
      </c>
      <c r="I301" s="45" t="inlineStr">
        <is>
          <t>USA</t>
        </is>
      </c>
      <c r="J301" s="45" t="inlineStr">
        <is>
          <t>Trump administration</t>
        </is>
      </c>
      <c r="K301" s="45" t="inlineStr">
        <is>
          <t>press_conference</t>
        </is>
      </c>
      <c r="L301" s="45" t="inlineStr">
        <is>
          <t>Press briefing on US-Ecuador framework agreement on critical minerals and rare earths</t>
        </is>
      </c>
      <c r="M301" s="45" t="inlineStr">
        <is>
          <t>critical_minerals_general;rare_earths;copper</t>
        </is>
      </c>
      <c r="N301" s="45" t="inlineStr">
        <is>
          <t>260300;284690;740200;740311</t>
        </is>
      </c>
      <c r="O301" s="45" t="inlineStr">
        <is>
          <t>foreign_investment;geopolitics_security;trade_deals_offtake</t>
        </is>
      </c>
      <c r="P301" s="45" t="inlineStr">
        <is>
          <t>ECU;CHN</t>
        </is>
      </c>
      <c r="Q301" s="45" t="inlineStr">
        <is>
          <t>neutral</t>
        </is>
      </c>
      <c r="R301" s="45" t="inlineStr">
        <is>
          <t>positive</t>
        </is>
      </c>
      <c r="S301" s="45" t="inlineStr"/>
      <c r="T301" s="45" t="inlineStr">
        <is>
          <t>Orr said the US-Ecuador critical minerals framework, which facilitates US investment, speeds permits for strategic projects, gives the US a first option on certain assets and discourages sales affecting national security, is not retaliation against China but about supply chain resilience and high standards, noting Ecuador's high-quality rare earth, copper and gold reserves.</t>
        </is>
      </c>
      <c r="U301" s="45" t="inlineStr">
        <is>
          <t>Esperamos colaborar con Ecuador para identificar esos proyectos y promover una mayor inversión</t>
        </is>
      </c>
      <c r="V301" s="45" t="inlineStr">
        <is>
          <t>We hope to collaborate with Ecuador to identify those projects and promote greater investment</t>
        </is>
      </c>
      <c r="W301" s="45" t="inlineStr">
        <is>
          <t>es</t>
        </is>
      </c>
      <c r="X301" s="45" t="inlineStr">
        <is>
          <t>Primicias</t>
        </is>
      </c>
      <c r="Y301" s="45" t="inlineStr">
        <is>
          <t>https://www.primicias.ec/economia/estados-unidos-ecuador-tierras-raras-cobre-oro-suministro-china-115849/</t>
        </is>
      </c>
      <c r="Z301" s="45" t="inlineStr">
        <is>
          <t>news_media</t>
        </is>
      </c>
      <c r="AA301" s="45" t="inlineStr">
        <is>
          <t>secondary_reported</t>
        </is>
      </c>
      <c r="AB301" s="45" t="inlineStr">
        <is>
          <t>Spanish rendering of Orr's remarks; he also said the accord 'no es una represalia contra China' (Primicias https://www.primicias.ec/politica/estados-unidos-quiere-alejar-ecuador-china-peso-relacion-bilateral-pekin-ata-carondelet-132279/)</t>
        </is>
      </c>
      <c r="AC301" s="45" t="inlineStr">
        <is>
          <t>USA_gov</t>
        </is>
      </c>
    </row>
    <row r="302" ht="15" customHeight="1" s="24">
      <c r="A302" s="45" t="inlineStr">
        <is>
          <t>PS-0301</t>
        </is>
      </c>
      <c r="B302" s="45" t="inlineStr">
        <is>
          <t>2026-02-12</t>
        </is>
      </c>
      <c r="C302" s="45" t="inlineStr">
        <is>
          <t>2026</t>
        </is>
      </c>
      <c r="D302" s="45" t="inlineStr">
        <is>
          <t>MEX</t>
        </is>
      </c>
      <c r="E302" s="45" t="inlineStr">
        <is>
          <t>Claudia Sheinbaum</t>
        </is>
      </c>
      <c r="F302" s="45" t="inlineStr">
        <is>
          <t>President of Mexico</t>
        </is>
      </c>
      <c r="G302" s="45" t="inlineStr">
        <is>
          <t>head_of_state</t>
        </is>
      </c>
      <c r="H302" s="45" t="inlineStr">
        <is>
          <t>LatAm executive</t>
        </is>
      </c>
      <c r="I302" s="45" t="inlineStr">
        <is>
          <t>MEX</t>
        </is>
      </c>
      <c r="J302" s="45" t="inlineStr">
        <is>
          <t>Morena</t>
        </is>
      </c>
      <c r="K302" s="45" t="inlineStr">
        <is>
          <t>press_conference</t>
        </is>
      </c>
      <c r="L302" s="45" t="inlineStr">
        <is>
          <t>Mañanera on US-led multilateral critical minerals talks</t>
        </is>
      </c>
      <c r="M302" s="45" t="inlineStr">
        <is>
          <t>critical_minerals_general</t>
        </is>
      </c>
      <c r="N302" s="45" t="inlineStr"/>
      <c r="O302" s="45" t="inlineStr">
        <is>
          <t>sovereignty;state_control_nationalization</t>
        </is>
      </c>
      <c r="P302" s="45" t="inlineStr">
        <is>
          <t>USA</t>
        </is>
      </c>
      <c r="Q302" s="45" t="inlineStr">
        <is>
          <t>not_mentioned</t>
        </is>
      </c>
      <c r="R302" s="45" t="inlineStr">
        <is>
          <t>neutral</t>
        </is>
      </c>
      <c r="S302" s="45" t="inlineStr"/>
      <c r="T302" s="45" t="inlineStr">
        <is>
          <t>Sheinbaum said Mexico's mineral reserves belong to Mexico, their exploitation corresponds to Mexico, and this is not subject to any negotiation; Mexico is ceding nothing.</t>
        </is>
      </c>
      <c r="U302" s="45" t="inlineStr">
        <is>
          <t>Las reservas de minerales son de México. Y en todo caso su explotación le corresponde a México... eso no está a ninguna negociación.</t>
        </is>
      </c>
      <c r="V302" s="45" t="inlineStr">
        <is>
          <t>Mineral reserves belong to Mexico. And in any case their exploitation corresponds to Mexico... that is not under any negotiation.</t>
        </is>
      </c>
      <c r="W302" s="45" t="inlineStr">
        <is>
          <t>es</t>
        </is>
      </c>
      <c r="X302" s="45" t="inlineStr">
        <is>
          <t>Excélsior</t>
        </is>
      </c>
      <c r="Y302" s="45" t="inlineStr">
        <is>
          <t>https://www.excelsior.com.mx/nacional/minerales-criticos-no-estan-negociacion-sheinbaum</t>
        </is>
      </c>
      <c r="Z302" s="45" t="inlineStr">
        <is>
          <t>news_media</t>
        </is>
      </c>
      <c r="AA302" s="45" t="inlineStr">
        <is>
          <t>secondary_reported</t>
        </is>
      </c>
      <c r="AB302" s="45" t="inlineStr"/>
      <c r="AC302" s="45" t="inlineStr">
        <is>
          <t>MEX</t>
        </is>
      </c>
    </row>
    <row r="303" ht="15" customHeight="1" s="24">
      <c r="A303" s="45" t="inlineStr">
        <is>
          <t>PS-0302</t>
        </is>
      </c>
      <c r="B303" s="45" t="inlineStr">
        <is>
          <t>2026-02-12</t>
        </is>
      </c>
      <c r="C303" s="45" t="inlineStr">
        <is>
          <t>2026</t>
        </is>
      </c>
      <c r="D303" s="45" t="inlineStr">
        <is>
          <t>MEX</t>
        </is>
      </c>
      <c r="E303" s="45" t="inlineStr">
        <is>
          <t>Marcelo Ebrard</t>
        </is>
      </c>
      <c r="F303" s="45" t="inlineStr">
        <is>
          <t>Secretary of Economy of Mexico</t>
        </is>
      </c>
      <c r="G303" s="45" t="inlineStr">
        <is>
          <t>minister_cabinet</t>
        </is>
      </c>
      <c r="H303" s="45" t="inlineStr">
        <is>
          <t>LatAm executive</t>
        </is>
      </c>
      <c r="I303" s="45" t="inlineStr">
        <is>
          <t>MEX</t>
        </is>
      </c>
      <c r="J303" s="45" t="inlineStr">
        <is>
          <t>Morena</t>
        </is>
      </c>
      <c r="K303" s="45" t="inlineStr">
        <is>
          <t>press_conference</t>
        </is>
      </c>
      <c r="L303" s="45" t="inlineStr">
        <is>
          <t>Mexico's participation in US-led 60-day multilateral critical minerals talks</t>
        </is>
      </c>
      <c r="M303" s="45" t="inlineStr">
        <is>
          <t>critical_minerals_general;lithium;nickel;cobalt;tantalum</t>
        </is>
      </c>
      <c r="N303" s="45" t="inlineStr">
        <is>
          <t>253090;260400;261590;282520;283691;720260</t>
        </is>
      </c>
      <c r="O303" s="45" t="inlineStr">
        <is>
          <t>geopolitics_security;trade_deals_offtake;sovereignty</t>
        </is>
      </c>
      <c r="P303" s="45" t="inlineStr">
        <is>
          <t>USA;CAN;JPN;EU;other</t>
        </is>
      </c>
      <c r="Q303" s="45" t="inlineStr">
        <is>
          <t>not_mentioned</t>
        </is>
      </c>
      <c r="R303" s="45" t="inlineStr">
        <is>
          <t>neutral</t>
        </is>
      </c>
      <c r="S303" s="45" t="inlineStr"/>
      <c r="T303" s="45" t="inlineStr">
        <is>
          <t>Ebrard said that amid geopolitical competition Mexico must guarantee its own supply of critical minerals it lacks, participating in multilateral talks on the basis of mutual respect, sovereignty and fair access.</t>
        </is>
      </c>
      <c r="U303" s="45" t="inlineStr">
        <is>
          <t>Nosotros tenemos que ocuparnos de garantizar el suministro de minerales críticos para México, porque nos hacen falta muchos minerales</t>
        </is>
      </c>
      <c r="V303" s="45" t="inlineStr">
        <is>
          <t>We have to take care of guaranteeing the supply of critical minerals for Mexico, because we lack many minerals</t>
        </is>
      </c>
      <c r="W303" s="45" t="inlineStr">
        <is>
          <t>es</t>
        </is>
      </c>
      <c r="X303" s="45" t="inlineStr">
        <is>
          <t>La Política Online</t>
        </is>
      </c>
      <c r="Y303" s="45" t="inlineStr">
        <is>
          <t>https://www.lapoliticaonline.com/mexico/industria-mx/mexico-busca-colocarse-en-acuerdos-multilaterales-para-asegurar-el-suministro-de-14-minerales-criticos-7316/</t>
        </is>
      </c>
      <c r="Z303" s="45" t="inlineStr">
        <is>
          <t>news_media</t>
        </is>
      </c>
      <c r="AA303" s="45" t="inlineStr">
        <is>
          <t>secondary_reported</t>
        </is>
      </c>
      <c r="AB303" s="45" t="inlineStr">
        <is>
          <t>Talks also involve India and South Korea; China not named by Ebrard.</t>
        </is>
      </c>
      <c r="AC303" s="45" t="inlineStr">
        <is>
          <t>MEX</t>
        </is>
      </c>
    </row>
    <row r="304" ht="15" customHeight="1" s="24">
      <c r="A304" s="45" t="inlineStr">
        <is>
          <t>PS-0303</t>
        </is>
      </c>
      <c r="B304" s="45" t="inlineStr">
        <is>
          <t>2026-02-12</t>
        </is>
      </c>
      <c r="C304" s="45" t="inlineStr">
        <is>
          <t>2026</t>
        </is>
      </c>
      <c r="D304" s="45" t="inlineStr">
        <is>
          <t>PER</t>
        </is>
      </c>
      <c r="E304" s="45" t="inlineStr">
        <is>
          <t>Lin Jian</t>
        </is>
      </c>
      <c r="F304" s="45" t="inlineStr">
        <is>
          <t>Spokesperson, Ministry of Foreign Affairs of China</t>
        </is>
      </c>
      <c r="G304" s="45" t="inlineStr">
        <is>
          <t>china_central_gov</t>
        </is>
      </c>
      <c r="H304" s="45" t="inlineStr">
        <is>
          <t>China</t>
        </is>
      </c>
      <c r="I304" s="45" t="inlineStr">
        <is>
          <t>CHN</t>
        </is>
      </c>
      <c r="J304" s="45" t="inlineStr">
        <is>
          <t>CCP</t>
        </is>
      </c>
      <c r="K304" s="45" t="inlineStr">
        <is>
          <t>press_conference</t>
        </is>
      </c>
      <c r="L304" s="45" t="inlineStr">
        <is>
          <t>MFA regular press conference; response to US remarks on Chancay</t>
        </is>
      </c>
      <c r="M304" s="45" t="inlineStr">
        <is>
          <t>mining_general</t>
        </is>
      </c>
      <c r="N304" s="45" t="inlineStr"/>
      <c r="O304" s="45" t="inlineStr">
        <is>
          <t>sovereignty;geopolitics_security;infrastructure_ports</t>
        </is>
      </c>
      <c r="P304" s="45" t="inlineStr">
        <is>
          <t>USA;PER</t>
        </is>
      </c>
      <c r="Q304" s="45" t="inlineStr">
        <is>
          <t>positive</t>
        </is>
      </c>
      <c r="R304" s="45" t="inlineStr">
        <is>
          <t>negative</t>
        </is>
      </c>
      <c r="S304" s="45" t="inlineStr">
        <is>
          <t>Puerto de Chancay; Cosco Shipping</t>
        </is>
      </c>
      <c r="T304" s="45" t="inlineStr">
        <is>
          <t>Lin Jian said China firmly opposes and strongly deplores US rumor-mongering and smearing of Chancay port after US warnings over Peruvian sovereignty.</t>
        </is>
      </c>
      <c r="U304" s="45" t="inlineStr">
        <is>
          <t>firmly opposes and strongly deplores the U.S.'s blatant rumor-mongering and smearing of Chancay port</t>
        </is>
      </c>
      <c r="V304" s="45" t="inlineStr">
        <is>
          <t>firmly opposes and strongly deplores the U.S.'s blatant rumor-mongering and smearing of Chancay port</t>
        </is>
      </c>
      <c r="W304" s="45" t="inlineStr">
        <is>
          <t>en</t>
        </is>
      </c>
      <c r="X304" s="45" t="inlineStr">
        <is>
          <t>AP via Wyoming Public Media</t>
        </is>
      </c>
      <c r="Y304" s="45" t="inlineStr">
        <is>
          <t>https://www.wyomingpublicmedia.org/2026-02-11/in-blunt-warning-the-u-s-says-peru-could-lose-its-sovereignty-to-china</t>
        </is>
      </c>
      <c r="Z304" s="45" t="inlineStr">
        <is>
          <t>news_media</t>
        </is>
      </c>
      <c r="AA304" s="45" t="inlineStr">
        <is>
          <t>secondary_reported</t>
        </is>
      </c>
      <c r="AB304" s="45" t="inlineStr">
        <is>
          <t>Also reported by Canal N; port record</t>
        </is>
      </c>
      <c r="AC304" s="45" t="inlineStr">
        <is>
          <t>PER</t>
        </is>
      </c>
    </row>
    <row r="305" ht="15" customHeight="1" s="24">
      <c r="A305" s="45" t="inlineStr">
        <is>
          <t>PS-0304</t>
        </is>
      </c>
      <c r="B305" s="45" t="inlineStr">
        <is>
          <t>2026-02-12</t>
        </is>
      </c>
      <c r="C305" s="45" t="inlineStr">
        <is>
          <t>2026</t>
        </is>
      </c>
      <c r="D305" s="45" t="inlineStr">
        <is>
          <t>PER</t>
        </is>
      </c>
      <c r="E305" s="45" t="inlineStr">
        <is>
          <t>U.S. Department of State, Bureau of Western Hemisphere Affairs</t>
        </is>
      </c>
      <c r="F305" s="45" t="inlineStr">
        <is>
          <t>State Department regional bureau</t>
        </is>
      </c>
      <c r="G305" s="45" t="inlineStr">
        <is>
          <t>us_central_gov</t>
        </is>
      </c>
      <c r="H305" s="45" t="inlineStr">
        <is>
          <t>United States</t>
        </is>
      </c>
      <c r="I305" s="45" t="inlineStr">
        <is>
          <t>USA</t>
        </is>
      </c>
      <c r="J305" s="45" t="inlineStr">
        <is>
          <t>Trump administration</t>
        </is>
      </c>
      <c r="K305" s="45" t="inlineStr">
        <is>
          <t>social_media_post</t>
        </is>
      </c>
      <c r="L305" s="45" t="inlineStr">
        <is>
          <t>Reaction to Peruvian court ruling limiting regulator Ositrán's oversight of Chancay port</t>
        </is>
      </c>
      <c r="M305" s="45" t="inlineStr">
        <is>
          <t>mining_general</t>
        </is>
      </c>
      <c r="N305" s="45" t="inlineStr"/>
      <c r="O305" s="45" t="inlineStr">
        <is>
          <t>sovereignty;infrastructure_ports;geopolitics_security</t>
        </is>
      </c>
      <c r="P305" s="45" t="inlineStr">
        <is>
          <t>CHN;PER</t>
        </is>
      </c>
      <c r="Q305" s="45" t="inlineStr">
        <is>
          <t>negative</t>
        </is>
      </c>
      <c r="R305" s="45" t="inlineStr">
        <is>
          <t>positive</t>
        </is>
      </c>
      <c r="S305" s="45" t="inlineStr">
        <is>
          <t>Chancay port; COSCO Shipping; Ositrán</t>
        </is>
      </c>
      <c r="T305" s="45" t="inlineStr">
        <is>
          <t>The WHA bureau said Peru could be powerless to oversee Chancay port under 'predatory Chinese owners', backed Peru's right to oversee critical infrastructure, and warned that cheap Chinese money costs sovereignty.</t>
        </is>
      </c>
      <c r="U305" s="45" t="inlineStr">
        <is>
          <t>Let this be a cautionary tale for the region and the world: cheap Chinese money costs sovereignty.</t>
        </is>
      </c>
      <c r="V305" s="45" t="inlineStr">
        <is>
          <t>Let this be a cautionary tale for the region and the world: cheap Chinese money costs sovereignty.</t>
        </is>
      </c>
      <c r="W305" s="45" t="inlineStr">
        <is>
          <t>en</t>
        </is>
      </c>
      <c r="X305" s="45" t="inlineStr">
        <is>
          <t>Boston Globe (AP)</t>
        </is>
      </c>
      <c r="Y305" s="45" t="inlineStr">
        <is>
          <t>https://www.bostonglobe.com/2026/02/12/nation/us-says-peru-could-lose-its-sovereignty-to-china/</t>
        </is>
      </c>
      <c r="Z305" s="45" t="inlineStr">
        <is>
          <t>news_media</t>
        </is>
      </c>
      <c r="AA305" s="45" t="inlineStr">
        <is>
          <t>secondary_reported</t>
        </is>
      </c>
      <c r="AB305" s="45" t="inlineStr">
        <is>
          <t>Date approximate (article 12 Feb 2026); minerals not explicitly mentioned—Chancay is a key copper/mineral export port</t>
        </is>
      </c>
      <c r="AC305" s="45" t="inlineStr">
        <is>
          <t>USA_gov</t>
        </is>
      </c>
    </row>
    <row r="306" ht="15" customHeight="1" s="24">
      <c r="A306" s="45" t="inlineStr">
        <is>
          <t>PS-0305</t>
        </is>
      </c>
      <c r="B306" s="45" t="inlineStr">
        <is>
          <t>2026-02-18</t>
        </is>
      </c>
      <c r="C306" s="45" t="inlineStr">
        <is>
          <t>2026</t>
        </is>
      </c>
      <c r="D306" s="45" t="inlineStr">
        <is>
          <t>BOL</t>
        </is>
      </c>
      <c r="E306" s="45" t="inlineStr">
        <is>
          <t>Alberto Pérez</t>
        </is>
      </c>
      <c r="F306" s="45" t="inlineStr">
        <is>
          <t>President, Comité Cívico Potosinista (Comcipo)</t>
        </is>
      </c>
      <c r="G306" s="45" t="inlineStr">
        <is>
          <t>other</t>
        </is>
      </c>
      <c r="H306" s="45" t="inlineStr">
        <is>
          <t>Other (business, civil society, third countries)</t>
        </is>
      </c>
      <c r="I306" s="45" t="inlineStr">
        <is>
          <t>BOL</t>
        </is>
      </c>
      <c r="J306" s="45" t="inlineStr">
        <is>
          <t>Comcipo</t>
        </is>
      </c>
      <c r="K306" s="45" t="inlineStr">
        <is>
          <t>press_conference</t>
        </is>
      </c>
      <c r="L306" s="45" t="inlineStr">
        <is>
          <t>Reminder to Paz of campaign commitment on lithium</t>
        </is>
      </c>
      <c r="M306" s="45" t="inlineStr">
        <is>
          <t>lithium</t>
        </is>
      </c>
      <c r="N306" s="45" t="inlineStr">
        <is>
          <t>253090;282520;283691</t>
        </is>
      </c>
      <c r="O306" s="45" t="inlineStr">
        <is>
          <t>value_added_industrialization;sovereignty</t>
        </is>
      </c>
      <c r="P306" s="45" t="inlineStr">
        <is>
          <t>none</t>
        </is>
      </c>
      <c r="Q306" s="45" t="inlineStr">
        <is>
          <t>not_mentioned</t>
        </is>
      </c>
      <c r="R306" s="45" t="inlineStr">
        <is>
          <t>not_mentioned</t>
        </is>
      </c>
      <c r="S306" s="45" t="inlineStr">
        <is>
          <t>Comcipo</t>
        </is>
      </c>
      <c r="T306" s="45" t="inlineStr">
        <is>
          <t>Comcipo's president reminded President Paz that as a candidate he signed a commitment in Potosí that lithium industrialization would be built from Potosí with Potosinos' authorization.</t>
        </is>
      </c>
      <c r="U306" s="45" t="inlineStr">
        <is>
          <t>el litio se construye desde Potosí, con los potosinos y todo se hace con la autorización de los potosinos</t>
        </is>
      </c>
      <c r="V306" s="45" t="inlineStr">
        <is>
          <t>lithium is built from Potosí, with the Potosinos, and everything is done with the authorization of the Potosinos</t>
        </is>
      </c>
      <c r="W306" s="45" t="inlineStr">
        <is>
          <t>es</t>
        </is>
      </c>
      <c r="X306" s="45" t="inlineStr">
        <is>
          <t>EJU.tv</t>
        </is>
      </c>
      <c r="Y306" s="45" t="inlineStr">
        <is>
          <t>https://eju.tv/2026/02/comcipo-le-recuerda-a-paz-que-firmo-un-acta-de-compromiso-con-potosi-sobre-la-industrializacion-del-litio-cuando-era-candidato/</t>
        </is>
      </c>
      <c r="Z306" s="45" t="inlineStr">
        <is>
          <t>news_media</t>
        </is>
      </c>
      <c r="AA306" s="45" t="inlineStr">
        <is>
          <t>secondary_reported</t>
        </is>
      </c>
      <c r="AB306" s="45" t="inlineStr"/>
      <c r="AC306" s="45" t="inlineStr">
        <is>
          <t>BOL</t>
        </is>
      </c>
    </row>
    <row r="307" ht="15" customHeight="1" s="24">
      <c r="A307" s="45" t="inlineStr">
        <is>
          <t>PS-0306</t>
        </is>
      </c>
      <c r="B307" s="45" t="inlineStr">
        <is>
          <t>2026-02-21</t>
        </is>
      </c>
      <c r="C307" s="45" t="inlineStr">
        <is>
          <t>2026</t>
        </is>
      </c>
      <c r="D307" s="45" t="inlineStr">
        <is>
          <t>BRA</t>
        </is>
      </c>
      <c r="E307" s="45" t="inlineStr">
        <is>
          <t>Luiz Inácio Lula da Silva</t>
        </is>
      </c>
      <c r="F307" s="45" t="inlineStr">
        <is>
          <t>President of Brazil</t>
        </is>
      </c>
      <c r="G307" s="45" t="inlineStr">
        <is>
          <t>head_of_state</t>
        </is>
      </c>
      <c r="H307" s="45" t="inlineStr">
        <is>
          <t>LatAm executive</t>
        </is>
      </c>
      <c r="I307" s="45" t="inlineStr">
        <is>
          <t>BRA</t>
        </is>
      </c>
      <c r="J307" s="45" t="inlineStr">
        <is>
          <t>PT</t>
        </is>
      </c>
      <c r="K307" s="45" t="inlineStr">
        <is>
          <t>joint_declaration_or_mou</t>
        </is>
      </c>
      <c r="L307" s="45" t="inlineStr">
        <is>
          <t>Brazil-India critical minerals MoU signed during state visit, New Delhi</t>
        </is>
      </c>
      <c r="M307" s="45" t="inlineStr">
        <is>
          <t>critical_minerals_general;rare_earths</t>
        </is>
      </c>
      <c r="N307" s="45" t="inlineStr">
        <is>
          <t>284690</t>
        </is>
      </c>
      <c r="O307" s="45" t="inlineStr">
        <is>
          <t>diplomatic_relations;technology_transfer;sovereignty</t>
        </is>
      </c>
      <c r="P307" s="45" t="inlineStr">
        <is>
          <t>other</t>
        </is>
      </c>
      <c r="Q307" s="45" t="inlineStr">
        <is>
          <t>not_mentioned</t>
        </is>
      </c>
      <c r="R307" s="45" t="inlineStr">
        <is>
          <t>not_mentioned</t>
        </is>
      </c>
      <c r="S307" s="45" t="inlineStr"/>
      <c r="T307" s="45" t="inlineStr">
        <is>
          <t>Brazil and India signed their first memorandum on technical and scientific cooperation in critical minerals supply chains, with no export guarantees or quotas; Lula said the energy and digital transition would not happen without critical minerals and that a national council would ensure sovereignty and domestic processing.</t>
        </is>
      </c>
      <c r="U307" s="45" t="inlineStr"/>
      <c r="V307" s="45" t="inlineStr"/>
      <c r="W307" s="45" t="inlineStr">
        <is>
          <t>pt</t>
        </is>
      </c>
      <c r="X307" s="45" t="inlineStr">
        <is>
          <t>Poder360</t>
        </is>
      </c>
      <c r="Y307" s="45" t="inlineStr">
        <is>
          <t>https://www.poder360.com.br/poder-governo/brasil-e-india-firmam-acordo-sobre-minerais-criticos-entenda/</t>
        </is>
      </c>
      <c r="Z307" s="45" t="inlineStr">
        <is>
          <t>news_media</t>
        </is>
      </c>
      <c r="AA307" s="45" t="inlineStr">
        <is>
          <t>secondary_reported</t>
        </is>
      </c>
      <c r="AB307" s="45" t="inlineStr">
        <is>
          <t>counterpart other = India; Lula quote seen only in translation</t>
        </is>
      </c>
      <c r="AC307" s="45" t="inlineStr">
        <is>
          <t>BRA</t>
        </is>
      </c>
    </row>
    <row r="308" ht="15" customHeight="1" s="24">
      <c r="A308" s="45" t="inlineStr">
        <is>
          <t>PS-0307</t>
        </is>
      </c>
      <c r="B308" s="45" t="inlineStr">
        <is>
          <t>2026-02-22</t>
        </is>
      </c>
      <c r="C308" s="45" t="inlineStr">
        <is>
          <t>2026</t>
        </is>
      </c>
      <c r="D308" s="45" t="inlineStr">
        <is>
          <t>BRA</t>
        </is>
      </c>
      <c r="E308" s="45" t="inlineStr">
        <is>
          <t>Luiz Inácio Lula da Silva</t>
        </is>
      </c>
      <c r="F308" s="45" t="inlineStr">
        <is>
          <t>President of Brazil</t>
        </is>
      </c>
      <c r="G308" s="45" t="inlineStr">
        <is>
          <t>head_of_state</t>
        </is>
      </c>
      <c r="H308" s="45" t="inlineStr">
        <is>
          <t>LatAm executive</t>
        </is>
      </c>
      <c r="I308" s="45" t="inlineStr">
        <is>
          <t>BRA</t>
        </is>
      </c>
      <c r="J308" s="45" t="inlineStr">
        <is>
          <t>PT</t>
        </is>
      </c>
      <c r="K308" s="45" t="inlineStr">
        <is>
          <t>press_conference</t>
        </is>
      </c>
      <c r="L308" s="45" t="inlineStr">
        <is>
          <t>State visit to India, remarks to journalists in New Delhi</t>
        </is>
      </c>
      <c r="M308" s="45" t="inlineStr">
        <is>
          <t>rare_earths;iron_ore;critical_minerals_general</t>
        </is>
      </c>
      <c r="N308" s="45" t="inlineStr">
        <is>
          <t>284690</t>
        </is>
      </c>
      <c r="O308" s="45" t="inlineStr">
        <is>
          <t>value_added_industrialization;processing_refining;sovereignty</t>
        </is>
      </c>
      <c r="P308" s="45" t="inlineStr">
        <is>
          <t>USA;CHN</t>
        </is>
      </c>
      <c r="Q308" s="45" t="inlineStr">
        <is>
          <t>not_mentioned</t>
        </is>
      </c>
      <c r="R308" s="45" t="inlineStr">
        <is>
          <t>neutral</t>
        </is>
      </c>
      <c r="S308" s="45" t="inlineStr"/>
      <c r="T308" s="45" t="inlineStr">
        <is>
          <t>Speaking in New Delhi, Lula said Brazil will not allow its rare earths to be exploited the way iron ore was, and that critical minerals can be exploited only if industrial transformation takes place in Brazil.</t>
        </is>
      </c>
      <c r="U308" s="45" t="inlineStr">
        <is>
          <t>Não vamos permitir que nossas terras raras sejam exploradas como foi o minério de ferro</t>
        </is>
      </c>
      <c r="V308" s="45" t="inlineStr">
        <is>
          <t>We will not allow our rare earths to be exploited the way iron ore was</t>
        </is>
      </c>
      <c r="W308" s="45" t="inlineStr">
        <is>
          <t>pt</t>
        </is>
      </c>
      <c r="X308" s="45" t="inlineStr">
        <is>
          <t>Poder360</t>
        </is>
      </c>
      <c r="Y308" s="45" t="inlineStr">
        <is>
          <t>https://www.poder360.com.br/poder-governo/lula-diz-que-terras-raras-nao-serao-exploradas-como-ferro/</t>
        </is>
      </c>
      <c r="Z308" s="45" t="inlineStr">
        <is>
          <t>news_media</t>
        </is>
      </c>
      <c r="AA308" s="45" t="inlineStr">
        <is>
          <t>secondary_reported</t>
        </is>
      </c>
      <c r="AB308" s="45" t="inlineStr"/>
      <c r="AC308" s="45" t="inlineStr">
        <is>
          <t>BRA</t>
        </is>
      </c>
    </row>
    <row r="309" ht="15" customHeight="1" s="24">
      <c r="A309" s="45" t="inlineStr">
        <is>
          <t>PS-0308</t>
        </is>
      </c>
      <c r="B309" s="45" t="inlineStr">
        <is>
          <t>2026-02-24</t>
        </is>
      </c>
      <c r="C309" s="45" t="inlineStr">
        <is>
          <t>2026</t>
        </is>
      </c>
      <c r="D309" s="45" t="inlineStr">
        <is>
          <t>BRA</t>
        </is>
      </c>
      <c r="E309" s="45" t="inlineStr">
        <is>
          <t>Michael Cadenazzi</t>
        </is>
      </c>
      <c r="F309" s="45" t="inlineStr">
        <is>
          <t>Assistant Secretary of Defense for Industrial Base Policy</t>
        </is>
      </c>
      <c r="G309" s="45" t="inlineStr">
        <is>
          <t>us_central_gov</t>
        </is>
      </c>
      <c r="H309" s="45" t="inlineStr">
        <is>
          <t>United States</t>
        </is>
      </c>
      <c r="I309" s="45" t="inlineStr">
        <is>
          <t>USA</t>
        </is>
      </c>
      <c r="J309" s="45" t="inlineStr">
        <is>
          <t>Trump administration</t>
        </is>
      </c>
      <c r="K309" s="45" t="inlineStr">
        <is>
          <t>legislative_debate</t>
        </is>
      </c>
      <c r="L309" s="45" t="inlineStr">
        <is>
          <t>SASC hearing 'Rebuilding American Critical Minerals Supply Chains'</t>
        </is>
      </c>
      <c r="M309" s="45" t="inlineStr">
        <is>
          <t>rare_earths;critical_minerals_general</t>
        </is>
      </c>
      <c r="N309" s="45" t="inlineStr">
        <is>
          <t>284690</t>
        </is>
      </c>
      <c r="O309" s="45" t="inlineStr">
        <is>
          <t>geopolitics_security;trade_deals_offtake;processing_refining</t>
        </is>
      </c>
      <c r="P309" s="45" t="inlineStr">
        <is>
          <t>CHN;BRA</t>
        </is>
      </c>
      <c r="Q309" s="45" t="inlineStr">
        <is>
          <t>negative</t>
        </is>
      </c>
      <c r="R309" s="45" t="inlineStr">
        <is>
          <t>positive</t>
        </is>
      </c>
      <c r="S309" s="45" t="inlineStr">
        <is>
          <t>Serra Verde</t>
        </is>
      </c>
      <c r="T309" s="45" t="inlineStr">
        <is>
          <t>Testifying on rebuilding critical-minerals supply chains amid China's dominance of heavy rare earths, Cadenazzi said the Pentagon had struck additional deals with a Brazilian company, citing Serra Verde.</t>
        </is>
      </c>
      <c r="U309" s="45" t="inlineStr"/>
      <c r="V309" s="45" t="inlineStr"/>
      <c r="W309" s="45" t="inlineStr">
        <is>
          <t>en</t>
        </is>
      </c>
      <c r="X309" s="45" t="inlineStr">
        <is>
          <t>U.S. Senate Armed Services Committee (hearing transcript)</t>
        </is>
      </c>
      <c r="Y309" s="45" t="inlineStr">
        <is>
          <t>https://www.armed-services.senate.gov/download/03/03/2026/transcript</t>
        </is>
      </c>
      <c r="Z309" s="45" t="inlineStr">
        <is>
          <t>legislative_record</t>
        </is>
      </c>
      <c r="AA309" s="45" t="inlineStr">
        <is>
          <t>primary_verified</t>
        </is>
      </c>
      <c r="AB309" s="45" t="inlineStr">
        <is>
          <t>Transcript extract was fragmentary, so paraphrase only. Transcript URL path dated 03/03/2026; hearing 24 Feb 2026.</t>
        </is>
      </c>
      <c r="AC309" s="45" t="inlineStr">
        <is>
          <t>USA_gov</t>
        </is>
      </c>
    </row>
    <row r="310" ht="15" customHeight="1" s="24">
      <c r="A310" s="45" t="inlineStr">
        <is>
          <t>PS-0309</t>
        </is>
      </c>
      <c r="B310" s="45" t="inlineStr">
        <is>
          <t>2026-02-25</t>
        </is>
      </c>
      <c r="C310" s="45" t="inlineStr">
        <is>
          <t>2026</t>
        </is>
      </c>
      <c r="D310" s="45" t="inlineStr">
        <is>
          <t>BRA</t>
        </is>
      </c>
      <c r="E310" s="45" t="inlineStr">
        <is>
          <t>Ana Paula Bittencourt</t>
        </is>
      </c>
      <c r="F310" s="45" t="inlineStr">
        <is>
          <t>National Secretary of Geology, Mining and Mineral Transformation, MME</t>
        </is>
      </c>
      <c r="G310" s="45" t="inlineStr">
        <is>
          <t>other_executive</t>
        </is>
      </c>
      <c r="H310" s="45" t="inlineStr">
        <is>
          <t>LatAm executive</t>
        </is>
      </c>
      <c r="I310" s="45" t="inlineStr">
        <is>
          <t>BRA</t>
        </is>
      </c>
      <c r="J310" s="45" t="inlineStr"/>
      <c r="K310" s="45" t="inlineStr">
        <is>
          <t>speech</t>
        </is>
      </c>
      <c r="L310" s="45" t="inlineStr">
        <is>
          <t>Remarks on Brazil's negotiating stance on critical minerals partnerships</t>
        </is>
      </c>
      <c r="M310" s="45" t="inlineStr">
        <is>
          <t>rare_earths;critical_minerals_general</t>
        </is>
      </c>
      <c r="N310" s="45" t="inlineStr">
        <is>
          <t>284690</t>
        </is>
      </c>
      <c r="O310" s="45" t="inlineStr">
        <is>
          <t>diplomatic_relations;foreign_investment;sovereignty</t>
        </is>
      </c>
      <c r="P310" s="45" t="inlineStr">
        <is>
          <t>USA</t>
        </is>
      </c>
      <c r="Q310" s="45" t="inlineStr">
        <is>
          <t>not_mentioned</t>
        </is>
      </c>
      <c r="R310" s="45" t="inlineStr">
        <is>
          <t>neutral</t>
        </is>
      </c>
      <c r="S310" s="45" t="inlineStr"/>
      <c r="T310" s="45" t="inlineStr">
        <is>
          <t>Bittencourt said Brazil would not sign exclusive critical minerals deals despite US offers of finance and technology, and would talk with any partner that accepts it will not have exclusivity.</t>
        </is>
      </c>
      <c r="U310" s="45" t="inlineStr">
        <is>
          <t>Uma das premissas básicas das nossas relações é que nós sentamos para conversar com qualquer um que entenda que ele não vai ter exclusividade</t>
        </is>
      </c>
      <c r="V310" s="45" t="inlineStr">
        <is>
          <t>One of the basic premises of our relations is that we sit down to talk with anyone who understands they will not have exclusivity</t>
        </is>
      </c>
      <c r="W310" s="45" t="inlineStr">
        <is>
          <t>pt</t>
        </is>
      </c>
      <c r="X310" s="45" t="inlineStr">
        <is>
          <t>Agência iNFRA</t>
        </is>
      </c>
      <c r="Y310" s="45" t="inlineStr">
        <is>
          <t>https://agenciainfra.com/blog/?p=37013</t>
        </is>
      </c>
      <c r="Z310" s="45" t="inlineStr">
        <is>
          <t>news_media</t>
        </is>
      </c>
      <c r="AA310" s="45" t="inlineStr">
        <is>
          <t>secondary_reported</t>
        </is>
      </c>
      <c r="AB310" s="45" t="inlineStr"/>
      <c r="AC310" s="45" t="inlineStr">
        <is>
          <t>BRA</t>
        </is>
      </c>
    </row>
    <row r="311" ht="15" customHeight="1" s="24">
      <c r="A311" s="45" t="inlineStr">
        <is>
          <t>PS-0310</t>
        </is>
      </c>
      <c r="B311" s="45" t="inlineStr">
        <is>
          <t>2026-02-26</t>
        </is>
      </c>
      <c r="C311" s="45" t="inlineStr">
        <is>
          <t>2026</t>
        </is>
      </c>
      <c r="D311" s="45" t="inlineStr">
        <is>
          <t>ARG</t>
        </is>
      </c>
      <c r="E311" s="45" t="inlineStr">
        <is>
          <t>Patricia Bullrich</t>
        </is>
      </c>
      <c r="F311" s="45" t="inlineStr">
        <is>
          <t>National Senator (La Libertad Avanza bloc leader)</t>
        </is>
      </c>
      <c r="G311" s="45" t="inlineStr">
        <is>
          <t>legislator</t>
        </is>
      </c>
      <c r="H311" s="45" t="inlineStr">
        <is>
          <t>LatAm legislature</t>
        </is>
      </c>
      <c r="I311" s="45" t="inlineStr">
        <is>
          <t>ARG</t>
        </is>
      </c>
      <c r="J311" s="45" t="inlineStr">
        <is>
          <t>La Libertad Avanza</t>
        </is>
      </c>
      <c r="K311" s="45" t="inlineStr">
        <is>
          <t>legislative_debate</t>
        </is>
      </c>
      <c r="L311" s="45" t="inlineStr">
        <is>
          <t>Glacier Law reform debate</t>
        </is>
      </c>
      <c r="M311" s="45" t="inlineStr">
        <is>
          <t>mining_general;copper</t>
        </is>
      </c>
      <c r="N311" s="45" t="inlineStr">
        <is>
          <t>260300;740200;740311</t>
        </is>
      </c>
      <c r="O311" s="45" t="inlineStr">
        <is>
          <t>environment_water;foreign_investment</t>
        </is>
      </c>
      <c r="P311" s="45" t="inlineStr">
        <is>
          <t>none</t>
        </is>
      </c>
      <c r="Q311" s="45" t="inlineStr">
        <is>
          <t>not_mentioned</t>
        </is>
      </c>
      <c r="R311" s="45" t="inlineStr">
        <is>
          <t>not_mentioned</t>
        </is>
      </c>
      <c r="S311" s="45" t="inlineStr"/>
      <c r="T311" s="45" t="inlineStr">
        <is>
          <t>Bullrich said the reform profoundly changes Argentina by ending the 'ridiculous' logic opposing environment and economy.</t>
        </is>
      </c>
      <c r="U311" s="45" t="inlineStr">
        <is>
          <t>Estamos cambiando profundamente a la Argentina porque no queremos discutir más esta lógica ridícula</t>
        </is>
      </c>
      <c r="V311" s="45" t="inlineStr">
        <is>
          <t>We are profoundly changing Argentina because we no longer want to debate this ridiculous logic</t>
        </is>
      </c>
      <c r="W311" s="45" t="inlineStr">
        <is>
          <t>es</t>
        </is>
      </c>
      <c r="X311" s="45" t="inlineStr">
        <is>
          <t>Más Energía (LM Neuquén)</t>
        </is>
      </c>
      <c r="Y311" s="45" t="inlineStr">
        <is>
          <t>https://mase.lmneuquen.com/mineria/argentina-reformo-la-ley-glaciares-137-votos-favor-abren-el-ambiente-periglacial-la-mineria-n1234460</t>
        </is>
      </c>
      <c r="Z311" s="45" t="inlineStr">
        <is>
          <t>news_media</t>
        </is>
      </c>
      <c r="AA311" s="45" t="inlineStr">
        <is>
          <t>secondary_reported</t>
        </is>
      </c>
      <c r="AB311" s="45" t="inlineStr">
        <is>
          <t>Date assumed to be Senate debate; article covers both chambers.</t>
        </is>
      </c>
      <c r="AC311" s="45" t="inlineStr">
        <is>
          <t>ARG</t>
        </is>
      </c>
    </row>
    <row r="312" ht="15" customHeight="1" s="24">
      <c r="A312" s="45" t="inlineStr">
        <is>
          <t>PS-0311</t>
        </is>
      </c>
      <c r="B312" s="45" t="inlineStr">
        <is>
          <t>2026-02-26</t>
        </is>
      </c>
      <c r="C312" s="45" t="inlineStr">
        <is>
          <t>2026</t>
        </is>
      </c>
      <c r="D312" s="45" t="inlineStr">
        <is>
          <t>ARG</t>
        </is>
      </c>
      <c r="E312" s="45" t="inlineStr">
        <is>
          <t>Senate of Argentina</t>
        </is>
      </c>
      <c r="F312" s="45" t="inlineStr">
        <is>
          <t>Upper chamber</t>
        </is>
      </c>
      <c r="G312" s="45" t="inlineStr">
        <is>
          <t>legislature_body</t>
        </is>
      </c>
      <c r="H312" s="45" t="inlineStr">
        <is>
          <t>LatAm legislature</t>
        </is>
      </c>
      <c r="I312" s="45" t="inlineStr">
        <is>
          <t>ARG</t>
        </is>
      </c>
      <c r="J312" s="45" t="inlineStr"/>
      <c r="K312" s="45" t="inlineStr">
        <is>
          <t>bill_or_law</t>
        </is>
      </c>
      <c r="L312" s="45" t="inlineStr">
        <is>
          <t>Senate approval of Glacier Law reform</t>
        </is>
      </c>
      <c r="M312" s="45" t="inlineStr">
        <is>
          <t>copper;mining_general</t>
        </is>
      </c>
      <c r="N312" s="45" t="inlineStr">
        <is>
          <t>260300;740200;740311</t>
        </is>
      </c>
      <c r="O312" s="45" t="inlineStr">
        <is>
          <t>environment_water;foreign_investment</t>
        </is>
      </c>
      <c r="P312" s="45" t="inlineStr">
        <is>
          <t>none</t>
        </is>
      </c>
      <c r="Q312" s="45" t="inlineStr">
        <is>
          <t>not_mentioned</t>
        </is>
      </c>
      <c r="R312" s="45" t="inlineStr">
        <is>
          <t>not_mentioned</t>
        </is>
      </c>
      <c r="S312" s="45" t="inlineStr">
        <is>
          <t>Ley 26.639; Los Azules; El Pachón; Agua Rica; Vicuña</t>
        </is>
      </c>
      <c r="T312" s="45" t="inlineStr">
        <is>
          <t>The Senate approved the government's reform of the Glacier Law by 40 votes to 31 with 1 abstention, opening periglacial areas to mining; the ruling party said it would unlock mining investment while the opposition denounced irregularities.</t>
        </is>
      </c>
      <c r="U312" s="45" t="inlineStr"/>
      <c r="V312" s="45" t="inlineStr"/>
      <c r="W312" s="45" t="inlineStr">
        <is>
          <t>es</t>
        </is>
      </c>
      <c r="X312" s="45" t="inlineStr">
        <is>
          <t>La Voz de San Justo</t>
        </is>
      </c>
      <c r="Y312" s="45" t="inlineStr">
        <is>
          <t>https://www.lavozdesanjusto.com.ar/el-oficialismo-logro-aprobar-la-reforma-a-la-ley-de-glaciares-en-el-senado</t>
        </is>
      </c>
      <c r="Z312" s="45" t="inlineStr">
        <is>
          <t>news_media</t>
        </is>
      </c>
      <c r="AA312" s="45" t="inlineStr">
        <is>
          <t>secondary_reported</t>
        </is>
      </c>
      <c r="AB312" s="45" t="inlineStr">
        <is>
          <t>Another source gives 27 Feb (session past midnight).</t>
        </is>
      </c>
      <c r="AC312" s="45" t="inlineStr">
        <is>
          <t>ARG</t>
        </is>
      </c>
    </row>
    <row r="313" ht="15" customHeight="1" s="24">
      <c r="A313" s="45" t="inlineStr">
        <is>
          <t>PS-0312</t>
        </is>
      </c>
      <c r="B313" s="45" t="inlineStr">
        <is>
          <t>2026-03-05</t>
        </is>
      </c>
      <c r="C313" s="45" t="inlineStr">
        <is>
          <t>2026</t>
        </is>
      </c>
      <c r="D313" s="45" t="inlineStr">
        <is>
          <t>ARG</t>
        </is>
      </c>
      <c r="E313" s="45" t="inlineStr">
        <is>
          <t>Javier Milei</t>
        </is>
      </c>
      <c r="F313" s="45" t="inlineStr">
        <is>
          <t>President of Argentina</t>
        </is>
      </c>
      <c r="G313" s="45" t="inlineStr">
        <is>
          <t>head_of_state</t>
        </is>
      </c>
      <c r="H313" s="45" t="inlineStr">
        <is>
          <t>LatAm executive</t>
        </is>
      </c>
      <c r="I313" s="45" t="inlineStr">
        <is>
          <t>ARG</t>
        </is>
      </c>
      <c r="J313" s="45" t="inlineStr">
        <is>
          <t>La Libertad Avanza</t>
        </is>
      </c>
      <c r="K313" s="45" t="inlineStr">
        <is>
          <t>speech</t>
        </is>
      </c>
      <c r="L313" s="45" t="inlineStr">
        <is>
          <t>Opening of 144th ordinary sessions of Congress</t>
        </is>
      </c>
      <c r="M313" s="45" t="inlineStr">
        <is>
          <t>mining_general;copper;lithium</t>
        </is>
      </c>
      <c r="N313" s="45" t="inlineStr">
        <is>
          <t>253090;260300;282520;283691;740200;740311</t>
        </is>
      </c>
      <c r="O313" s="45" t="inlineStr">
        <is>
          <t>foreign_investment;labor_social_conflict</t>
        </is>
      </c>
      <c r="P313" s="45" t="inlineStr">
        <is>
          <t>CHL</t>
        </is>
      </c>
      <c r="Q313" s="45" t="inlineStr">
        <is>
          <t>not_mentioned</t>
        </is>
      </c>
      <c r="R313" s="45" t="inlineStr">
        <is>
          <t>not_mentioned</t>
        </is>
      </c>
      <c r="S313" s="45" t="inlineStr">
        <is>
          <t>RIGI; Rincón (Rio Tinto); Los Azules (McEwen)</t>
        </is>
      </c>
      <c r="T313" s="45" t="inlineStr">
        <is>
          <t>Milei told Congress that mining would take off along the whole Andes, that doing things as Chile does could generate a million jobs, and called the RIGI the most effective development policy of the century.</t>
        </is>
      </c>
      <c r="U313" s="45" t="inlineStr">
        <is>
          <t>la política de desarrollo más eficaz del siglo</t>
        </is>
      </c>
      <c r="V313" s="45" t="inlineStr">
        <is>
          <t>the most effective development policy of the century</t>
        </is>
      </c>
      <c r="W313" s="45" t="inlineStr">
        <is>
          <t>es</t>
        </is>
      </c>
      <c r="X313" s="45" t="inlineStr">
        <is>
          <t>Reporte Minero</t>
        </is>
      </c>
      <c r="Y313" s="45" t="inlineStr">
        <is>
          <t>https://www.reporteminero.cl/noticia/noticias/2026/03/milei-chile-competencia-capital-minero-argentina</t>
        </is>
      </c>
      <c r="Z313" s="45" t="inlineStr">
        <is>
          <t>news_media</t>
        </is>
      </c>
      <c r="AA313" s="45" t="inlineStr">
        <is>
          <t>secondary_reported</t>
        </is>
      </c>
      <c r="AB313" s="45" t="inlineStr">
        <is>
          <t>Quote refers to RIGI.</t>
        </is>
      </c>
      <c r="AC313" s="45" t="inlineStr">
        <is>
          <t>ARG</t>
        </is>
      </c>
    </row>
    <row r="314" ht="15" customHeight="1" s="24">
      <c r="A314" s="45" t="inlineStr">
        <is>
          <t>PS-0313</t>
        </is>
      </c>
      <c r="B314" s="45" t="inlineStr">
        <is>
          <t>2026-03-12</t>
        </is>
      </c>
      <c r="C314" s="45" t="inlineStr">
        <is>
          <t>2026</t>
        </is>
      </c>
      <c r="D314" s="45" t="inlineStr">
        <is>
          <t>CHL</t>
        </is>
      </c>
      <c r="E314" s="45" t="inlineStr">
        <is>
          <t>Christopher Landau</t>
        </is>
      </c>
      <c r="F314" s="45" t="inlineStr">
        <is>
          <t>U.S. Deputy Secretary of State</t>
        </is>
      </c>
      <c r="G314" s="45" t="inlineStr">
        <is>
          <t>us_central_gov</t>
        </is>
      </c>
      <c r="H314" s="45" t="inlineStr">
        <is>
          <t>United States</t>
        </is>
      </c>
      <c r="I314" s="45" t="inlineStr">
        <is>
          <t>USA</t>
        </is>
      </c>
      <c r="J314" s="45" t="inlineStr">
        <is>
          <t>Trump administration</t>
        </is>
      </c>
      <c r="K314" s="45" t="inlineStr">
        <is>
          <t>joint_declaration_or_mou</t>
        </is>
      </c>
      <c r="L314" s="45" t="inlineStr">
        <is>
          <t>Landau visit to Santiago; US-Chile joint statement on critical minerals, overseen by President José Antonio Kast</t>
        </is>
      </c>
      <c r="M314" s="45" t="inlineStr">
        <is>
          <t>rare_earths;critical_minerals_general;lithium</t>
        </is>
      </c>
      <c r="N314" s="45" t="inlineStr">
        <is>
          <t>253090;282520;283691;284690</t>
        </is>
      </c>
      <c r="O314" s="45" t="inlineStr">
        <is>
          <t>financing_credit;trade_deals_offtake;geopolitics_security;diplomatic_relations</t>
        </is>
      </c>
      <c r="P314" s="45" t="inlineStr">
        <is>
          <t>CHL;CHN</t>
        </is>
      </c>
      <c r="Q314" s="45" t="inlineStr">
        <is>
          <t>negative</t>
        </is>
      </c>
      <c r="R314" s="45" t="inlineStr">
        <is>
          <t>positive</t>
        </is>
      </c>
      <c r="S314" s="45" t="inlineStr">
        <is>
          <t>Albemarle; EnergyX</t>
        </is>
      </c>
      <c r="T314" s="45" t="inlineStr">
        <is>
          <t>Landau and FM Francisco Pérez Mackenna signed a joint statement launching talks on rare earths and critical minerals, covering public and private financing for mining projects, scrap recycling and exploration, within US efforts to reduce reliance on China.</t>
        </is>
      </c>
      <c r="U314" s="45" t="inlineStr">
        <is>
          <t>I believe there is much we can do with the United States and Chile to strengthen the supply chains of these minerals.</t>
        </is>
      </c>
      <c r="V314" s="45" t="inlineStr">
        <is>
          <t>I believe there is much we can do with the United States and Chile to strengthen the supply chains of these minerals.</t>
        </is>
      </c>
      <c r="W314" s="45" t="inlineStr">
        <is>
          <t>en</t>
        </is>
      </c>
      <c r="X314" s="45" t="inlineStr">
        <is>
          <t>Mining Weekly / Creamer Media</t>
        </is>
      </c>
      <c r="Y314" s="45" t="inlineStr">
        <is>
          <t>https://newsletter.en.creamermedia.com/article/chile-us-eye-collaboration-on-rare-earths-and-other-critical-minerals-2026-03-13</t>
        </is>
      </c>
      <c r="Z314" s="45" t="inlineStr">
        <is>
          <t>news_media</t>
        </is>
      </c>
      <c r="AA314" s="45" t="inlineStr">
        <is>
          <t>secondary_reported</t>
        </is>
      </c>
      <c r="AB314" s="45" t="inlineStr">
        <is>
          <t>Date = Thursday before 13 Mar 2026 article; quote possibly translated from Spanish remarks; stance_china inferred from article framing</t>
        </is>
      </c>
      <c r="AC314" s="45" t="inlineStr">
        <is>
          <t>USA_gov</t>
        </is>
      </c>
    </row>
    <row r="315" ht="15" customHeight="1" s="24">
      <c r="A315" s="45" t="inlineStr">
        <is>
          <t>PS-0314</t>
        </is>
      </c>
      <c r="B315" s="45" t="inlineStr">
        <is>
          <t>2026-03-12</t>
        </is>
      </c>
      <c r="C315" s="45" t="inlineStr">
        <is>
          <t>2026</t>
        </is>
      </c>
      <c r="D315" s="45" t="inlineStr">
        <is>
          <t>CHL</t>
        </is>
      </c>
      <c r="E315" s="45" t="inlineStr">
        <is>
          <t>Francisco Pérez Mackenna</t>
        </is>
      </c>
      <c r="F315" s="45" t="inlineStr">
        <is>
          <t>Minister of Foreign Affairs</t>
        </is>
      </c>
      <c r="G315" s="45" t="inlineStr">
        <is>
          <t>minister_cabinet</t>
        </is>
      </c>
      <c r="H315" s="45" t="inlineStr">
        <is>
          <t>LatAm executive</t>
        </is>
      </c>
      <c r="I315" s="45" t="inlineStr">
        <is>
          <t>CHL</t>
        </is>
      </c>
      <c r="J315" s="45" t="inlineStr">
        <is>
          <t>Independent (Kast government)</t>
        </is>
      </c>
      <c r="K315" s="45" t="inlineStr">
        <is>
          <t>joint_declaration_or_mou</t>
        </is>
      </c>
      <c r="L315" s="45" t="inlineStr">
        <is>
          <t>Chile-US joint declaration on critical minerals and rare earths, signed with Deputy Secretary Christopher Landau</t>
        </is>
      </c>
      <c r="M315" s="45" t="inlineStr">
        <is>
          <t>copper;lithium;molybdenum;cobalt;rare_earths;critical_minerals_general</t>
        </is>
      </c>
      <c r="N315" s="45" t="inlineStr">
        <is>
          <t>253090;260300;261310;261390;282520;283691;284690;740200;740311</t>
        </is>
      </c>
      <c r="O315" s="45" t="inlineStr">
        <is>
          <t>geopolitics_security;financing_credit;trade_deals_offtake</t>
        </is>
      </c>
      <c r="P315" s="45" t="inlineStr">
        <is>
          <t>USA</t>
        </is>
      </c>
      <c r="Q315" s="45" t="inlineStr">
        <is>
          <t>not_mentioned</t>
        </is>
      </c>
      <c r="R315" s="45" t="inlineStr">
        <is>
          <t>positive</t>
        </is>
      </c>
      <c r="S315" s="45" t="inlineStr"/>
      <c r="T315" s="45" t="inlineStr">
        <is>
          <t>On Kast's second day in office, Chile and the US signed a declaration on 14 critical minerals to strengthen supply chains, identify joint projects, manage scrap and explore financing mechanisms.</t>
        </is>
      </c>
      <c r="U315" s="45" t="inlineStr">
        <is>
          <t>abordar el desarrollo de mecanismos que fortalezcan las cadenas de suministro de minerales críticos</t>
        </is>
      </c>
      <c r="V315" s="45" t="inlineStr">
        <is>
          <t>address the development of mechanisms that strengthen critical-mineral supply chains</t>
        </is>
      </c>
      <c r="W315" s="45" t="inlineStr">
        <is>
          <t>es</t>
        </is>
      </c>
      <c r="X315" s="45" t="inlineStr">
        <is>
          <t>El Desconcierto</t>
        </is>
      </c>
      <c r="Y315" s="45" t="inlineStr">
        <is>
          <t>https://eldesconcierto.cl/2026/03/12/cancilleria-anuncia-acuerdo-con-eeuu-para-reforzar-suministro-de-minerales-criticos-y-tierras-raras</t>
        </is>
      </c>
      <c r="Z315" s="45" t="inlineStr">
        <is>
          <t>news_media</t>
        </is>
      </c>
      <c r="AA315" s="45" t="inlineStr">
        <is>
          <t>secondary_reported</t>
        </is>
      </c>
      <c r="AB315" s="45" t="inlineStr">
        <is>
          <t>Quote is from Foreign Ministry statement; Kast present at signing</t>
        </is>
      </c>
      <c r="AC315" s="45" t="inlineStr">
        <is>
          <t>CHL</t>
        </is>
      </c>
    </row>
    <row r="316" ht="15" customHeight="1" s="24">
      <c r="A316" s="45" t="inlineStr">
        <is>
          <t>PS-0315</t>
        </is>
      </c>
      <c r="B316" s="45" t="inlineStr">
        <is>
          <t>2026-03-16</t>
        </is>
      </c>
      <c r="C316" s="45" t="inlineStr">
        <is>
          <t>2026</t>
        </is>
      </c>
      <c r="D316" s="45" t="inlineStr">
        <is>
          <t>ECU</t>
        </is>
      </c>
      <c r="E316" s="45" t="inlineStr">
        <is>
          <t>Gabriela Jauregui</t>
        </is>
      </c>
      <c r="F316" s="45" t="inlineStr">
        <is>
          <t>Mining Business Manager, ENAMI</t>
        </is>
      </c>
      <c r="G316" s="45" t="inlineStr">
        <is>
          <t>state_company</t>
        </is>
      </c>
      <c r="H316" s="45" t="inlineStr">
        <is>
          <t>LatAm state company</t>
        </is>
      </c>
      <c r="I316" s="45" t="inlineStr">
        <is>
          <t>ECU</t>
        </is>
      </c>
      <c r="J316" s="45" t="inlineStr"/>
      <c r="K316" s="45" t="inlineStr">
        <is>
          <t>interview</t>
        </is>
      </c>
      <c r="L316" s="45" t="inlineStr">
        <is>
          <t>Plans to re-tender Llurimagua copper project after Codelco exit</t>
        </is>
      </c>
      <c r="M316" s="45" t="inlineStr">
        <is>
          <t>copper</t>
        </is>
      </c>
      <c r="N316" s="45" t="inlineStr">
        <is>
          <t>260300;740200;740311</t>
        </is>
      </c>
      <c r="O316" s="45" t="inlineStr">
        <is>
          <t>foreign_investment;state_control_nationalization</t>
        </is>
      </c>
      <c r="P316" s="45" t="inlineStr">
        <is>
          <t>CHL;CHN;AUS;CAN</t>
        </is>
      </c>
      <c r="Q316" s="45" t="inlineStr">
        <is>
          <t>neutral</t>
        </is>
      </c>
      <c r="R316" s="45" t="inlineStr">
        <is>
          <t>not_mentioned</t>
        </is>
      </c>
      <c r="S316" s="45" t="inlineStr">
        <is>
          <t>Llurimagua; ENAMI; Codelco; BHP; Chinalco; Teck; South32</t>
        </is>
      </c>
      <c r="T316" s="45" t="inlineStr">
        <is>
          <t>ENAMI said an international firm or bank would design the tender for the Llurimagua copper project after Codelco's exit, aiming to attract top-tier companies; BHP, Chinalco, Teck and South32 were reported interested.</t>
        </is>
      </c>
      <c r="U316" s="45" t="inlineStr">
        <is>
          <t>Cuando lo saquemos a licitación, queremos que compitan empresas de primer nivel</t>
        </is>
      </c>
      <c r="V316" s="45" t="inlineStr">
        <is>
          <t>When we put it out to tender, we want top-tier companies to compete</t>
        </is>
      </c>
      <c r="W316" s="45" t="inlineStr">
        <is>
          <t>es</t>
        </is>
      </c>
      <c r="X316" s="45" t="inlineStr">
        <is>
          <t>Primicias</t>
        </is>
      </c>
      <c r="Y316" s="45" t="inlineStr">
        <is>
          <t>https://www.primicias.ec/economia/licitacion-proyecto-cobre-llurimagua-mineria-consulta-ambiental-imbabura-118038/</t>
        </is>
      </c>
      <c r="Z316" s="45" t="inlineStr">
        <is>
          <t>news_media</t>
        </is>
      </c>
      <c r="AA316" s="45" t="inlineStr">
        <is>
          <t>secondary_reported</t>
        </is>
      </c>
      <c r="AB316" s="45" t="inlineStr"/>
      <c r="AC316" s="45" t="inlineStr">
        <is>
          <t>COL_ECU_PAN</t>
        </is>
      </c>
    </row>
    <row r="317" ht="15" customHeight="1" s="24">
      <c r="A317" s="45" t="inlineStr">
        <is>
          <t>PS-0316</t>
        </is>
      </c>
      <c r="B317" s="45" t="inlineStr">
        <is>
          <t>2026-03-18</t>
        </is>
      </c>
      <c r="C317" s="45" t="inlineStr">
        <is>
          <t>2026</t>
        </is>
      </c>
      <c r="D317" s="45" t="inlineStr">
        <is>
          <t>BRA</t>
        </is>
      </c>
      <c r="E317" s="45" t="inlineStr">
        <is>
          <t>Ronaldo Caiado</t>
        </is>
      </c>
      <c r="F317" s="45" t="inlineStr">
        <is>
          <t>Governor of Goiás</t>
        </is>
      </c>
      <c r="G317" s="45" t="inlineStr">
        <is>
          <t>subnational_gov</t>
        </is>
      </c>
      <c r="H317" s="45" t="inlineStr">
        <is>
          <t>LatAm executive</t>
        </is>
      </c>
      <c r="I317" s="45" t="inlineStr">
        <is>
          <t>BRA</t>
        </is>
      </c>
      <c r="J317" s="45" t="inlineStr">
        <is>
          <t>PSD</t>
        </is>
      </c>
      <c r="K317" s="45" t="inlineStr">
        <is>
          <t>speech</t>
        </is>
      </c>
      <c r="L317" s="45" t="inlineStr">
        <is>
          <t>Signing of Goiás-US memorandum on critical minerals and rare earths, US Consulate General São Paulo</t>
        </is>
      </c>
      <c r="M317" s="45" t="inlineStr">
        <is>
          <t>rare_earths;critical_minerals_general</t>
        </is>
      </c>
      <c r="N317" s="45" t="inlineStr">
        <is>
          <t>284690</t>
        </is>
      </c>
      <c r="O317" s="45" t="inlineStr">
        <is>
          <t>value_added_industrialization;foreign_investment;diplomatic_relations</t>
        </is>
      </c>
      <c r="P317" s="45" t="inlineStr">
        <is>
          <t>USA</t>
        </is>
      </c>
      <c r="Q317" s="45" t="inlineStr">
        <is>
          <t>not_mentioned</t>
        </is>
      </c>
      <c r="R317" s="45" t="inlineStr">
        <is>
          <t>positive</t>
        </is>
      </c>
      <c r="S317" s="45" t="inlineStr">
        <is>
          <t>Serra Verde</t>
        </is>
      </c>
      <c r="T317" s="45" t="inlineStr">
        <is>
          <t>Caiado signed a memorandum of understanding with the US government on research, training, regulation and value-added processing of critical minerals in Goiás, calling it the most important agreement in the state's history and saying Goiás would be a partner rather than just a raw-material supplier.</t>
        </is>
      </c>
      <c r="U317" s="45" t="inlineStr">
        <is>
          <t>Goiás deixa de ser apenas um Estado que fornece matéria-prima</t>
        </is>
      </c>
      <c r="V317" s="45" t="inlineStr">
        <is>
          <t>Goiás stops being merely a state that supplies raw material</t>
        </is>
      </c>
      <c r="W317" s="45" t="inlineStr">
        <is>
          <t>pt</t>
        </is>
      </c>
      <c r="X317" s="45" t="inlineStr">
        <is>
          <t>Poder360</t>
        </is>
      </c>
      <c r="Y317" s="45" t="inlineStr">
        <is>
          <t>https://www.poder360.com.br/poder-infra/caiado-diz-que-goias-sera-parceiro-dos-eua-e-nao-so-fornecedor/</t>
        </is>
      </c>
      <c r="Z317" s="45" t="inlineStr">
        <is>
          <t>news_media</t>
        </is>
      </c>
      <c r="AA317" s="45" t="inlineStr">
        <is>
          <t>secondary_reported</t>
        </is>
      </c>
      <c r="AB317" s="45" t="inlineStr">
        <is>
          <t>Source describes Caiado as PSD presidential pre-candidate</t>
        </is>
      </c>
      <c r="AC317" s="45" t="inlineStr">
        <is>
          <t>BRA</t>
        </is>
      </c>
    </row>
    <row r="318" ht="15" customHeight="1" s="24">
      <c r="A318" s="45" t="inlineStr">
        <is>
          <t>PS-0317</t>
        </is>
      </c>
      <c r="B318" s="45" t="inlineStr">
        <is>
          <t>2026-03-18</t>
        </is>
      </c>
      <c r="C318" s="45" t="inlineStr">
        <is>
          <t>2026</t>
        </is>
      </c>
      <c r="D318" s="45" t="inlineStr">
        <is>
          <t>BRA</t>
        </is>
      </c>
      <c r="E318" s="45" t="inlineStr">
        <is>
          <t>U.S. Embassy in Brazil (spokesperson)</t>
        </is>
      </c>
      <c r="F318" s="45" t="inlineStr">
        <is>
          <t>Spokesperson, U.S. Embassy Brasília</t>
        </is>
      </c>
      <c r="G318" s="45" t="inlineStr">
        <is>
          <t>us_embassy</t>
        </is>
      </c>
      <c r="H318" s="45" t="inlineStr">
        <is>
          <t>United States</t>
        </is>
      </c>
      <c r="I318" s="45" t="inlineStr">
        <is>
          <t>USA</t>
        </is>
      </c>
      <c r="J318" s="45" t="inlineStr">
        <is>
          <t>U.S. Department of State</t>
        </is>
      </c>
      <c r="K318" s="45" t="inlineStr">
        <is>
          <t>official_statement</t>
        </is>
      </c>
      <c r="L318" s="45" t="inlineStr">
        <is>
          <t>Negotiation of a US-Brazil critical minerals framework</t>
        </is>
      </c>
      <c r="M318" s="45" t="inlineStr">
        <is>
          <t>critical_minerals_general;rare_earths</t>
        </is>
      </c>
      <c r="N318" s="45" t="inlineStr">
        <is>
          <t>284690</t>
        </is>
      </c>
      <c r="O318" s="45" t="inlineStr">
        <is>
          <t>financing_credit;trade_deals_offtake;processing_refining;diplomatic_relations</t>
        </is>
      </c>
      <c r="P318" s="45" t="inlineStr">
        <is>
          <t>BRA</t>
        </is>
      </c>
      <c r="Q318" s="45" t="inlineStr">
        <is>
          <t>not_mentioned</t>
        </is>
      </c>
      <c r="R318" s="45" t="inlineStr">
        <is>
          <t>positive</t>
        </is>
      </c>
      <c r="S318" s="45" t="inlineStr">
        <is>
          <t>DFC; Export-Import Bank of the United States</t>
        </is>
      </c>
      <c r="T318" s="45" t="inlineStr">
        <is>
          <t>The embassy said the US awaits a clear political signal from Brazil to move forward with a bilateral critical minerals agreement, noting DFC and EXIM are offering over $600 million for ongoing projects in Brazil with potential for billions more.</t>
        </is>
      </c>
      <c r="U318" s="45" t="inlineStr">
        <is>
          <t>The U.S. International Development Finance Corporation (DFC) and the Export-Import Bank of the United States are offering more than $600 million in financing</t>
        </is>
      </c>
      <c r="V318" s="45" t="inlineStr">
        <is>
          <t>The U.S. International Development Finance Corporation (DFC) and the Export-Import Bank of the United States are offering more than $600 million in financing</t>
        </is>
      </c>
      <c r="W318" s="45" t="inlineStr">
        <is>
          <t>en</t>
        </is>
      </c>
      <c r="X318" s="45" t="inlineStr">
        <is>
          <t>Datamar News</t>
        </is>
      </c>
      <c r="Y318" s="45" t="inlineStr">
        <is>
          <t>https://datamarnews.com/?p=68504</t>
        </is>
      </c>
      <c r="Z318" s="45" t="inlineStr">
        <is>
          <t>news_media</t>
        </is>
      </c>
      <c r="AA318" s="45" t="inlineStr">
        <is>
          <t>secondary_reported</t>
        </is>
      </c>
      <c r="AB318" s="45" t="inlineStr">
        <is>
          <t>Statement possibly issued in Portuguese; English wording as reported</t>
        </is>
      </c>
      <c r="AC318" s="45" t="inlineStr">
        <is>
          <t>USA_gov</t>
        </is>
      </c>
    </row>
    <row r="319" ht="15" customHeight="1" s="24">
      <c r="A319" s="45" t="inlineStr">
        <is>
          <t>PS-0318</t>
        </is>
      </c>
      <c r="B319" s="45" t="inlineStr">
        <is>
          <t>2026-03-21</t>
        </is>
      </c>
      <c r="C319" s="45" t="inlineStr">
        <is>
          <t>2026</t>
        </is>
      </c>
      <c r="D319" s="45" t="inlineStr">
        <is>
          <t>BRA</t>
        </is>
      </c>
      <c r="E319" s="45" t="inlineStr">
        <is>
          <t>Gabriel Escobar</t>
        </is>
      </c>
      <c r="F319" s="45" t="inlineStr">
        <is>
          <t>Chargé d'affaires, U.S. Embassy in Brasília</t>
        </is>
      </c>
      <c r="G319" s="45" t="inlineStr">
        <is>
          <t>us_embassy</t>
        </is>
      </c>
      <c r="H319" s="45" t="inlineStr">
        <is>
          <t>United States</t>
        </is>
      </c>
      <c r="I319" s="45" t="inlineStr">
        <is>
          <t>USA</t>
        </is>
      </c>
      <c r="J319" s="45" t="inlineStr">
        <is>
          <t>U.S. Department of State</t>
        </is>
      </c>
      <c r="K319" s="45" t="inlineStr">
        <is>
          <t>interview</t>
        </is>
      </c>
      <c r="L319" s="45" t="inlineStr">
        <is>
          <t>Debate on legality of Goiás-US rare earths memorandum</t>
        </is>
      </c>
      <c r="M319" s="45" t="inlineStr">
        <is>
          <t>rare_earths;critical_minerals_general</t>
        </is>
      </c>
      <c r="N319" s="45" t="inlineStr">
        <is>
          <t>284690</t>
        </is>
      </c>
      <c r="O319" s="45" t="inlineStr">
        <is>
          <t>diplomatic_relations;foreign_investment</t>
        </is>
      </c>
      <c r="P319" s="45" t="inlineStr">
        <is>
          <t>BRA</t>
        </is>
      </c>
      <c r="Q319" s="45" t="inlineStr">
        <is>
          <t>not_mentioned</t>
        </is>
      </c>
      <c r="R319" s="45" t="inlineStr">
        <is>
          <t>positive</t>
        </is>
      </c>
      <c r="S319" s="45" t="inlineStr"/>
      <c r="T319" s="45" t="inlineStr">
        <is>
          <t>Amid federal objections to Goiás's state-level memorandum with the US, Escobar indicated that the US had already presented the Lula government with a proposal for federal-level cooperation on critical minerals.</t>
        </is>
      </c>
      <c r="U319" s="45" t="inlineStr"/>
      <c r="V319" s="45" t="inlineStr"/>
      <c r="W319" s="45" t="inlineStr">
        <is>
          <t>pt</t>
        </is>
      </c>
      <c r="X319" s="45" t="inlineStr">
        <is>
          <t>Metrópoles</t>
        </is>
      </c>
      <c r="Y319" s="45" t="inlineStr">
        <is>
          <t>https://www.metropoles.com/colunas/milena-teixeira/o-que-dizem-diplomatas-sobre-caiado-trump-e-as-terras-raras</t>
        </is>
      </c>
      <c r="Z319" s="45" t="inlineStr">
        <is>
          <t>news_media</t>
        </is>
      </c>
      <c r="AA319" s="45" t="inlineStr">
        <is>
          <t>secondary_reported</t>
        </is>
      </c>
      <c r="AB319" s="45" t="inlineStr">
        <is>
          <t>Date = column publication; exact channel of Escobar remark unclear</t>
        </is>
      </c>
      <c r="AC319" s="45" t="inlineStr">
        <is>
          <t>BRA</t>
        </is>
      </c>
    </row>
    <row r="320" ht="15" customHeight="1" s="24">
      <c r="A320" s="45" t="inlineStr">
        <is>
          <t>PS-0319</t>
        </is>
      </c>
      <c r="B320" s="45" t="inlineStr">
        <is>
          <t>2026-03-21</t>
        </is>
      </c>
      <c r="C320" s="45" t="inlineStr">
        <is>
          <t>2026</t>
        </is>
      </c>
      <c r="D320" s="45" t="inlineStr">
        <is>
          <t>BRA</t>
        </is>
      </c>
      <c r="E320" s="45" t="inlineStr">
        <is>
          <t>Government of Goiás</t>
        </is>
      </c>
      <c r="F320" s="45" t="inlineStr">
        <is>
          <t>State government of Goiás</t>
        </is>
      </c>
      <c r="G320" s="45" t="inlineStr">
        <is>
          <t>subnational_gov</t>
        </is>
      </c>
      <c r="H320" s="45" t="inlineStr">
        <is>
          <t>LatAm executive</t>
        </is>
      </c>
      <c r="I320" s="45" t="inlineStr">
        <is>
          <t>BRA</t>
        </is>
      </c>
      <c r="J320" s="45" t="inlineStr"/>
      <c r="K320" s="45" t="inlineStr">
        <is>
          <t>official_statement</t>
        </is>
      </c>
      <c r="L320" s="45" t="inlineStr">
        <is>
          <t>Response to criticism that Goiás-US MoU encroaches on federal powers</t>
        </is>
      </c>
      <c r="M320" s="45" t="inlineStr">
        <is>
          <t>rare_earths;critical_minerals_general</t>
        </is>
      </c>
      <c r="N320" s="45" t="inlineStr">
        <is>
          <t>284690</t>
        </is>
      </c>
      <c r="O320" s="45" t="inlineStr">
        <is>
          <t>sovereignty;corruption_governance;diplomatic_relations</t>
        </is>
      </c>
      <c r="P320" s="45" t="inlineStr">
        <is>
          <t>USA</t>
        </is>
      </c>
      <c r="Q320" s="45" t="inlineStr">
        <is>
          <t>not_mentioned</t>
        </is>
      </c>
      <c r="R320" s="45" t="inlineStr">
        <is>
          <t>positive</t>
        </is>
      </c>
      <c r="S320" s="45" t="inlineStr"/>
      <c r="T320" s="45" t="inlineStr">
        <is>
          <t>The Goiás government stated that its memorandum with the US expressly reserves approvals, licences and exploration permits to federal law and respects federal competences over mining rights, after diplomats called the accord legally void.</t>
        </is>
      </c>
      <c r="U320" s="45" t="inlineStr"/>
      <c r="V320" s="45" t="inlineStr"/>
      <c r="W320" s="45" t="inlineStr">
        <is>
          <t>pt</t>
        </is>
      </c>
      <c r="X320" s="45" t="inlineStr">
        <is>
          <t>Metrópoles</t>
        </is>
      </c>
      <c r="Y320" s="45" t="inlineStr">
        <is>
          <t>https://www.metropoles.com/colunas/milena-teixeira/o-que-dizem-diplomatas-sobre-caiado-trump-e-as-terras-raras</t>
        </is>
      </c>
      <c r="Z320" s="45" t="inlineStr">
        <is>
          <t>news_media</t>
        </is>
      </c>
      <c r="AA320" s="45" t="inlineStr">
        <is>
          <t>secondary_reported</t>
        </is>
      </c>
      <c r="AB320" s="45" t="inlineStr">
        <is>
          <t>Unnamed federal insiders called the initiative 'gravíssima'</t>
        </is>
      </c>
      <c r="AC320" s="45" t="inlineStr">
        <is>
          <t>BRA</t>
        </is>
      </c>
    </row>
    <row r="321" ht="15" customHeight="1" s="24">
      <c r="A321" s="45" t="inlineStr">
        <is>
          <t>PS-0320</t>
        </is>
      </c>
      <c r="B321" s="45" t="inlineStr">
        <is>
          <t>2026-03-28</t>
        </is>
      </c>
      <c r="C321" s="45" t="inlineStr">
        <is>
          <t>2026</t>
        </is>
      </c>
      <c r="D321" s="45" t="inlineStr">
        <is>
          <t>BRA</t>
        </is>
      </c>
      <c r="E321" s="45" t="inlineStr">
        <is>
          <t>Flávio Bolsonaro</t>
        </is>
      </c>
      <c r="F321" s="45" t="inlineStr">
        <is>
          <t>Senator (PL-RJ); presidential pre-candidate</t>
        </is>
      </c>
      <c r="G321" s="45" t="inlineStr">
        <is>
          <t>political_party_candidate</t>
        </is>
      </c>
      <c r="H321" s="45" t="inlineStr">
        <is>
          <t>LatAm party/candidate</t>
        </is>
      </c>
      <c r="I321" s="45" t="inlineStr">
        <is>
          <t>BRA</t>
        </is>
      </c>
      <c r="J321" s="45" t="inlineStr">
        <is>
          <t>PL</t>
        </is>
      </c>
      <c r="K321" s="45" t="inlineStr">
        <is>
          <t>speech</t>
        </is>
      </c>
      <c r="L321" s="45" t="inlineStr">
        <is>
          <t>Conservative event (CPAC) in Texas, United States</t>
        </is>
      </c>
      <c r="M321" s="45" t="inlineStr">
        <is>
          <t>rare_earths;critical_minerals_general</t>
        </is>
      </c>
      <c r="N321" s="45" t="inlineStr">
        <is>
          <t>284690</t>
        </is>
      </c>
      <c r="O321" s="45" t="inlineStr">
        <is>
          <t>geopolitics_security;diplomatic_relations</t>
        </is>
      </c>
      <c r="P321" s="45" t="inlineStr">
        <is>
          <t>USA;CHN</t>
        </is>
      </c>
      <c r="Q321" s="45" t="inlineStr">
        <is>
          <t>negative</t>
        </is>
      </c>
      <c r="R321" s="45" t="inlineStr">
        <is>
          <t>positive</t>
        </is>
      </c>
      <c r="S321" s="45" t="inlineStr"/>
      <c r="T321" s="45" t="inlineStr">
        <is>
          <t>Speaking at a conservative event in Texas, Flávio Bolsonaro presented Brazil as the battleground for the hemisphere's future and as the US solution to break China's hold over critical minerals, especially rare earths.</t>
        </is>
      </c>
      <c r="U321" s="45" t="inlineStr">
        <is>
          <t>o Brasil é a solução dos Estados Unidos para quebrar a independência da China em relação a minerais críticos, especialmente elementos de terras raras</t>
        </is>
      </c>
      <c r="V321" s="45" t="inlineStr">
        <is>
          <t>Brazil is the United States' solution to break China's independence regarding critical minerals, especially rare earth elements</t>
        </is>
      </c>
      <c r="W321" s="45" t="inlineStr">
        <is>
          <t>pt</t>
        </is>
      </c>
      <c r="X321" s="45" t="inlineStr">
        <is>
          <t>NSC Total</t>
        </is>
      </c>
      <c r="Y321" s="45" t="inlineStr">
        <is>
          <t>https://www.nsctotal.com.br/?p=7856727</t>
        </is>
      </c>
      <c r="Z321" s="45" t="inlineStr">
        <is>
          <t>news_media</t>
        </is>
      </c>
      <c r="AA321" s="45" t="inlineStr">
        <is>
          <t>secondary_reported</t>
        </is>
      </c>
      <c r="AB321" s="45" t="inlineStr">
        <is>
          <t>Original speech likely in English; quote is the Portuguese rendering published by NSC Total</t>
        </is>
      </c>
      <c r="AC321" s="45" t="inlineStr">
        <is>
          <t>BRA</t>
        </is>
      </c>
    </row>
    <row r="322" ht="15" customHeight="1" s="24">
      <c r="A322" s="45" t="inlineStr">
        <is>
          <t>PS-0321</t>
        </is>
      </c>
      <c r="B322" s="45" t="inlineStr">
        <is>
          <t>2026-04</t>
        </is>
      </c>
      <c r="C322" s="45" t="inlineStr">
        <is>
          <t>2026</t>
        </is>
      </c>
      <c r="D322" s="45" t="inlineStr">
        <is>
          <t>ARG</t>
        </is>
      </c>
      <c r="E322" s="45" t="inlineStr">
        <is>
          <t>Peter Lamelas</t>
        </is>
      </c>
      <c r="F322" s="45" t="inlineStr">
        <is>
          <t>US Ambassador to Argentina</t>
        </is>
      </c>
      <c r="G322" s="45" t="inlineStr">
        <is>
          <t>us_embassy</t>
        </is>
      </c>
      <c r="H322" s="45" t="inlineStr">
        <is>
          <t>United States</t>
        </is>
      </c>
      <c r="I322" s="45" t="inlineStr">
        <is>
          <t>USA</t>
        </is>
      </c>
      <c r="J322" s="45" t="inlineStr">
        <is>
          <t>Republican</t>
        </is>
      </c>
      <c r="K322" s="45" t="inlineStr">
        <is>
          <t>social_media_post</t>
        </is>
      </c>
      <c r="L322" s="45" t="inlineStr">
        <is>
          <t>Tour of Salta and Jujuy meeting governors</t>
        </is>
      </c>
      <c r="M322" s="45" t="inlineStr">
        <is>
          <t>mining_general;lithium</t>
        </is>
      </c>
      <c r="N322" s="45" t="inlineStr">
        <is>
          <t>253090;282520;283691</t>
        </is>
      </c>
      <c r="O322" s="45" t="inlineStr">
        <is>
          <t>foreign_investment;geopolitics_security</t>
        </is>
      </c>
      <c r="P322" s="45" t="inlineStr">
        <is>
          <t>CHN</t>
        </is>
      </c>
      <c r="Q322" s="45" t="inlineStr">
        <is>
          <t>negative</t>
        </is>
      </c>
      <c r="R322" s="45" t="inlineStr">
        <is>
          <t>positive</t>
        </is>
      </c>
      <c r="S322" s="45" t="inlineStr"/>
      <c r="T322" s="45" t="inlineStr">
        <is>
          <t>During a tour of Salta and Jujuy, Lamelas posted that mining companies agree fewer obstacles and more market are key to unlocking potential, promised many US investments in Jujuy, and warned about security risks of China's presence.</t>
        </is>
      </c>
      <c r="U322" s="45" t="inlineStr">
        <is>
          <t>Las empresas mineras coinciden: menos trabas y más mercado son clave para liberar ese potencial</t>
        </is>
      </c>
      <c r="V322" s="45" t="inlineStr">
        <is>
          <t>Mining companies agree: fewer obstacles and more market are key to unlocking that potential</t>
        </is>
      </c>
      <c r="W322" s="45" t="inlineStr">
        <is>
          <t>es</t>
        </is>
      </c>
      <c r="X322" s="45" t="inlineStr">
        <is>
          <t>El Litoral</t>
        </is>
      </c>
      <c r="Y322" s="45" t="inlineStr">
        <is>
          <t>https://www.ellitoral.com/internacionales/ahora-hoy-china-estadosunidos-peterlamelas-milei-trump-inversion-disputa_0_KBryk0qMJI.amp.html</t>
        </is>
      </c>
      <c r="Z322" s="45" t="inlineStr">
        <is>
          <t>news_media</t>
        </is>
      </c>
      <c r="AA322" s="45" t="inlineStr">
        <is>
          <t>secondary_reported</t>
        </is>
      </c>
      <c r="AB322" s="45" t="inlineStr">
        <is>
          <t>Article dated ~20 Apr 2026; exact post date unknown.</t>
        </is>
      </c>
      <c r="AC322" s="45" t="inlineStr">
        <is>
          <t>ARG</t>
        </is>
      </c>
    </row>
    <row r="323" ht="15" customHeight="1" s="24">
      <c r="A323" s="45" t="inlineStr">
        <is>
          <t>PS-0322</t>
        </is>
      </c>
      <c r="B323" s="45" t="inlineStr">
        <is>
          <t>2026-04</t>
        </is>
      </c>
      <c r="C323" s="45" t="inlineStr">
        <is>
          <t>2026</t>
        </is>
      </c>
      <c r="D323" s="45" t="inlineStr">
        <is>
          <t>BRA</t>
        </is>
      </c>
      <c r="E323" s="45" t="inlineStr">
        <is>
          <t>Conor Coleman</t>
        </is>
      </c>
      <c r="F323" s="45" t="inlineStr">
        <is>
          <t>Chief Investment Officer, U.S. International Development Finance Corporation</t>
        </is>
      </c>
      <c r="G323" s="45" t="inlineStr">
        <is>
          <t>us_central_gov</t>
        </is>
      </c>
      <c r="H323" s="45" t="inlineStr">
        <is>
          <t>United States</t>
        </is>
      </c>
      <c r="I323" s="45" t="inlineStr">
        <is>
          <t>USA</t>
        </is>
      </c>
      <c r="J323" s="45" t="inlineStr">
        <is>
          <t>Trump administration</t>
        </is>
      </c>
      <c r="K323" s="45" t="inlineStr">
        <is>
          <t>interview</t>
        </is>
      </c>
      <c r="L323" s="45" t="inlineStr">
        <is>
          <t>Remarks on DFC financing of Serra Verde</t>
        </is>
      </c>
      <c r="M323" s="45" t="inlineStr">
        <is>
          <t>rare_earths</t>
        </is>
      </c>
      <c r="N323" s="45" t="inlineStr">
        <is>
          <t>284690</t>
        </is>
      </c>
      <c r="O323" s="45" t="inlineStr">
        <is>
          <t>financing_credit;trade_deals_offtake;geopolitics_security</t>
        </is>
      </c>
      <c r="P323" s="45" t="inlineStr">
        <is>
          <t>USA</t>
        </is>
      </c>
      <c r="Q323" s="45" t="inlineStr">
        <is>
          <t>not_mentioned</t>
        </is>
      </c>
      <c r="R323" s="45" t="inlineStr">
        <is>
          <t>positive</t>
        </is>
      </c>
      <c r="S323" s="45" t="inlineStr">
        <is>
          <t>Serra Verde; DFC</t>
        </is>
      </c>
      <c r="T323" s="45" t="inlineStr">
        <is>
          <t>DFC's investment chief confirmed the US$565m loan to Serra Verde carried offtake controls ensuring metals go to the US and US-aligned parties, linked to the financing.</t>
        </is>
      </c>
      <c r="U323" s="45" t="inlineStr"/>
      <c r="V323" s="45" t="inlineStr"/>
      <c r="W323" s="45" t="inlineStr">
        <is>
          <t>pt</t>
        </is>
      </c>
      <c r="X323" s="45" t="inlineStr">
        <is>
          <t>Jornal Opção</t>
        </is>
      </c>
      <c r="Y323" s="45" t="inlineStr">
        <is>
          <t>https://www.jornalopcao.com.br/ultimas-noticias/banco-norte-americano-confirma-que-financiamento-de-meio-bilhao-a-mineradora-em-minacu-da-aos-eua-acesso-a-terras-raras-brasileiras-811785/</t>
        </is>
      </c>
      <c r="Z323" s="45" t="inlineStr">
        <is>
          <t>news_media</t>
        </is>
      </c>
      <c r="AA323" s="45" t="inlineStr">
        <is>
          <t>secondary_reported</t>
        </is>
      </c>
      <c r="AB323" s="45" t="inlineStr">
        <is>
          <t>Article 4 Apr 2026; original remark date/venue not given</t>
        </is>
      </c>
      <c r="AC323" s="45" t="inlineStr">
        <is>
          <t>BRA</t>
        </is>
      </c>
    </row>
    <row r="324" ht="15" customHeight="1" s="24">
      <c r="A324" s="45" t="inlineStr">
        <is>
          <t>PS-0323</t>
        </is>
      </c>
      <c r="B324" s="45" t="inlineStr">
        <is>
          <t>2026-04</t>
        </is>
      </c>
      <c r="C324" s="45" t="inlineStr">
        <is>
          <t>2026</t>
        </is>
      </c>
      <c r="D324" s="45" t="inlineStr">
        <is>
          <t>BRA</t>
        </is>
      </c>
      <c r="E324" s="45" t="inlineStr">
        <is>
          <t>Luiz Inácio Lula da Silva</t>
        </is>
      </c>
      <c r="F324" s="45" t="inlineStr">
        <is>
          <t>President of Brazil</t>
        </is>
      </c>
      <c r="G324" s="45" t="inlineStr">
        <is>
          <t>head_of_state</t>
        </is>
      </c>
      <c r="H324" s="45" t="inlineStr">
        <is>
          <t>LatAm executive</t>
        </is>
      </c>
      <c r="I324" s="45" t="inlineStr">
        <is>
          <t>BRA</t>
        </is>
      </c>
      <c r="J324" s="45" t="inlineStr">
        <is>
          <t>PT</t>
        </is>
      </c>
      <c r="K324" s="45" t="inlineStr">
        <is>
          <t>speech</t>
        </is>
      </c>
      <c r="L324" s="45" t="inlineStr">
        <is>
          <t>Debate over sale of Serra Verde to USA Rare Earth</t>
        </is>
      </c>
      <c r="M324" s="45" t="inlineStr">
        <is>
          <t>rare_earths;mining_general</t>
        </is>
      </c>
      <c r="N324" s="45" t="inlineStr">
        <is>
          <t>284690</t>
        </is>
      </c>
      <c r="O324" s="45" t="inlineStr">
        <is>
          <t>sovereignty</t>
        </is>
      </c>
      <c r="P324" s="45" t="inlineStr">
        <is>
          <t>none</t>
        </is>
      </c>
      <c r="Q324" s="45" t="inlineStr">
        <is>
          <t>not_mentioned</t>
        </is>
      </c>
      <c r="R324" s="45" t="inlineStr">
        <is>
          <t>not_mentioned</t>
        </is>
      </c>
      <c r="S324" s="45" t="inlineStr">
        <is>
          <t>Serra Verde</t>
        </is>
      </c>
      <c r="T324" s="45" t="inlineStr">
        <is>
          <t>In the context of the Serra Verde sale controversy, Lula asserted that nobody would own Brazil's mineral wealth.</t>
        </is>
      </c>
      <c r="U324" s="45" t="inlineStr">
        <is>
          <t>Ninguém, no nosso Brasil, será dono da nossa riqueza mineral</t>
        </is>
      </c>
      <c r="V324" s="45" t="inlineStr">
        <is>
          <t>Nobody, in our Brazil, will be the owner of our mineral wealth</t>
        </is>
      </c>
      <c r="W324" s="45" t="inlineStr">
        <is>
          <t>pt</t>
        </is>
      </c>
      <c r="X324" s="45" t="inlineStr">
        <is>
          <t>InfoMoney</t>
        </is>
      </c>
      <c r="Y324" s="45" t="inlineStr">
        <is>
          <t>https://www.infomoney.com.br/?p=3306288</t>
        </is>
      </c>
      <c r="Z324" s="45" t="inlineStr">
        <is>
          <t>news_media</t>
        </is>
      </c>
      <c r="AA324" s="45" t="inlineStr">
        <is>
          <t>secondary_reported</t>
        </is>
      </c>
      <c r="AB324" s="45" t="inlineStr">
        <is>
          <t>Exact date and venue not given in source; channel assumed</t>
        </is>
      </c>
      <c r="AC324" s="45" t="inlineStr">
        <is>
          <t>BRA</t>
        </is>
      </c>
    </row>
    <row r="325" ht="15" customHeight="1" s="24">
      <c r="A325" s="45" t="inlineStr">
        <is>
          <t>PS-0324</t>
        </is>
      </c>
      <c r="B325" s="45" t="inlineStr">
        <is>
          <t>2026-04</t>
        </is>
      </c>
      <c r="C325" s="45" t="inlineStr">
        <is>
          <t>2026</t>
        </is>
      </c>
      <c r="D325" s="45" t="inlineStr">
        <is>
          <t>BRA</t>
        </is>
      </c>
      <c r="E325" s="45" t="inlineStr">
        <is>
          <t>Serra Verde</t>
        </is>
      </c>
      <c r="F325" s="45" t="inlineStr">
        <is>
          <t>Rare earths miner, Minaçu (GO)</t>
        </is>
      </c>
      <c r="G325" s="45" t="inlineStr">
        <is>
          <t>other</t>
        </is>
      </c>
      <c r="H325" s="45" t="inlineStr">
        <is>
          <t>Other (business, civil society, third countries)</t>
        </is>
      </c>
      <c r="I325" s="45" t="inlineStr">
        <is>
          <t>BRA</t>
        </is>
      </c>
      <c r="J325" s="45" t="inlineStr">
        <is>
          <t>Denham Capital; EMG; Vision Blue</t>
        </is>
      </c>
      <c r="K325" s="45" t="inlineStr">
        <is>
          <t>official_statement</t>
        </is>
      </c>
      <c r="L325" s="45" t="inlineStr">
        <is>
          <t>Response to reports of US control via DFC financing</t>
        </is>
      </c>
      <c r="M325" s="45" t="inlineStr">
        <is>
          <t>rare_earths</t>
        </is>
      </c>
      <c r="N325" s="45" t="inlineStr">
        <is>
          <t>284690</t>
        </is>
      </c>
      <c r="O325" s="45" t="inlineStr">
        <is>
          <t>financing_credit;sovereignty</t>
        </is>
      </c>
      <c r="P325" s="45" t="inlineStr">
        <is>
          <t>USA</t>
        </is>
      </c>
      <c r="Q325" s="45" t="inlineStr">
        <is>
          <t>not_mentioned</t>
        </is>
      </c>
      <c r="R325" s="45" t="inlineStr">
        <is>
          <t>neutral</t>
        </is>
      </c>
      <c r="S325" s="45" t="inlineStr">
        <is>
          <t>Serra Verde; DFC</t>
        </is>
      </c>
      <c r="T325" s="45" t="inlineStr">
        <is>
          <t>Serra Verde stated it is and will remain an independent company not controlled by any government, and that the US would have no board seat despite the US$565m loan.</t>
        </is>
      </c>
      <c r="U325" s="45" t="inlineStr">
        <is>
          <t>A Serra Verde é, e continuará sendo, uma empresa independente</t>
        </is>
      </c>
      <c r="V325" s="45" t="inlineStr">
        <is>
          <t>Serra Verde is, and will remain, an independent company</t>
        </is>
      </c>
      <c r="W325" s="45" t="inlineStr">
        <is>
          <t>pt</t>
        </is>
      </c>
      <c r="X325" s="45" t="inlineStr">
        <is>
          <t>Jornal Opção</t>
        </is>
      </c>
      <c r="Y325" s="45" t="inlineStr">
        <is>
          <t>https://www.jornalopcao.com.br/ultimas-noticias/banco-norte-americano-confirma-que-financiamento-de-meio-bilhao-a-mineradora-em-minacu-da-aos-eua-acesso-a-terras-raras-brasileiras-811785/</t>
        </is>
      </c>
      <c r="Z325" s="45" t="inlineStr">
        <is>
          <t>news_media</t>
        </is>
      </c>
      <c r="AA325" s="45" t="inlineStr">
        <is>
          <t>secondary_reported</t>
        </is>
      </c>
      <c r="AB325" s="45" t="inlineStr">
        <is>
          <t>Corporate actor; speaker_country BRA by incorporation, owners foreign</t>
        </is>
      </c>
      <c r="AC325" s="45" t="inlineStr">
        <is>
          <t>BRA</t>
        </is>
      </c>
    </row>
    <row r="326" ht="15" customHeight="1" s="24">
      <c r="A326" s="45" t="inlineStr">
        <is>
          <t>PS-0325</t>
        </is>
      </c>
      <c r="B326" s="45" t="inlineStr">
        <is>
          <t>2026-04-06</t>
        </is>
      </c>
      <c r="C326" s="45" t="inlineStr">
        <is>
          <t>2026</t>
        </is>
      </c>
      <c r="D326" s="45" t="inlineStr">
        <is>
          <t>PER</t>
        </is>
      </c>
      <c r="E326" s="45" t="inlineStr">
        <is>
          <t>Keiko Fujimori</t>
        </is>
      </c>
      <c r="F326" s="45" t="inlineStr">
        <is>
          <t>Presidential candidate, Fuerza Popular</t>
        </is>
      </c>
      <c r="G326" s="45" t="inlineStr">
        <is>
          <t>political_party_candidate</t>
        </is>
      </c>
      <c r="H326" s="45" t="inlineStr">
        <is>
          <t>LatAm party/candidate</t>
        </is>
      </c>
      <c r="I326" s="45" t="inlineStr">
        <is>
          <t>PER</t>
        </is>
      </c>
      <c r="J326" s="45" t="inlineStr">
        <is>
          <t>Fuerza Popular</t>
        </is>
      </c>
      <c r="K326" s="45" t="inlineStr">
        <is>
          <t>campaign_statement</t>
        </is>
      </c>
      <c r="L326" s="45" t="inlineStr">
        <is>
          <t>Interview on Andina Canal Online, 2026 general election</t>
        </is>
      </c>
      <c r="M326" s="45" t="inlineStr">
        <is>
          <t>mining_general</t>
        </is>
      </c>
      <c r="N326" s="45" t="inlineStr"/>
      <c r="O326" s="45" t="inlineStr">
        <is>
          <t>foreign_investment;environment_water;indigenous_community_rights</t>
        </is>
      </c>
      <c r="P326" s="45" t="inlineStr">
        <is>
          <t>none</t>
        </is>
      </c>
      <c r="Q326" s="45" t="inlineStr">
        <is>
          <t>not_mentioned</t>
        </is>
      </c>
      <c r="R326" s="45" t="inlineStr">
        <is>
          <t>not_mentioned</t>
        </is>
      </c>
      <c r="S326" s="45" t="inlineStr"/>
      <c r="T326" s="45" t="inlineStr">
        <is>
          <t>Fujimori said Peru is a mining country whose main income comes from the industry and must be promoted with full environmental respect and community harmony, prioritizing water for people and agriculture.</t>
        </is>
      </c>
      <c r="U326" s="45" t="inlineStr">
        <is>
          <t>Hay que entender que el Perú es un país minero, sin duda, la principal fuente de ingreso de nuestro país proviene de esta industria.</t>
        </is>
      </c>
      <c r="V326" s="45" t="inlineStr">
        <is>
          <t>It must be understood that Peru is a mining country; without doubt the main source of income of our country comes from this industry.</t>
        </is>
      </c>
      <c r="W326" s="45" t="inlineStr">
        <is>
          <t>es</t>
        </is>
      </c>
      <c r="X326" s="45" t="inlineStr">
        <is>
          <t>El Peruano</t>
        </is>
      </c>
      <c r="Y326" s="45" t="inlineStr">
        <is>
          <t>https://elperuano.pe/noticia/292880-elecciones-2026-keiko-fujimori-propone-promover-mineria-con-respeto-al-medio-ambiente</t>
        </is>
      </c>
      <c r="Z326" s="45" t="inlineStr">
        <is>
          <t>primary_official</t>
        </is>
      </c>
      <c r="AA326" s="45" t="inlineStr">
        <is>
          <t>primary_verified</t>
        </is>
      </c>
      <c r="AB326" s="45" t="inlineStr"/>
      <c r="AC326" s="45" t="inlineStr">
        <is>
          <t>PER</t>
        </is>
      </c>
    </row>
    <row r="327" ht="15" customHeight="1" s="24">
      <c r="A327" s="45" t="inlineStr">
        <is>
          <t>PS-0326</t>
        </is>
      </c>
      <c r="B327" s="45" t="inlineStr">
        <is>
          <t>2026-04-07</t>
        </is>
      </c>
      <c r="C327" s="45" t="inlineStr">
        <is>
          <t>2026</t>
        </is>
      </c>
      <c r="D327" s="45" t="inlineStr">
        <is>
          <t>PAN</t>
        </is>
      </c>
      <c r="E327" s="45" t="inlineStr">
        <is>
          <t>Government of Panama (Mulino administration)</t>
        </is>
      </c>
      <c r="F327" s="45" t="inlineStr">
        <is>
          <t>Executive</t>
        </is>
      </c>
      <c r="G327" s="45" t="inlineStr">
        <is>
          <t>other_executive</t>
        </is>
      </c>
      <c r="H327" s="45" t="inlineStr">
        <is>
          <t>LatAm executive</t>
        </is>
      </c>
      <c r="I327" s="45" t="inlineStr">
        <is>
          <t>PAN</t>
        </is>
      </c>
      <c r="J327" s="45" t="inlineStr">
        <is>
          <t>Realizando Metas</t>
        </is>
      </c>
      <c r="K327" s="45" t="inlineStr">
        <is>
          <t>decree_or_regulation</t>
        </is>
      </c>
      <c r="L327" s="45" t="inlineStr">
        <is>
          <t>Approval to process stockpiled ore at Cobre Panamá</t>
        </is>
      </c>
      <c r="M327" s="45" t="inlineStr">
        <is>
          <t>copper</t>
        </is>
      </c>
      <c r="N327" s="45" t="inlineStr">
        <is>
          <t>260300;740200;740311</t>
        </is>
      </c>
      <c r="O327" s="45" t="inlineStr">
        <is>
          <t>environment_water;labor_social_conflict;foreign_investment</t>
        </is>
      </c>
      <c r="P327" s="45" t="inlineStr">
        <is>
          <t>CAN</t>
        </is>
      </c>
      <c r="Q327" s="45" t="inlineStr">
        <is>
          <t>not_mentioned</t>
        </is>
      </c>
      <c r="R327" s="45" t="inlineStr">
        <is>
          <t>not_mentioned</t>
        </is>
      </c>
      <c r="S327" s="45" t="inlineStr">
        <is>
          <t>Cobre Panamá; First Quantum</t>
        </is>
      </c>
      <c r="T327" s="45" t="inlineStr">
        <is>
          <t>The government approved removal, processing and export of ~38 Mt of stockpiled ore at Cobre Panamá to fund preservation and reduce environmental risks, stressing this was not a reopening of the mine.</t>
        </is>
      </c>
      <c r="U327" s="45" t="inlineStr"/>
      <c r="V327" s="45" t="inlineStr"/>
      <c r="W327" s="45" t="inlineStr">
        <is>
          <t>en</t>
        </is>
      </c>
      <c r="X327" s="45" t="inlineStr">
        <is>
          <t>First Quantum Minerals (company release)</t>
        </is>
      </c>
      <c r="Y327" s="45" t="inlineStr">
        <is>
          <t>https://www.first-quantum.com/news/government-of-panama-approves-processing-of-stockpiled-ore-at-cobre-panama/</t>
        </is>
      </c>
      <c r="Z327" s="45" t="inlineStr">
        <is>
          <t>news_media</t>
        </is>
      </c>
      <c r="AA327" s="45" t="inlineStr">
        <is>
          <t>secondary_reported</t>
        </is>
      </c>
      <c r="AB327" s="45" t="inlineStr">
        <is>
          <t>Corporate source; Wikipedia gives January 2026 for authorization – date discrepancy, release dated 2026-04-07.</t>
        </is>
      </c>
      <c r="AC327" s="45" t="inlineStr">
        <is>
          <t>COL_ECU_PAN</t>
        </is>
      </c>
    </row>
    <row r="328" ht="15" customHeight="1" s="24">
      <c r="A328" s="45" t="inlineStr">
        <is>
          <t>PS-0327</t>
        </is>
      </c>
      <c r="B328" s="45" t="inlineStr">
        <is>
          <t>2026-04-08</t>
        </is>
      </c>
      <c r="C328" s="45" t="inlineStr">
        <is>
          <t>2026</t>
        </is>
      </c>
      <c r="D328" s="45" t="inlineStr">
        <is>
          <t>BRA</t>
        </is>
      </c>
      <c r="E328" s="45" t="inlineStr">
        <is>
          <t>Luiz Inácio Lula da Silva</t>
        </is>
      </c>
      <c r="F328" s="45" t="inlineStr">
        <is>
          <t>President of Brazil</t>
        </is>
      </c>
      <c r="G328" s="45" t="inlineStr">
        <is>
          <t>head_of_state</t>
        </is>
      </c>
      <c r="H328" s="45" t="inlineStr">
        <is>
          <t>LatAm executive</t>
        </is>
      </c>
      <c r="I328" s="45" t="inlineStr">
        <is>
          <t>BRA</t>
        </is>
      </c>
      <c r="J328" s="45" t="inlineStr">
        <is>
          <t>PT</t>
        </is>
      </c>
      <c r="K328" s="45" t="inlineStr">
        <is>
          <t>interview</t>
        </is>
      </c>
      <c r="L328" s="45" t="inlineStr">
        <is>
          <t>Interview with ICL Notícias; criticism of Flávio Bolsonaro and Caiado over rare earths</t>
        </is>
      </c>
      <c r="M328" s="45" t="inlineStr">
        <is>
          <t>rare_earths;critical_minerals_general</t>
        </is>
      </c>
      <c r="N328" s="45" t="inlineStr">
        <is>
          <t>284690</t>
        </is>
      </c>
      <c r="O328" s="45" t="inlineStr">
        <is>
          <t>sovereignty;geopolitics_security;value_added_industrialization</t>
        </is>
      </c>
      <c r="P328" s="45" t="inlineStr">
        <is>
          <t>USA</t>
        </is>
      </c>
      <c r="Q328" s="45" t="inlineStr">
        <is>
          <t>not_mentioned</t>
        </is>
      </c>
      <c r="R328" s="45" t="inlineStr">
        <is>
          <t>negative</t>
        </is>
      </c>
      <c r="S328" s="45" t="inlineStr"/>
      <c r="T328" s="45" t="inlineStr">
        <is>
          <t>Lula accused Senator Flávio Bolsonaro and Governor Caiado of wanting to hand Brazil's raw rare earths to the US, likened it to giving away oil, and said the government was turning critical minerals into a matter of national security, announcing a council on mineral policy linked to the Presidency.</t>
        </is>
      </c>
      <c r="U328" s="45" t="inlineStr">
        <is>
          <t>Essa gente vai vender o Brasil e nós não podemos permitir</t>
        </is>
      </c>
      <c r="V328" s="45" t="inlineStr">
        <is>
          <t>These people will sell Brazil and we cannot allow it</t>
        </is>
      </c>
      <c r="W328" s="45" t="inlineStr">
        <is>
          <t>pt</t>
        </is>
      </c>
      <c r="X328" s="45" t="inlineStr">
        <is>
          <t>Poder360</t>
        </is>
      </c>
      <c r="Y328" s="45" t="inlineStr">
        <is>
          <t>https://www.poder360.com.br/poder-governo/essa-gente-vai-vender-o-brasil-diz-lula-sobre-flavio-e-caiado/</t>
        </is>
      </c>
      <c r="Z328" s="45" t="inlineStr">
        <is>
          <t>news_media</t>
        </is>
      </c>
      <c r="AA328" s="45" t="inlineStr">
        <is>
          <t>secondary_reported</t>
        </is>
      </c>
      <c r="AB328" s="45" t="inlineStr">
        <is>
          <t>Eixos reports Lula contrasted this with partnerships with China, India, EU (https://eixos.com.br/politica/minerais-criticos-lula-diz-que-flavio-bolsonaro-e-caiado-vao-vender-o-brasil/)</t>
        </is>
      </c>
      <c r="AC328" s="45" t="inlineStr">
        <is>
          <t>BRA</t>
        </is>
      </c>
    </row>
    <row r="329" ht="15" customHeight="1" s="24">
      <c r="A329" s="45" t="inlineStr">
        <is>
          <t>PS-0328</t>
        </is>
      </c>
      <c r="B329" s="45" t="inlineStr">
        <is>
          <t>2026-04-09</t>
        </is>
      </c>
      <c r="C329" s="45" t="inlineStr">
        <is>
          <t>2026</t>
        </is>
      </c>
      <c r="D329" s="45" t="inlineStr">
        <is>
          <t>ARG</t>
        </is>
      </c>
      <c r="E329" s="45" t="inlineStr">
        <is>
          <t>Chamber of Deputies of Argentina</t>
        </is>
      </c>
      <c r="F329" s="45" t="inlineStr">
        <is>
          <t>Lower chamber</t>
        </is>
      </c>
      <c r="G329" s="45" t="inlineStr">
        <is>
          <t>legislature_body</t>
        </is>
      </c>
      <c r="H329" s="45" t="inlineStr">
        <is>
          <t>LatAm legislature</t>
        </is>
      </c>
      <c r="I329" s="45" t="inlineStr">
        <is>
          <t>ARG</t>
        </is>
      </c>
      <c r="J329" s="45" t="inlineStr"/>
      <c r="K329" s="45" t="inlineStr">
        <is>
          <t>bill_or_law</t>
        </is>
      </c>
      <c r="L329" s="45" t="inlineStr">
        <is>
          <t>Final approval of Glacier Law reform</t>
        </is>
      </c>
      <c r="M329" s="45" t="inlineStr">
        <is>
          <t>copper;mining_general</t>
        </is>
      </c>
      <c r="N329" s="45" t="inlineStr">
        <is>
          <t>260300;740200;740311</t>
        </is>
      </c>
      <c r="O329" s="45" t="inlineStr">
        <is>
          <t>environment_water;foreign_investment</t>
        </is>
      </c>
      <c r="P329" s="45" t="inlineStr">
        <is>
          <t>none</t>
        </is>
      </c>
      <c r="Q329" s="45" t="inlineStr">
        <is>
          <t>not_mentioned</t>
        </is>
      </c>
      <c r="R329" s="45" t="inlineStr">
        <is>
          <t>not_mentioned</t>
        </is>
      </c>
      <c r="S329" s="45" t="inlineStr">
        <is>
          <t>Ley 26.639; Los Azules; El Pachón; Agua Rica; Vicuña</t>
        </is>
      </c>
      <c r="T329" s="45" t="inlineStr">
        <is>
          <t>Deputies gave final approval to the Glacier Law reform 137-111 with 3 abstentions, opening periglacial zones to mining; copper projects in San Juan, Salta, Catamarca and Mendoza worth about US$23bn were cited as beneficiaries.</t>
        </is>
      </c>
      <c r="U329" s="45" t="inlineStr"/>
      <c r="V329" s="45" t="inlineStr"/>
      <c r="W329" s="45" t="inlineStr">
        <is>
          <t>es</t>
        </is>
      </c>
      <c r="X329" s="45" t="inlineStr">
        <is>
          <t>Más Energía (LM Neuquén)</t>
        </is>
      </c>
      <c r="Y329" s="45" t="inlineStr">
        <is>
          <t>https://mase.lmneuquen.com/mineria/argentina-reformo-la-ley-glaciares-137-votos-favor-abren-el-ambiente-periglacial-la-mineria-n1234460</t>
        </is>
      </c>
      <c r="Z329" s="45" t="inlineStr">
        <is>
          <t>news_media</t>
        </is>
      </c>
      <c r="AA329" s="45" t="inlineStr">
        <is>
          <t>secondary_reported</t>
        </is>
      </c>
      <c r="AB329" s="45" t="inlineStr"/>
      <c r="AC329" s="45" t="inlineStr">
        <is>
          <t>ARG</t>
        </is>
      </c>
    </row>
    <row r="330" ht="15" customHeight="1" s="24">
      <c r="A330" s="45" t="inlineStr">
        <is>
          <t>PS-0329</t>
        </is>
      </c>
      <c r="B330" s="45" t="inlineStr">
        <is>
          <t>2026-04-09</t>
        </is>
      </c>
      <c r="C330" s="45" t="inlineStr">
        <is>
          <t>2026</t>
        </is>
      </c>
      <c r="D330" s="45" t="inlineStr">
        <is>
          <t>ARG</t>
        </is>
      </c>
      <c r="E330" s="45" t="inlineStr">
        <is>
          <t>Maximiliano Ferraro</t>
        </is>
      </c>
      <c r="F330" s="45" t="inlineStr">
        <is>
          <t>National Deputy</t>
        </is>
      </c>
      <c r="G330" s="45" t="inlineStr">
        <is>
          <t>legislator</t>
        </is>
      </c>
      <c r="H330" s="45" t="inlineStr">
        <is>
          <t>LatAm legislature</t>
        </is>
      </c>
      <c r="I330" s="45" t="inlineStr">
        <is>
          <t>ARG</t>
        </is>
      </c>
      <c r="J330" s="45" t="inlineStr">
        <is>
          <t>Coalición Cívica</t>
        </is>
      </c>
      <c r="K330" s="45" t="inlineStr">
        <is>
          <t>legislative_debate</t>
        </is>
      </c>
      <c r="L330" s="45" t="inlineStr">
        <is>
          <t>Chamber of Deputies Glacier Law reform debate</t>
        </is>
      </c>
      <c r="M330" s="45" t="inlineStr">
        <is>
          <t>mining_general</t>
        </is>
      </c>
      <c r="N330" s="45" t="inlineStr"/>
      <c r="O330" s="45" t="inlineStr">
        <is>
          <t>environment_water;corruption_governance</t>
        </is>
      </c>
      <c r="P330" s="45" t="inlineStr">
        <is>
          <t>none</t>
        </is>
      </c>
      <c r="Q330" s="45" t="inlineStr">
        <is>
          <t>not_mentioned</t>
        </is>
      </c>
      <c r="R330" s="45" t="inlineStr">
        <is>
          <t>not_mentioned</t>
        </is>
      </c>
      <c r="S330" s="45" t="inlineStr"/>
      <c r="T330" s="45" t="inlineStr">
        <is>
          <t>Ferraro called the Glacier Law reform completely regressive and unconstitutional.</t>
        </is>
      </c>
      <c r="U330" s="45" t="inlineStr">
        <is>
          <t>totalmente regresiva e inconstitucional</t>
        </is>
      </c>
      <c r="V330" s="45" t="inlineStr">
        <is>
          <t>completely regressive and unconstitutional</t>
        </is>
      </c>
      <c r="W330" s="45" t="inlineStr">
        <is>
          <t>es</t>
        </is>
      </c>
      <c r="X330" s="45" t="inlineStr">
        <is>
          <t>Más Energía (LM Neuquén)</t>
        </is>
      </c>
      <c r="Y330" s="45" t="inlineStr">
        <is>
          <t>https://mase.lmneuquen.com/mineria/argentina-reformo-la-ley-glaciares-137-votos-favor-abren-el-ambiente-periglacial-la-mineria-n1234460</t>
        </is>
      </c>
      <c r="Z330" s="45" t="inlineStr">
        <is>
          <t>news_media</t>
        </is>
      </c>
      <c r="AA330" s="45" t="inlineStr">
        <is>
          <t>secondary_reported</t>
        </is>
      </c>
      <c r="AB330" s="45" t="inlineStr"/>
      <c r="AC330" s="45" t="inlineStr">
        <is>
          <t>ARG</t>
        </is>
      </c>
    </row>
    <row r="331" ht="15" customHeight="1" s="24">
      <c r="A331" s="45" t="inlineStr">
        <is>
          <t>PS-0330</t>
        </is>
      </c>
      <c r="B331" s="45" t="inlineStr">
        <is>
          <t>2026-04-09</t>
        </is>
      </c>
      <c r="C331" s="45" t="inlineStr">
        <is>
          <t>2026</t>
        </is>
      </c>
      <c r="D331" s="45" t="inlineStr">
        <is>
          <t>ARG</t>
        </is>
      </c>
      <c r="E331" s="45" t="inlineStr">
        <is>
          <t>Miguel Ángel Pichetto</t>
        </is>
      </c>
      <c r="F331" s="45" t="inlineStr">
        <is>
          <t>National Deputy</t>
        </is>
      </c>
      <c r="G331" s="45" t="inlineStr">
        <is>
          <t>legislator</t>
        </is>
      </c>
      <c r="H331" s="45" t="inlineStr">
        <is>
          <t>LatAm legislature</t>
        </is>
      </c>
      <c r="I331" s="45" t="inlineStr">
        <is>
          <t>ARG</t>
        </is>
      </c>
      <c r="J331" s="45" t="inlineStr">
        <is>
          <t>Encuentro Federal</t>
        </is>
      </c>
      <c r="K331" s="45" t="inlineStr">
        <is>
          <t>legislative_debate</t>
        </is>
      </c>
      <c r="L331" s="45" t="inlineStr">
        <is>
          <t>Chamber of Deputies Glacier Law reform debate</t>
        </is>
      </c>
      <c r="M331" s="45" t="inlineStr">
        <is>
          <t>mining_general</t>
        </is>
      </c>
      <c r="N331" s="45" t="inlineStr"/>
      <c r="O331" s="45" t="inlineStr">
        <is>
          <t>environment_water</t>
        </is>
      </c>
      <c r="P331" s="45" t="inlineStr">
        <is>
          <t>none</t>
        </is>
      </c>
      <c r="Q331" s="45" t="inlineStr">
        <is>
          <t>not_mentioned</t>
        </is>
      </c>
      <c r="R331" s="45" t="inlineStr">
        <is>
          <t>not_mentioned</t>
        </is>
      </c>
      <c r="S331" s="45" t="inlineStr"/>
      <c r="T331" s="45" t="inlineStr">
        <is>
          <t>Pichetto, sponsor of the 2010 law, opposed the reform, arguing the original law was self-sufficient and already reconciled mining interests with glacier protection.</t>
        </is>
      </c>
      <c r="U331" s="45" t="inlineStr">
        <is>
          <t>La ley que se votó en 2010 es una ley autosuficiente que permitía perfectamente conciliar los intereses</t>
        </is>
      </c>
      <c r="V331" s="45" t="inlineStr">
        <is>
          <t>The law voted in 2010 is a self-sufficient law that perfectly allowed reconciling interests</t>
        </is>
      </c>
      <c r="W331" s="45" t="inlineStr">
        <is>
          <t>es</t>
        </is>
      </c>
      <c r="X331" s="45" t="inlineStr">
        <is>
          <t>Más Energía (LM Neuquén)</t>
        </is>
      </c>
      <c r="Y331" s="45" t="inlineStr">
        <is>
          <t>https://mase.lmneuquen.com/mineria/argentina-reformo-la-ley-glaciares-137-votos-favor-abren-el-ambiente-periglacial-la-mineria-n1234460</t>
        </is>
      </c>
      <c r="Z331" s="45" t="inlineStr">
        <is>
          <t>news_media</t>
        </is>
      </c>
      <c r="AA331" s="45" t="inlineStr">
        <is>
          <t>secondary_reported</t>
        </is>
      </c>
      <c r="AB331" s="45" t="inlineStr"/>
      <c r="AC331" s="45" t="inlineStr">
        <is>
          <t>ARG</t>
        </is>
      </c>
    </row>
    <row r="332" ht="15" customHeight="1" s="24">
      <c r="A332" s="45" t="inlineStr">
        <is>
          <t>PS-0331</t>
        </is>
      </c>
      <c r="B332" s="45" t="inlineStr">
        <is>
          <t>2026-04-17</t>
        </is>
      </c>
      <c r="C332" s="45" t="inlineStr">
        <is>
          <t>2026</t>
        </is>
      </c>
      <c r="D332" s="45" t="inlineStr">
        <is>
          <t>PER</t>
        </is>
      </c>
      <c r="E332" s="45" t="inlineStr">
        <is>
          <t>María Elvira Salazar</t>
        </is>
      </c>
      <c r="F332" s="45" t="inlineStr">
        <is>
          <t>U.S. Representative; Chair, House Foreign Affairs Subcommittee on the Western Hemisphere</t>
        </is>
      </c>
      <c r="G332" s="45" t="inlineStr">
        <is>
          <t>us_congress</t>
        </is>
      </c>
      <c r="H332" s="45" t="inlineStr">
        <is>
          <t>United States</t>
        </is>
      </c>
      <c r="I332" s="45" t="inlineStr">
        <is>
          <t>USA</t>
        </is>
      </c>
      <c r="J332" s="45" t="inlineStr">
        <is>
          <t>Republican</t>
        </is>
      </c>
      <c r="K332" s="45" t="inlineStr">
        <is>
          <t>interview</t>
        </is>
      </c>
      <c r="L332" s="45" t="inlineStr">
        <is>
          <t>Remarks on Chancay ahead of Peru's 2026 election</t>
        </is>
      </c>
      <c r="M332" s="45" t="inlineStr">
        <is>
          <t>mining_general</t>
        </is>
      </c>
      <c r="N332" s="45" t="inlineStr"/>
      <c r="O332" s="45" t="inlineStr">
        <is>
          <t>geopolitics_security;sovereignty;infrastructure_ports</t>
        </is>
      </c>
      <c r="P332" s="45" t="inlineStr">
        <is>
          <t>CHN;PER</t>
        </is>
      </c>
      <c r="Q332" s="45" t="inlineStr">
        <is>
          <t>negative</t>
        </is>
      </c>
      <c r="R332" s="45" t="inlineStr">
        <is>
          <t>positive</t>
        </is>
      </c>
      <c r="S332" s="45" t="inlineStr">
        <is>
          <t>Puerto de Chancay; Cosco Shipping</t>
        </is>
      </c>
      <c r="T332" s="45" t="inlineStr">
        <is>
          <t>Salazar said Peru's next government must take back Chancay port and that the US would help, describing its dual-use potential as a military threat to the hemisphere.</t>
        </is>
      </c>
      <c r="U332" s="45" t="inlineStr">
        <is>
          <t>The new Peruvian government, which will be elected next June, must take it back, that port, take it back, and the United States will help them.</t>
        </is>
      </c>
      <c r="V332" s="45" t="inlineStr">
        <is>
          <t>The new Peruvian government, which will be elected next June, must take it back, that port, take it back, and the United States will help them.</t>
        </is>
      </c>
      <c r="W332" s="45" t="inlineStr">
        <is>
          <t>en</t>
        </is>
      </c>
      <c r="X332" s="45" t="inlineStr">
        <is>
          <t>South China Morning Post</t>
        </is>
      </c>
      <c r="Y332" s="45" t="inlineStr">
        <is>
          <t>https://www.scmp.com/news/china/article/3350379/us-will-help-peru-take-back-chancay-port-china-congress-chair-says</t>
        </is>
      </c>
      <c r="Z332" s="45" t="inlineStr">
        <is>
          <t>news_media</t>
        </is>
      </c>
      <c r="AA332" s="45" t="inlineStr">
        <is>
          <t>secondary_reported</t>
        </is>
      </c>
      <c r="AB332" s="45" t="inlineStr">
        <is>
          <t>Port record</t>
        </is>
      </c>
      <c r="AC332" s="45" t="inlineStr">
        <is>
          <t>PER</t>
        </is>
      </c>
    </row>
    <row r="333" ht="15" customHeight="1" s="24">
      <c r="A333" s="45" t="inlineStr">
        <is>
          <t>PS-0332</t>
        </is>
      </c>
      <c r="B333" s="45" t="inlineStr">
        <is>
          <t>2026-04-20</t>
        </is>
      </c>
      <c r="C333" s="45" t="inlineStr">
        <is>
          <t>2026</t>
        </is>
      </c>
      <c r="D333" s="45" t="inlineStr">
        <is>
          <t>CHL</t>
        </is>
      </c>
      <c r="E333" s="45" t="inlineStr">
        <is>
          <t>Francisco Pérez Mackenna</t>
        </is>
      </c>
      <c r="F333" s="45" t="inlineStr">
        <is>
          <t>Minister of Foreign Affairs</t>
        </is>
      </c>
      <c r="G333" s="45" t="inlineStr">
        <is>
          <t>minister_cabinet</t>
        </is>
      </c>
      <c r="H333" s="45" t="inlineStr">
        <is>
          <t>LatAm executive</t>
        </is>
      </c>
      <c r="I333" s="45" t="inlineStr">
        <is>
          <t>CHL</t>
        </is>
      </c>
      <c r="J333" s="45" t="inlineStr">
        <is>
          <t>Independent (Kast government)</t>
        </is>
      </c>
      <c r="K333" s="45" t="inlineStr">
        <is>
          <t>joint_declaration_or_mou</t>
        </is>
      </c>
      <c r="L333" s="45" t="inlineStr">
        <is>
          <t>Signing of Chile-US critical minerals MoU at Foreign Ministry</t>
        </is>
      </c>
      <c r="M333" s="45" t="inlineStr">
        <is>
          <t>copper;lithium;cobalt;nickel;rare_earths;critical_minerals_general</t>
        </is>
      </c>
      <c r="N333" s="45" t="inlineStr">
        <is>
          <t>253090;260300;260400;282520;283691;284690;720260;740200;740311</t>
        </is>
      </c>
      <c r="O333" s="45" t="inlineStr">
        <is>
          <t>geopolitics_security;foreign_investment;processing_refining</t>
        </is>
      </c>
      <c r="P333" s="45" t="inlineStr">
        <is>
          <t>USA;DEU;JPN;KOR;EU</t>
        </is>
      </c>
      <c r="Q333" s="45" t="inlineStr">
        <is>
          <t>not_mentioned</t>
        </is>
      </c>
      <c r="R333" s="45" t="inlineStr">
        <is>
          <t>positive</t>
        </is>
      </c>
      <c r="S333" s="45" t="inlineStr"/>
      <c r="T333" s="45" t="inlineStr">
        <is>
          <t>Chile and the US signed a non-binding MoU on exploration, extraction and processing of critical minerals and rare earths; the foreign minister called it a step toward a Chilean state policy on critical minerals.</t>
        </is>
      </c>
      <c r="U333" s="45" t="inlineStr">
        <is>
          <t>Es un paso más en la consolidación de una Política de Estado de Chile en minerales críticos</t>
        </is>
      </c>
      <c r="V333" s="45" t="inlineStr">
        <is>
          <t>It is one more step in consolidating a Chilean State Policy on critical minerals</t>
        </is>
      </c>
      <c r="W333" s="45" t="inlineStr">
        <is>
          <t>es</t>
        </is>
      </c>
      <c r="X333" s="45" t="inlineStr">
        <is>
          <t>ABC Color (EFE)</t>
        </is>
      </c>
      <c r="Y333" s="45" t="inlineStr">
        <is>
          <t>https://www.abc.com.py/internacionales/2026/04/20/chile-y-estados-unidos-firman-memorandum-para-impulsar-industria-de-minerales-criticos/</t>
        </is>
      </c>
      <c r="Z333" s="45" t="inlineStr">
        <is>
          <t>news_media</t>
        </is>
      </c>
      <c r="AA333" s="45" t="inlineStr">
        <is>
          <t>secondary_reported</t>
        </is>
      </c>
      <c r="AB333" s="45" t="inlineStr">
        <is>
          <t>counterparts DEU listed as other ISO3; MoU complements deals with Germany, Japan, Korea, EU</t>
        </is>
      </c>
      <c r="AC333" s="45" t="inlineStr">
        <is>
          <t>CHL</t>
        </is>
      </c>
    </row>
    <row r="334" ht="15" customHeight="1" s="24">
      <c r="A334" s="45" t="inlineStr">
        <is>
          <t>PS-0333</t>
        </is>
      </c>
      <c r="B334" s="45" t="inlineStr">
        <is>
          <t>2026-04-23</t>
        </is>
      </c>
      <c r="C334" s="45" t="inlineStr">
        <is>
          <t>2026</t>
        </is>
      </c>
      <c r="D334" s="45" t="inlineStr">
        <is>
          <t>BRA</t>
        </is>
      </c>
      <c r="E334" s="45" t="inlineStr">
        <is>
          <t>Ronaldo Caiado</t>
        </is>
      </c>
      <c r="F334" s="45" t="inlineStr">
        <is>
          <t>Former Governor of Goiás; presidential pre-candidate</t>
        </is>
      </c>
      <c r="G334" s="45" t="inlineStr">
        <is>
          <t>political_party_candidate</t>
        </is>
      </c>
      <c r="H334" s="45" t="inlineStr">
        <is>
          <t>LatAm party/candidate</t>
        </is>
      </c>
      <c r="I334" s="45" t="inlineStr">
        <is>
          <t>BRA</t>
        </is>
      </c>
      <c r="J334" s="45" t="inlineStr">
        <is>
          <t>PSD</t>
        </is>
      </c>
      <c r="K334" s="45" t="inlineStr">
        <is>
          <t>interview</t>
        </is>
      </c>
      <c r="L334" s="45" t="inlineStr">
        <is>
          <t>Reply to Lula's criticism of Goiás-US rare earths MoU</t>
        </is>
      </c>
      <c r="M334" s="45" t="inlineStr">
        <is>
          <t>rare_earths;niobium</t>
        </is>
      </c>
      <c r="N334" s="45" t="inlineStr">
        <is>
          <t>261590;284690;720293</t>
        </is>
      </c>
      <c r="O334" s="45" t="inlineStr">
        <is>
          <t>sovereignty;value_added_industrialization;diplomatic_relations</t>
        </is>
      </c>
      <c r="P334" s="45" t="inlineStr">
        <is>
          <t>USA</t>
        </is>
      </c>
      <c r="Q334" s="45" t="inlineStr">
        <is>
          <t>not_mentioned</t>
        </is>
      </c>
      <c r="R334" s="45" t="inlineStr">
        <is>
          <t>positive</t>
        </is>
      </c>
      <c r="S334" s="45" t="inlineStr">
        <is>
          <t>Serra Verde</t>
        </is>
      </c>
      <c r="T334" s="45" t="inlineStr">
        <is>
          <t>Responding to Lula's attacks on his rare-earths deal with the US, Caiado accused Lula himself of 'selling' niobium and heavy rare earths and said the agreement would let Goiás develop technology instead of only exporting mineral concentrate.</t>
        </is>
      </c>
      <c r="U334" s="45" t="inlineStr">
        <is>
          <t>Quem tá vendendo é ele! É ele que está entregando tudo</t>
        </is>
      </c>
      <c r="V334" s="45" t="inlineStr">
        <is>
          <t>He's the one selling! He's the one handing everything over</t>
        </is>
      </c>
      <c r="W334" s="45" t="inlineStr">
        <is>
          <t>pt</t>
        </is>
      </c>
      <c r="X334" s="45" t="inlineStr">
        <is>
          <t>IstoÉ Dinheiro</t>
        </is>
      </c>
      <c r="Y334" s="45" t="inlineStr">
        <is>
          <t>https://istoedinheiro.com.br/apos-ser-criticado-por-acordo-sobre-terras-raras-com-eua-caiado-diz-que-lula-vende-o-brasil</t>
        </is>
      </c>
      <c r="Z334" s="45" t="inlineStr">
        <is>
          <t>news_media</t>
        </is>
      </c>
      <c r="AA334" s="45" t="inlineStr">
        <is>
          <t>secondary_reported</t>
        </is>
      </c>
      <c r="AB334" s="45" t="inlineStr">
        <is>
          <t>Caiado had left the governorship to run for president</t>
        </is>
      </c>
      <c r="AC334" s="45" t="inlineStr">
        <is>
          <t>BRA</t>
        </is>
      </c>
    </row>
    <row r="335" ht="15" customHeight="1" s="24">
      <c r="A335" s="45" t="inlineStr">
        <is>
          <t>PS-0334</t>
        </is>
      </c>
      <c r="B335" s="45" t="inlineStr">
        <is>
          <t>2026-04-25</t>
        </is>
      </c>
      <c r="C335" s="45" t="inlineStr">
        <is>
          <t>2026</t>
        </is>
      </c>
      <c r="D335" s="45" t="inlineStr">
        <is>
          <t>BRA</t>
        </is>
      </c>
      <c r="E335" s="45" t="inlineStr">
        <is>
          <t>Rede Sustentabilidade (with Dep. Heloisa Helena)</t>
        </is>
      </c>
      <c r="F335" s="45" t="inlineStr">
        <is>
          <t>Political party</t>
        </is>
      </c>
      <c r="G335" s="45" t="inlineStr">
        <is>
          <t>political_party_candidate</t>
        </is>
      </c>
      <c r="H335" s="45" t="inlineStr">
        <is>
          <t>LatAm party/candidate</t>
        </is>
      </c>
      <c r="I335" s="45" t="inlineStr">
        <is>
          <t>BRA</t>
        </is>
      </c>
      <c r="J335" s="45" t="inlineStr">
        <is>
          <t>Rede</t>
        </is>
      </c>
      <c r="K335" s="45" t="inlineStr">
        <is>
          <t>official_statement</t>
        </is>
      </c>
      <c r="L335" s="45" t="inlineStr">
        <is>
          <t>ADPF filed at STF to suspend sale of Serra Verde to USA Rare Earth</t>
        </is>
      </c>
      <c r="M335" s="45" t="inlineStr">
        <is>
          <t>rare_earths</t>
        </is>
      </c>
      <c r="N335" s="45" t="inlineStr">
        <is>
          <t>284690</t>
        </is>
      </c>
      <c r="O335" s="45" t="inlineStr">
        <is>
          <t>sovereignty;foreign_investment;state_control_nationalization</t>
        </is>
      </c>
      <c r="P335" s="45" t="inlineStr">
        <is>
          <t>USA</t>
        </is>
      </c>
      <c r="Q335" s="45" t="inlineStr">
        <is>
          <t>not_mentioned</t>
        </is>
      </c>
      <c r="R335" s="45" t="inlineStr">
        <is>
          <t>negative</t>
        </is>
      </c>
      <c r="S335" s="45" t="inlineStr">
        <is>
          <t>Serra Verde; USA Rare Earth</t>
        </is>
      </c>
      <c r="T335" s="45" t="inlineStr">
        <is>
          <t>Rede and Deputy Heloisa Helena asked the Supreme Court to suspend the US$2.8bn sale of Serra Verde to USA Rare Earth, arguing current rules fail to stop strategic Union minerals passing to foreign control; PSOL and PCdoB deputies petitioned the PGR similarly.</t>
        </is>
      </c>
      <c r="U335" s="45" t="inlineStr"/>
      <c r="V335" s="45" t="inlineStr"/>
      <c r="W335" s="45" t="inlineStr">
        <is>
          <t>pt</t>
        </is>
      </c>
      <c r="X335" s="45" t="inlineStr">
        <is>
          <t>InfoMoney</t>
        </is>
      </c>
      <c r="Y335" s="45" t="inlineStr">
        <is>
          <t>https://www.infomoney.com.br/?p=3306288</t>
        </is>
      </c>
      <c r="Z335" s="45" t="inlineStr">
        <is>
          <t>news_media</t>
        </is>
      </c>
      <c r="AA335" s="45" t="inlineStr">
        <is>
          <t>secondary_reported</t>
        </is>
      </c>
      <c r="AB335" s="45" t="inlineStr">
        <is>
          <t>Date = article date; filing date may be slightly earlier</t>
        </is>
      </c>
      <c r="AC335" s="45" t="inlineStr">
        <is>
          <t>BRA</t>
        </is>
      </c>
    </row>
    <row r="336" ht="15" customHeight="1" s="24">
      <c r="A336" s="45" t="inlineStr">
        <is>
          <t>PS-0335</t>
        </is>
      </c>
      <c r="B336" s="45" t="inlineStr">
        <is>
          <t>2026-04-28</t>
        </is>
      </c>
      <c r="C336" s="45" t="inlineStr">
        <is>
          <t>2026</t>
        </is>
      </c>
      <c r="D336" s="45" t="inlineStr">
        <is>
          <t>BOL</t>
        </is>
      </c>
      <c r="E336" s="45" t="inlineStr">
        <is>
          <t>Caleb Orr</t>
        </is>
      </c>
      <c r="F336" s="45" t="inlineStr">
        <is>
          <t>US Assistant Secretary of State for Economic, Energy and Business Affairs</t>
        </is>
      </c>
      <c r="G336" s="45" t="inlineStr">
        <is>
          <t>us_central_gov</t>
        </is>
      </c>
      <c r="H336" s="45" t="inlineStr">
        <is>
          <t>United States</t>
        </is>
      </c>
      <c r="I336" s="45" t="inlineStr">
        <is>
          <t>USA</t>
        </is>
      </c>
      <c r="J336" s="45" t="inlineStr">
        <is>
          <t>Trump administration</t>
        </is>
      </c>
      <c r="K336" s="45" t="inlineStr">
        <is>
          <t>joint_declaration_or_mou</t>
        </is>
      </c>
      <c r="L336" s="45" t="inlineStr">
        <is>
          <t>Signing of US-Bolivia critical minerals MoU</t>
        </is>
      </c>
      <c r="M336" s="45" t="inlineStr">
        <is>
          <t>lithium;copper;cobalt;nickel;rare_earths;critical_minerals_general</t>
        </is>
      </c>
      <c r="N336" s="45" t="inlineStr">
        <is>
          <t>253090;260300;260400;282520;283691;284690;720260;740200;740311</t>
        </is>
      </c>
      <c r="O336" s="45" t="inlineStr">
        <is>
          <t>foreign_investment;geopolitics_security;diplomatic_relations</t>
        </is>
      </c>
      <c r="P336" s="45" t="inlineStr">
        <is>
          <t>BOL</t>
        </is>
      </c>
      <c r="Q336" s="45" t="inlineStr">
        <is>
          <t>not_mentioned</t>
        </is>
      </c>
      <c r="R336" s="45" t="inlineStr">
        <is>
          <t>positive</t>
        </is>
      </c>
      <c r="S336" s="45" t="inlineStr"/>
      <c r="T336" s="45" t="inlineStr">
        <is>
          <t>The US and Bolivia signed a memorandum of understanding to attract investment in lithium and other critical minerals; the US said it was committed to working with Bolivia under Paz to secure critical mineral supply chains.</t>
        </is>
      </c>
      <c r="U336" s="45" t="inlineStr">
        <is>
          <t>Estados Unidos está comprometido a trabajar con Bolivia bajo el liderazgo del Presidente Paz a atraer inversiones</t>
        </is>
      </c>
      <c r="V336" s="45" t="inlineStr">
        <is>
          <t>The United States is committed to working with Bolivia under President Paz's leadership to attract investment</t>
        </is>
      </c>
      <c r="W336" s="45" t="inlineStr">
        <is>
          <t>es</t>
        </is>
      </c>
      <c r="X336" s="45" t="inlineStr">
        <is>
          <t>KEYT (EFE/CNN)</t>
        </is>
      </c>
      <c r="Y336" s="45" t="inlineStr">
        <is>
          <t>https://keyt.com/?p=1421195</t>
        </is>
      </c>
      <c r="Z336" s="45" t="inlineStr">
        <is>
          <t>news_media</t>
        </is>
      </c>
      <c r="AA336" s="45" t="inlineStr">
        <is>
          <t>secondary_reported</t>
        </is>
      </c>
      <c r="AB336" s="45" t="inlineStr">
        <is>
          <t>Orr's exact title varies across sources (Under/Assistant/Deputy). Also Diario Las Américas and Correo del Sur.</t>
        </is>
      </c>
      <c r="AC336" s="45" t="inlineStr">
        <is>
          <t>BOL</t>
        </is>
      </c>
    </row>
    <row r="337" ht="15" customHeight="1" s="24">
      <c r="A337" s="45" t="inlineStr">
        <is>
          <t>PS-0336</t>
        </is>
      </c>
      <c r="B337" s="45" t="inlineStr">
        <is>
          <t>2026-04-28</t>
        </is>
      </c>
      <c r="C337" s="45" t="inlineStr">
        <is>
          <t>2026</t>
        </is>
      </c>
      <c r="D337" s="45" t="inlineStr">
        <is>
          <t>BOL</t>
        </is>
      </c>
      <c r="E337" s="45" t="inlineStr">
        <is>
          <t>Fernando Aramayo</t>
        </is>
      </c>
      <c r="F337" s="45" t="inlineStr">
        <is>
          <t>Minister of Foreign Affairs</t>
        </is>
      </c>
      <c r="G337" s="45" t="inlineStr">
        <is>
          <t>minister_cabinet</t>
        </is>
      </c>
      <c r="H337" s="45" t="inlineStr">
        <is>
          <t>LatAm executive</t>
        </is>
      </c>
      <c r="I337" s="45" t="inlineStr">
        <is>
          <t>BOL</t>
        </is>
      </c>
      <c r="J337" s="45" t="inlineStr">
        <is>
          <t>Paz government</t>
        </is>
      </c>
      <c r="K337" s="45" t="inlineStr">
        <is>
          <t>press_conference</t>
        </is>
      </c>
      <c r="L337" s="45" t="inlineStr">
        <is>
          <t>US-Bolivia critical minerals MoU</t>
        </is>
      </c>
      <c r="M337" s="45" t="inlineStr">
        <is>
          <t>rare_earths;lithium;critical_minerals_general</t>
        </is>
      </c>
      <c r="N337" s="45" t="inlineStr">
        <is>
          <t>253090;282520;283691;284690</t>
        </is>
      </c>
      <c r="O337" s="45" t="inlineStr">
        <is>
          <t>geopolitics_security;diplomatic_relations</t>
        </is>
      </c>
      <c r="P337" s="45" t="inlineStr">
        <is>
          <t>USA;CHN</t>
        </is>
      </c>
      <c r="Q337" s="45" t="inlineStr">
        <is>
          <t>neutral</t>
        </is>
      </c>
      <c r="R337" s="45" t="inlineStr">
        <is>
          <t>positive</t>
        </is>
      </c>
      <c r="S337" s="45" t="inlineStr"/>
      <c r="T337" s="45" t="inlineStr">
        <is>
          <t>Aramayo said the United States aims to form a regional bloc for critical mineral supply to reduce dependence on China's market dominance.</t>
        </is>
      </c>
      <c r="U337" s="45" t="inlineStr"/>
      <c r="V337" s="45" t="inlineStr"/>
      <c r="W337" s="45" t="inlineStr">
        <is>
          <t>es</t>
        </is>
      </c>
      <c r="X337" s="45" t="inlineStr">
        <is>
          <t>Correo del Sur</t>
        </is>
      </c>
      <c r="Y337" s="45" t="inlineStr">
        <is>
          <t>https://correodelsur.com/politica/20260428/sellan-pacto-entre-eeuu-y-bolivia-para-explotar-tierras-raras.html</t>
        </is>
      </c>
      <c r="Z337" s="45" t="inlineStr">
        <is>
          <t>news_media</t>
        </is>
      </c>
      <c r="AA337" s="45" t="inlineStr">
        <is>
          <t>secondary_reported</t>
        </is>
      </c>
      <c r="AB337" s="45" t="inlineStr">
        <is>
          <t>Paraphrase only.</t>
        </is>
      </c>
      <c r="AC337" s="45" t="inlineStr">
        <is>
          <t>BOL</t>
        </is>
      </c>
    </row>
    <row r="338" ht="15" customHeight="1" s="24">
      <c r="A338" s="45" t="inlineStr">
        <is>
          <t>PS-0337</t>
        </is>
      </c>
      <c r="B338" s="45" t="inlineStr">
        <is>
          <t>2026-04-28</t>
        </is>
      </c>
      <c r="C338" s="45" t="inlineStr">
        <is>
          <t>2026</t>
        </is>
      </c>
      <c r="D338" s="45" t="inlineStr">
        <is>
          <t>BOL</t>
        </is>
      </c>
      <c r="E338" s="45" t="inlineStr">
        <is>
          <t>Marco Antonio Calderón de la Barca</t>
        </is>
      </c>
      <c r="F338" s="45" t="inlineStr">
        <is>
          <t>Minister of Mining and Metallurgy</t>
        </is>
      </c>
      <c r="G338" s="45" t="inlineStr">
        <is>
          <t>minister_cabinet</t>
        </is>
      </c>
      <c r="H338" s="45" t="inlineStr">
        <is>
          <t>LatAm executive</t>
        </is>
      </c>
      <c r="I338" s="45" t="inlineStr">
        <is>
          <t>BOL</t>
        </is>
      </c>
      <c r="J338" s="45" t="inlineStr">
        <is>
          <t>Paz government</t>
        </is>
      </c>
      <c r="K338" s="45" t="inlineStr">
        <is>
          <t>joint_declaration_or_mou</t>
        </is>
      </c>
      <c r="L338" s="45" t="inlineStr">
        <is>
          <t>Signing of US-Bolivia critical minerals MoU</t>
        </is>
      </c>
      <c r="M338" s="45" t="inlineStr">
        <is>
          <t>lithium;rare_earths;critical_minerals_general</t>
        </is>
      </c>
      <c r="N338" s="45" t="inlineStr">
        <is>
          <t>253090;282520;283691;284690</t>
        </is>
      </c>
      <c r="O338" s="45" t="inlineStr">
        <is>
          <t>foreign_investment;diplomatic_relations</t>
        </is>
      </c>
      <c r="P338" s="45" t="inlineStr">
        <is>
          <t>USA</t>
        </is>
      </c>
      <c r="Q338" s="45" t="inlineStr">
        <is>
          <t>not_mentioned</t>
        </is>
      </c>
      <c r="R338" s="45" t="inlineStr">
        <is>
          <t>positive</t>
        </is>
      </c>
      <c r="S338" s="45" t="inlineStr"/>
      <c r="T338" s="45" t="inlineStr">
        <is>
          <t>Bolivia's mining minister signed the critical minerals MoU with the United States covering cooperation to attract investment in lithium, rare earths and other minerals.</t>
        </is>
      </c>
      <c r="U338" s="45" t="inlineStr"/>
      <c r="V338" s="45" t="inlineStr"/>
      <c r="W338" s="45" t="inlineStr">
        <is>
          <t>es</t>
        </is>
      </c>
      <c r="X338" s="45" t="inlineStr">
        <is>
          <t>Diario Las Américas</t>
        </is>
      </c>
      <c r="Y338" s="45" t="inlineStr">
        <is>
          <t>https://www.diariolasamericas.com/eeuu/eeuu-y-bolivia-pactan-compromiso-atraer-inversiones-litio-y-otros-minerales-criticos-n5394484</t>
        </is>
      </c>
      <c r="Z338" s="45" t="inlineStr">
        <is>
          <t>news_media</t>
        </is>
      </c>
      <c r="AA338" s="45" t="inlineStr">
        <is>
          <t>secondary_reported</t>
        </is>
      </c>
      <c r="AB338" s="45" t="inlineStr"/>
      <c r="AC338" s="45" t="inlineStr">
        <is>
          <t>BOL</t>
        </is>
      </c>
    </row>
    <row r="339" ht="15" customHeight="1" s="24">
      <c r="A339" s="45" t="inlineStr">
        <is>
          <t>PS-0338</t>
        </is>
      </c>
      <c r="B339" s="45" t="inlineStr">
        <is>
          <t>2026-04-30</t>
        </is>
      </c>
      <c r="C339" s="45" t="inlineStr">
        <is>
          <t>2026</t>
        </is>
      </c>
      <c r="D339" s="45" t="inlineStr">
        <is>
          <t>ARG</t>
        </is>
      </c>
      <c r="E339" s="45" t="inlineStr">
        <is>
          <t>Daniel González</t>
        </is>
      </c>
      <c r="F339" s="45" t="inlineStr">
        <is>
          <t>Coordinating Secretary of Energy and Mining of Argentina</t>
        </is>
      </c>
      <c r="G339" s="45" t="inlineStr">
        <is>
          <t>other_executive</t>
        </is>
      </c>
      <c r="H339" s="45" t="inlineStr">
        <is>
          <t>LatAm executive</t>
        </is>
      </c>
      <c r="I339" s="45" t="inlineStr">
        <is>
          <t>ARG</t>
        </is>
      </c>
      <c r="J339" s="45" t="inlineStr"/>
      <c r="K339" s="45" t="inlineStr">
        <is>
          <t>speech</t>
        </is>
      </c>
      <c r="L339" s="45" t="inlineStr">
        <is>
          <t>Signing of joint statement with US Chamber of Commerce/AmCham on minerals</t>
        </is>
      </c>
      <c r="M339" s="45" t="inlineStr">
        <is>
          <t>copper;critical_minerals_general</t>
        </is>
      </c>
      <c r="N339" s="45" t="inlineStr">
        <is>
          <t>260300;740200;740311</t>
        </is>
      </c>
      <c r="O339" s="45" t="inlineStr">
        <is>
          <t>foreign_investment;geopolitics_security</t>
        </is>
      </c>
      <c r="P339" s="45" t="inlineStr">
        <is>
          <t>USA</t>
        </is>
      </c>
      <c r="Q339" s="45" t="inlineStr">
        <is>
          <t>not_mentioned</t>
        </is>
      </c>
      <c r="R339" s="45" t="inlineStr">
        <is>
          <t>positive</t>
        </is>
      </c>
      <c r="S339" s="45" t="inlineStr">
        <is>
          <t>AmCham Argentina; US Chamber of Commerce</t>
        </is>
      </c>
      <c r="T339" s="45" t="inlineStr">
        <is>
          <t>González said the copper had always been there but was not developed, and that Argentina is again macroeconomically ordered and aligned with the West, crediting Milei for taking on the issue.</t>
        </is>
      </c>
      <c r="U339" s="45" t="inlineStr">
        <is>
          <t>Volvimos a ser un país más ordenado macroeconómicamente y alineado con Occidente</t>
        </is>
      </c>
      <c r="V339" s="45" t="inlineStr">
        <is>
          <t>We are once again a more macroeconomically orderly country aligned with the West</t>
        </is>
      </c>
      <c r="W339" s="45" t="inlineStr">
        <is>
          <t>es</t>
        </is>
      </c>
      <c r="X339" s="45" t="inlineStr">
        <is>
          <t>La Nación</t>
        </is>
      </c>
      <c r="Y339" s="45" t="inlineStr">
        <is>
          <t>https://www.lanacion.com.ar/economia/en-la-disputa-con-china-por-los-minerales-del-futuro-eeuu-pone-los-ojos-en-la-argentina-nid30042026/</t>
        </is>
      </c>
      <c r="Z339" s="45" t="inlineStr">
        <is>
          <t>news_media</t>
        </is>
      </c>
      <c r="AA339" s="45" t="inlineStr">
        <is>
          <t>secondary_reported</t>
        </is>
      </c>
      <c r="AB339" s="45" t="inlineStr"/>
      <c r="AC339" s="45" t="inlineStr">
        <is>
          <t>ARG</t>
        </is>
      </c>
    </row>
    <row r="340" ht="15" customHeight="1" s="24">
      <c r="A340" s="45" t="inlineStr">
        <is>
          <t>PS-0339</t>
        </is>
      </c>
      <c r="B340" s="45" t="inlineStr">
        <is>
          <t>2026-05-06</t>
        </is>
      </c>
      <c r="C340" s="45" t="inlineStr">
        <is>
          <t>2026</t>
        </is>
      </c>
      <c r="D340" s="45" t="inlineStr">
        <is>
          <t>BOL</t>
        </is>
      </c>
      <c r="E340" s="45" t="inlineStr">
        <is>
          <t>Fernando Aramayo</t>
        </is>
      </c>
      <c r="F340" s="45" t="inlineStr">
        <is>
          <t>Minister of Foreign Affairs</t>
        </is>
      </c>
      <c r="G340" s="45" t="inlineStr">
        <is>
          <t>minister_cabinet</t>
        </is>
      </c>
      <c r="H340" s="45" t="inlineStr">
        <is>
          <t>LatAm executive</t>
        </is>
      </c>
      <c r="I340" s="45" t="inlineStr">
        <is>
          <t>BOL</t>
        </is>
      </c>
      <c r="J340" s="45" t="inlineStr">
        <is>
          <t>Paz government</t>
        </is>
      </c>
      <c r="K340" s="45" t="inlineStr">
        <is>
          <t>interview</t>
        </is>
      </c>
      <c r="L340" s="45" t="inlineStr">
        <is>
          <t>Bolivia seeks US technology cooperation for lithium</t>
        </is>
      </c>
      <c r="M340" s="45" t="inlineStr">
        <is>
          <t>lithium</t>
        </is>
      </c>
      <c r="N340" s="45" t="inlineStr">
        <is>
          <t>253090;282520;283691</t>
        </is>
      </c>
      <c r="O340" s="45" t="inlineStr">
        <is>
          <t>technology_transfer;value_added_industrialization;environment_water</t>
        </is>
      </c>
      <c r="P340" s="45" t="inlineStr">
        <is>
          <t>USA</t>
        </is>
      </c>
      <c r="Q340" s="45" t="inlineStr">
        <is>
          <t>not_mentioned</t>
        </is>
      </c>
      <c r="R340" s="45" t="inlineStr">
        <is>
          <t>positive</t>
        </is>
      </c>
      <c r="S340" s="45" t="inlineStr"/>
      <c r="T340" s="45" t="inlineStr">
        <is>
          <t>Aramayo said Bolivia is very interested in US technology cooperation to advance lithium industrialization, noting lack of human resources and need for hydrogeological studies.</t>
        </is>
      </c>
      <c r="U340" s="45" t="inlineStr">
        <is>
          <t>Con Estados Unidos nos interesa mucho el tema tecnológico (...), generar un acuerdo que nos permita ver cómo logramos dar pasos en la industrialización del litio</t>
        </is>
      </c>
      <c r="V340" s="45" t="inlineStr">
        <is>
          <t>With the United States we are very interested in technology (...), to generate an agreement that lets us see how we can take steps in lithium industrialization</t>
        </is>
      </c>
      <c r="W340" s="45" t="inlineStr">
        <is>
          <t>es</t>
        </is>
      </c>
      <c r="X340" s="45" t="inlineStr">
        <is>
          <t>TVN Panamá (EFE)</t>
        </is>
      </c>
      <c r="Y340" s="45" t="inlineStr">
        <is>
          <t>https://www.tvn-2.com/mundo/bolivia-busca-cooperacion-tecnologica-eeuupara_1_2239787.html</t>
        </is>
      </c>
      <c r="Z340" s="45" t="inlineStr">
        <is>
          <t>news_media</t>
        </is>
      </c>
      <c r="AA340" s="45" t="inlineStr">
        <is>
          <t>secondary_reported</t>
        </is>
      </c>
      <c r="AB340" s="45" t="inlineStr"/>
      <c r="AC340" s="45" t="inlineStr">
        <is>
          <t>BOL</t>
        </is>
      </c>
    </row>
    <row r="341" ht="15" customHeight="1" s="24">
      <c r="A341" s="45" t="inlineStr">
        <is>
          <t>PS-0340</t>
        </is>
      </c>
      <c r="B341" s="45" t="inlineStr">
        <is>
          <t>2026-05-06</t>
        </is>
      </c>
      <c r="C341" s="45" t="inlineStr">
        <is>
          <t>2026</t>
        </is>
      </c>
      <c r="D341" s="45" t="inlineStr">
        <is>
          <t>BRA</t>
        </is>
      </c>
      <c r="E341" s="45" t="inlineStr">
        <is>
          <t>Câmara dos Deputados</t>
        </is>
      </c>
      <c r="F341" s="45" t="inlineStr">
        <is>
          <t>Chamber of Deputies of Brazil</t>
        </is>
      </c>
      <c r="G341" s="45" t="inlineStr">
        <is>
          <t>legislature_body</t>
        </is>
      </c>
      <c r="H341" s="45" t="inlineStr">
        <is>
          <t>LatAm legislature</t>
        </is>
      </c>
      <c r="I341" s="45" t="inlineStr">
        <is>
          <t>BRA</t>
        </is>
      </c>
      <c r="J341" s="45" t="inlineStr"/>
      <c r="K341" s="45" t="inlineStr">
        <is>
          <t>bill_or_law</t>
        </is>
      </c>
      <c r="L341" s="45" t="inlineStr">
        <is>
          <t>Floor vote on PL 2780/2024 (National Policy for Critical and Strategic Minerals)</t>
        </is>
      </c>
      <c r="M341" s="45" t="inlineStr">
        <is>
          <t>critical_minerals_general;rare_earths</t>
        </is>
      </c>
      <c r="N341" s="45" t="inlineStr">
        <is>
          <t>284690</t>
        </is>
      </c>
      <c r="O341" s="45" t="inlineStr">
        <is>
          <t>value_added_industrialization;financing_credit;state_control_nationalization;royalties_taxation</t>
        </is>
      </c>
      <c r="P341" s="45" t="inlineStr">
        <is>
          <t>none</t>
        </is>
      </c>
      <c r="Q341" s="45" t="inlineStr">
        <is>
          <t>not_mentioned</t>
        </is>
      </c>
      <c r="R341" s="45" t="inlineStr">
        <is>
          <t>not_mentioned</t>
        </is>
      </c>
      <c r="S341" s="45" t="inlineStr">
        <is>
          <t>PL 2780/2024</t>
        </is>
      </c>
      <c r="T341" s="45" t="inlineStr">
        <is>
          <t>The Chamber approved by symbolic vote the substitute to PL 2780/2024 creating the National Policy for Critical and Strategic Minerals, a council to update mineral lists, a R$5 billion guarantee fund and incentives favouring domestic processing over raw exports; the bill went to the Senate.</t>
        </is>
      </c>
      <c r="U341" s="45" t="inlineStr"/>
      <c r="V341" s="45" t="inlineStr"/>
      <c r="W341" s="45" t="inlineStr">
        <is>
          <t>pt</t>
        </is>
      </c>
      <c r="X341" s="45" t="inlineStr">
        <is>
          <t>SBT News</t>
        </is>
      </c>
      <c r="Y341" s="45" t="inlineStr">
        <is>
          <t>https://sbtnews.sbt.com.br/noticia/politica/camara-aprova-pl-dos-minerais-criticos-e-estrategicos</t>
        </is>
      </c>
      <c r="Z341" s="45" t="inlineStr">
        <is>
          <t>news_media</t>
        </is>
      </c>
      <c r="AA341" s="45" t="inlineStr">
        <is>
          <t>secondary_reported</t>
        </is>
      </c>
      <c r="AB341" s="45" t="inlineStr">
        <is>
          <t>Vote held on eve of Lula-Trump meeting (7 May 2026); Novo and PSOL amendments rejected</t>
        </is>
      </c>
      <c r="AC341" s="45" t="inlineStr">
        <is>
          <t>BRA</t>
        </is>
      </c>
    </row>
    <row r="342" ht="15" customHeight="1" s="24">
      <c r="A342" s="45" t="inlineStr">
        <is>
          <t>PS-0341</t>
        </is>
      </c>
      <c r="B342" s="45" t="inlineStr">
        <is>
          <t>2026-05-06</t>
        </is>
      </c>
      <c r="C342" s="45" t="inlineStr">
        <is>
          <t>2026</t>
        </is>
      </c>
      <c r="D342" s="45" t="inlineStr">
        <is>
          <t>BRA</t>
        </is>
      </c>
      <c r="E342" s="45" t="inlineStr">
        <is>
          <t>Hugo Motta</t>
        </is>
      </c>
      <c r="F342" s="45" t="inlineStr">
        <is>
          <t>President of the Chamber of Deputies</t>
        </is>
      </c>
      <c r="G342" s="45" t="inlineStr">
        <is>
          <t>legislator</t>
        </is>
      </c>
      <c r="H342" s="45" t="inlineStr">
        <is>
          <t>LatAm legislature</t>
        </is>
      </c>
      <c r="I342" s="45" t="inlineStr">
        <is>
          <t>BRA</t>
        </is>
      </c>
      <c r="J342" s="45" t="inlineStr">
        <is>
          <t>Republicanos</t>
        </is>
      </c>
      <c r="K342" s="45" t="inlineStr">
        <is>
          <t>official_statement</t>
        </is>
      </c>
      <c r="L342" s="45" t="inlineStr">
        <is>
          <t>Approval of PL 2780/2024 in the Chamber</t>
        </is>
      </c>
      <c r="M342" s="45" t="inlineStr">
        <is>
          <t>critical_minerals_general</t>
        </is>
      </c>
      <c r="N342" s="45" t="inlineStr"/>
      <c r="O342" s="45" t="inlineStr">
        <is>
          <t>energy_transition;value_added_industrialization</t>
        </is>
      </c>
      <c r="P342" s="45" t="inlineStr">
        <is>
          <t>none</t>
        </is>
      </c>
      <c r="Q342" s="45" t="inlineStr">
        <is>
          <t>not_mentioned</t>
        </is>
      </c>
      <c r="R342" s="45" t="inlineStr">
        <is>
          <t>not_mentioned</t>
        </is>
      </c>
      <c r="S342" s="45" t="inlineStr">
        <is>
          <t>PL 2780/2024</t>
        </is>
      </c>
      <c r="T342" s="45" t="inlineStr">
        <is>
          <t>Motta called the Chamber's approval of the critical minerals policy historic, saying it was a giant step for the nation's future and a compass for Brazil in the energy transition and essential technologies.</t>
        </is>
      </c>
      <c r="U342" s="45" t="inlineStr"/>
      <c r="V342" s="45" t="inlineStr"/>
      <c r="W342" s="45" t="inlineStr">
        <is>
          <t>pt</t>
        </is>
      </c>
      <c r="X342" s="45" t="inlineStr">
        <is>
          <t>SBT News</t>
        </is>
      </c>
      <c r="Y342" s="45" t="inlineStr">
        <is>
          <t>https://sbtnews.sbt.com.br/noticia/politica/camara-aprova-pl-dos-minerais-criticos-e-estrategicos</t>
        </is>
      </c>
      <c r="Z342" s="45" t="inlineStr">
        <is>
          <t>news_media</t>
        </is>
      </c>
      <c r="AA342" s="45" t="inlineStr">
        <is>
          <t>secondary_reported</t>
        </is>
      </c>
      <c r="AB342" s="45" t="inlineStr">
        <is>
          <t>Quote seen only in translation; left empty</t>
        </is>
      </c>
      <c r="AC342" s="45" t="inlineStr">
        <is>
          <t>BRA</t>
        </is>
      </c>
    </row>
    <row r="343" ht="15" customHeight="1" s="24">
      <c r="A343" s="45" t="inlineStr">
        <is>
          <t>PS-0342</t>
        </is>
      </c>
      <c r="B343" s="45" t="inlineStr">
        <is>
          <t>2026-05-07</t>
        </is>
      </c>
      <c r="C343" s="45" t="inlineStr">
        <is>
          <t>2026</t>
        </is>
      </c>
      <c r="D343" s="45" t="inlineStr">
        <is>
          <t>BRA</t>
        </is>
      </c>
      <c r="E343" s="45" t="inlineStr">
        <is>
          <t>Luiz Inácio Lula da Silva</t>
        </is>
      </c>
      <c r="F343" s="45" t="inlineStr">
        <is>
          <t>President of Brazil</t>
        </is>
      </c>
      <c r="G343" s="45" t="inlineStr">
        <is>
          <t>head_of_state</t>
        </is>
      </c>
      <c r="H343" s="45" t="inlineStr">
        <is>
          <t>LatAm executive</t>
        </is>
      </c>
      <c r="I343" s="45" t="inlineStr">
        <is>
          <t>BRA</t>
        </is>
      </c>
      <c r="J343" s="45" t="inlineStr">
        <is>
          <t>PT</t>
        </is>
      </c>
      <c r="K343" s="45" t="inlineStr">
        <is>
          <t>press_conference</t>
        </is>
      </c>
      <c r="L343" s="45" t="inlineStr">
        <is>
          <t>Lula-Trump meeting at the White House</t>
        </is>
      </c>
      <c r="M343" s="45" t="inlineStr">
        <is>
          <t>critical_minerals_general;rare_earths</t>
        </is>
      </c>
      <c r="N343" s="45" t="inlineStr">
        <is>
          <t>284690</t>
        </is>
      </c>
      <c r="O343" s="45" t="inlineStr">
        <is>
          <t>foreign_investment;diplomatic_relations;processing_refining</t>
        </is>
      </c>
      <c r="P343" s="45" t="inlineStr">
        <is>
          <t>USA</t>
        </is>
      </c>
      <c r="Q343" s="45" t="inlineStr">
        <is>
          <t>not_mentioned</t>
        </is>
      </c>
      <c r="R343" s="45" t="inlineStr">
        <is>
          <t>positive</t>
        </is>
      </c>
      <c r="S343" s="45" t="inlineStr"/>
      <c r="T343" s="45" t="inlineStr">
        <is>
          <t>Lula said he presented Trump with Brazil's newly approved national critical minerals policy, stressing the aim to map 100% of mineral resources and inviting foreign investment in extraction and processing in Brazil.</t>
        </is>
      </c>
      <c r="U343" s="45" t="inlineStr"/>
      <c r="V343" s="45" t="inlineStr"/>
      <c r="W343" s="45" t="inlineStr">
        <is>
          <t>pt</t>
        </is>
      </c>
      <c r="X343" s="45" t="inlineStr">
        <is>
          <t>Olhar Digital</t>
        </is>
      </c>
      <c r="Y343" s="45" t="inlineStr">
        <is>
          <t>https://olhardigital.com.br/2026/05/07/pro/lula-e-trump-falam-sobre-minerais-criticos-em-reuniao/</t>
        </is>
      </c>
      <c r="Z343" s="45" t="inlineStr">
        <is>
          <t>news_media</t>
        </is>
      </c>
      <c r="AA343" s="45" t="inlineStr">
        <is>
          <t>secondary_reported</t>
        </is>
      </c>
      <c r="AB343" s="45" t="inlineStr">
        <is>
          <t>'recently approved' refers to Chamber of Deputies approval</t>
        </is>
      </c>
      <c r="AC343" s="45" t="inlineStr">
        <is>
          <t>BRA</t>
        </is>
      </c>
    </row>
    <row r="344" ht="15" customHeight="1" s="24">
      <c r="A344" s="45" t="inlineStr">
        <is>
          <t>PS-0343</t>
        </is>
      </c>
      <c r="B344" s="45" t="inlineStr">
        <is>
          <t>2026-05-07</t>
        </is>
      </c>
      <c r="C344" s="45" t="inlineStr">
        <is>
          <t>2026</t>
        </is>
      </c>
      <c r="D344" s="45" t="inlineStr">
        <is>
          <t>BRA</t>
        </is>
      </c>
      <c r="E344" s="45" t="inlineStr">
        <is>
          <t>Mauro Vieira</t>
        </is>
      </c>
      <c r="F344" s="45" t="inlineStr">
        <is>
          <t>Minister of Foreign Affairs of Brazil</t>
        </is>
      </c>
      <c r="G344" s="45" t="inlineStr">
        <is>
          <t>minister_cabinet</t>
        </is>
      </c>
      <c r="H344" s="45" t="inlineStr">
        <is>
          <t>LatAm executive</t>
        </is>
      </c>
      <c r="I344" s="45" t="inlineStr">
        <is>
          <t>BRA</t>
        </is>
      </c>
      <c r="J344" s="45" t="inlineStr"/>
      <c r="K344" s="45" t="inlineStr">
        <is>
          <t>press_conference</t>
        </is>
      </c>
      <c r="L344" s="45" t="inlineStr">
        <is>
          <t>Lula-Trump meeting at the White House</t>
        </is>
      </c>
      <c r="M344" s="45" t="inlineStr">
        <is>
          <t>rare_earths;critical_minerals_general</t>
        </is>
      </c>
      <c r="N344" s="45" t="inlineStr">
        <is>
          <t>284690</t>
        </is>
      </c>
      <c r="O344" s="45" t="inlineStr">
        <is>
          <t>foreign_investment;processing_refining;diplomatic_relations</t>
        </is>
      </c>
      <c r="P344" s="45" t="inlineStr">
        <is>
          <t>USA</t>
        </is>
      </c>
      <c r="Q344" s="45" t="inlineStr">
        <is>
          <t>not_mentioned</t>
        </is>
      </c>
      <c r="R344" s="45" t="inlineStr">
        <is>
          <t>neutral</t>
        </is>
      </c>
      <c r="S344" s="45" t="inlineStr"/>
      <c r="T344" s="45" t="inlineStr">
        <is>
          <t>After the Lula-Trump meeting in Washington, Foreign Minister Vieira said Brazil has no preferred partner and invites anyone who wants to help mine, separate and process its rare earths.</t>
        </is>
      </c>
      <c r="U344" s="45" t="inlineStr">
        <is>
          <t>Quem quiser participar conosco para nos ajudar a fazer a mineração, a separação e a produzir as riquezas que essas terras raras nos oferecem está sendo convidado</t>
        </is>
      </c>
      <c r="V344" s="45" t="inlineStr">
        <is>
          <t>Whoever wants to join us to help with mining, separation and producing the wealth these rare earths offer us is invited</t>
        </is>
      </c>
      <c r="W344" s="45" t="inlineStr">
        <is>
          <t>pt</t>
        </is>
      </c>
      <c r="X344" s="45" t="inlineStr">
        <is>
          <t>Olhar Digital</t>
        </is>
      </c>
      <c r="Y344" s="45" t="inlineStr">
        <is>
          <t>https://olhardigital.com.br/2026/05/07/pro/lula-e-trump-falam-sobre-minerais-criticos-em-reuniao/</t>
        </is>
      </c>
      <c r="Z344" s="45" t="inlineStr">
        <is>
          <t>news_media</t>
        </is>
      </c>
      <c r="AA344" s="45" t="inlineStr">
        <is>
          <t>secondary_reported</t>
        </is>
      </c>
      <c r="AB344" s="45" t="inlineStr">
        <is>
          <t>quote shortened to &lt;=30 words (omits opening 'Nós não temos preferência.')</t>
        </is>
      </c>
      <c r="AC344" s="45" t="inlineStr">
        <is>
          <t>BRA</t>
        </is>
      </c>
    </row>
    <row r="345" ht="15" customHeight="1" s="24">
      <c r="A345" s="45" t="inlineStr">
        <is>
          <t>PS-0344</t>
        </is>
      </c>
      <c r="B345" s="45" t="inlineStr">
        <is>
          <t>2026-05-12</t>
        </is>
      </c>
      <c r="C345" s="45" t="inlineStr">
        <is>
          <t>2026</t>
        </is>
      </c>
      <c r="D345" s="45" t="inlineStr">
        <is>
          <t>BOL</t>
        </is>
      </c>
      <c r="E345" s="45" t="inlineStr">
        <is>
          <t>Marco Antonio Calderón de la Barca</t>
        </is>
      </c>
      <c r="F345" s="45" t="inlineStr">
        <is>
          <t>Minister of Mining and Metallurgy</t>
        </is>
      </c>
      <c r="G345" s="45" t="inlineStr">
        <is>
          <t>minister_cabinet</t>
        </is>
      </c>
      <c r="H345" s="45" t="inlineStr">
        <is>
          <t>LatAm executive</t>
        </is>
      </c>
      <c r="I345" s="45" t="inlineStr">
        <is>
          <t>BOL</t>
        </is>
      </c>
      <c r="J345" s="45" t="inlineStr">
        <is>
          <t>Paz government</t>
        </is>
      </c>
      <c r="K345" s="45" t="inlineStr">
        <is>
          <t>press_conference</t>
        </is>
      </c>
      <c r="L345" s="45" t="inlineStr">
        <is>
          <t>Announcement of new mining law and 20-year tax stability</t>
        </is>
      </c>
      <c r="M345" s="45" t="inlineStr">
        <is>
          <t>lithium;tin;silver;zinc;rare_earths;mining_general</t>
        </is>
      </c>
      <c r="N345" s="45" t="inlineStr">
        <is>
          <t>253090;260800;261610;282520;283691;284690;710691;800110</t>
        </is>
      </c>
      <c r="O345" s="45" t="inlineStr">
        <is>
          <t>royalties_taxation;foreign_investment</t>
        </is>
      </c>
      <c r="P345" s="45" t="inlineStr">
        <is>
          <t>none</t>
        </is>
      </c>
      <c r="Q345" s="45" t="inlineStr">
        <is>
          <t>not_mentioned</t>
        </is>
      </c>
      <c r="R345" s="45" t="inlineStr">
        <is>
          <t>not_mentioned</t>
        </is>
      </c>
      <c r="S345" s="45" t="inlineStr">
        <is>
          <t>Cerro Manomó</t>
        </is>
      </c>
      <c r="T345" s="45" t="inlineStr">
        <is>
          <t>Calderón announced a new mining law to replace the 2014 law, offering 20-year tax stability and eliminating the extra 12.5% levy on windfall profits from high mineral prices.</t>
        </is>
      </c>
      <c r="U345" s="45" t="inlineStr">
        <is>
          <t>Bolivia fue, es y será minera.</t>
        </is>
      </c>
      <c r="V345" s="45" t="inlineStr">
        <is>
          <t>Bolivia was, is and will be a mining country.</t>
        </is>
      </c>
      <c r="W345" s="45" t="inlineStr">
        <is>
          <t>es</t>
        </is>
      </c>
      <c r="X345" s="45" t="inlineStr">
        <is>
          <t>Correo del Sur</t>
        </is>
      </c>
      <c r="Y345" s="45" t="inlineStr">
        <is>
          <t>https://correodelsur.com/economia/20260512/bolivia-ofrecera-estabilidad-tributaria-por-hasta-20-anos.html</t>
        </is>
      </c>
      <c r="Z345" s="45" t="inlineStr">
        <is>
          <t>news_media</t>
        </is>
      </c>
      <c r="AA345" s="45" t="inlineStr">
        <is>
          <t>secondary_reported</t>
        </is>
      </c>
      <c r="AB345" s="45" t="inlineStr"/>
      <c r="AC345" s="45" t="inlineStr">
        <is>
          <t>BOL</t>
        </is>
      </c>
    </row>
    <row r="346" ht="15" customHeight="1" s="24">
      <c r="A346" s="45" t="inlineStr">
        <is>
          <t>PS-0345</t>
        </is>
      </c>
      <c r="B346" s="45" t="inlineStr">
        <is>
          <t>2026-05-14</t>
        </is>
      </c>
      <c r="C346" s="45" t="inlineStr">
        <is>
          <t>2026</t>
        </is>
      </c>
      <c r="D346" s="45" t="inlineStr">
        <is>
          <t>ARG</t>
        </is>
      </c>
      <c r="E346" s="45" t="inlineStr">
        <is>
          <t>Luis Caputo</t>
        </is>
      </c>
      <c r="F346" s="45" t="inlineStr">
        <is>
          <t>Minister of Economy of Argentina</t>
        </is>
      </c>
      <c r="G346" s="45" t="inlineStr">
        <is>
          <t>minister_cabinet</t>
        </is>
      </c>
      <c r="H346" s="45" t="inlineStr">
        <is>
          <t>LatAm executive</t>
        </is>
      </c>
      <c r="I346" s="45" t="inlineStr">
        <is>
          <t>ARG</t>
        </is>
      </c>
      <c r="J346" s="45" t="inlineStr">
        <is>
          <t>La Libertad Avanza</t>
        </is>
      </c>
      <c r="K346" s="45" t="inlineStr">
        <is>
          <t>social_media_post</t>
        </is>
      </c>
      <c r="L346" s="45" t="inlineStr">
        <is>
          <t>RIGI approvals: Jujuy lithium expansion and PSJ Cobre Mendocino</t>
        </is>
      </c>
      <c r="M346" s="45" t="inlineStr">
        <is>
          <t>lithium;copper</t>
        </is>
      </c>
      <c r="N346" s="45" t="inlineStr">
        <is>
          <t>253090;260300;282520;283691;740200;740311</t>
        </is>
      </c>
      <c r="O346" s="45" t="inlineStr">
        <is>
          <t>foreign_investment;labor_social_conflict</t>
        </is>
      </c>
      <c r="P346" s="45" t="inlineStr">
        <is>
          <t>CHN</t>
        </is>
      </c>
      <c r="Q346" s="45" t="inlineStr">
        <is>
          <t>neutral</t>
        </is>
      </c>
      <c r="R346" s="45" t="inlineStr">
        <is>
          <t>not_mentioned</t>
        </is>
      </c>
      <c r="S346" s="45" t="inlineStr">
        <is>
          <t>Ganfeng Lithium; Lithium Argentina; JEMSE; Minera Exar; PSJ Cobre Mendocino</t>
        </is>
      </c>
      <c r="T346" s="45" t="inlineStr">
        <is>
          <t>Caputo posted on X the RIGI approval of a US$1.24bn lithium expansion in Jujuy partly owned by China's Ganfeng and of the US$891m PSJ Cobre Mendocino copper project, saying they would create 8,000 jobs.</t>
        </is>
      </c>
      <c r="U346" s="45" t="inlineStr"/>
      <c r="V346" s="45" t="inlineStr"/>
      <c r="W346" s="45" t="inlineStr">
        <is>
          <t>es</t>
        </is>
      </c>
      <c r="X346" s="45" t="inlineStr">
        <is>
          <t>Buenos Aires Times</t>
        </is>
      </c>
      <c r="Y346" s="45" t="inlineStr">
        <is>
          <t>https://batimes.com.ar/news/economy/milei-approves-incentives-for-lithium-mine-expansion-with-china-ties.phtml</t>
        </is>
      </c>
      <c r="Z346" s="45" t="inlineStr">
        <is>
          <t>news_media</t>
        </is>
      </c>
      <c r="AA346" s="45" t="inlineStr">
        <is>
          <t>secondary_reported</t>
        </is>
      </c>
      <c r="AB346" s="45" t="inlineStr">
        <is>
          <t>Date = article date; post may be a day earlier. First RIGI approval with major Chinese stake; quote only in English rendering so left blank.</t>
        </is>
      </c>
      <c r="AC346" s="45" t="inlineStr">
        <is>
          <t>ARG</t>
        </is>
      </c>
    </row>
    <row r="347" ht="15" customHeight="1" s="24">
      <c r="A347" s="45" t="inlineStr">
        <is>
          <t>PS-0346</t>
        </is>
      </c>
      <c r="B347" s="45" t="inlineStr">
        <is>
          <t>2026-05-25</t>
        </is>
      </c>
      <c r="C347" s="45" t="inlineStr">
        <is>
          <t>2026</t>
        </is>
      </c>
      <c r="D347" s="45" t="inlineStr">
        <is>
          <t>CHL</t>
        </is>
      </c>
      <c r="E347" s="45" t="inlineStr">
        <is>
          <t>Daniel Mas</t>
        </is>
      </c>
      <c r="F347" s="45" t="inlineStr">
        <is>
          <t>Minister of Economy and Mining (biminister)</t>
        </is>
      </c>
      <c r="G347" s="45" t="inlineStr">
        <is>
          <t>minister_cabinet</t>
        </is>
      </c>
      <c r="H347" s="45" t="inlineStr">
        <is>
          <t>LatAm executive</t>
        </is>
      </c>
      <c r="I347" s="45" t="inlineStr">
        <is>
          <t>CHL</t>
        </is>
      </c>
      <c r="J347" s="45" t="inlineStr">
        <is>
          <t>Independent (Kast government)</t>
        </is>
      </c>
      <c r="K347" s="45" t="inlineStr">
        <is>
          <t>press_conference</t>
        </is>
      </c>
      <c r="L347" s="45" t="inlineStr">
        <is>
          <t>Codelco production-reporting irregularities and board renewal</t>
        </is>
      </c>
      <c r="M347" s="45" t="inlineStr">
        <is>
          <t>copper</t>
        </is>
      </c>
      <c r="N347" s="45" t="inlineStr">
        <is>
          <t>260300;740200;740311</t>
        </is>
      </c>
      <c r="O347" s="45" t="inlineStr">
        <is>
          <t>corruption_governance;state_control_nationalization</t>
        </is>
      </c>
      <c r="P347" s="45" t="inlineStr">
        <is>
          <t>none</t>
        </is>
      </c>
      <c r="Q347" s="45" t="inlineStr">
        <is>
          <t>not_mentioned</t>
        </is>
      </c>
      <c r="R347" s="45" t="inlineStr">
        <is>
          <t>not_mentioned</t>
        </is>
      </c>
      <c r="S347" s="45" t="inlineStr">
        <is>
          <t>Codelco</t>
        </is>
      </c>
      <c r="T347" s="45" t="inlineStr">
        <is>
          <t>Mas called Codelco's production-accounting irregularities unacceptable and said President Kast's mandate to the new directors was to regain control of the company.</t>
        </is>
      </c>
      <c r="U347" s="45" t="inlineStr">
        <is>
          <t>retomar el control</t>
        </is>
      </c>
      <c r="V347" s="45" t="inlineStr">
        <is>
          <t>regain control</t>
        </is>
      </c>
      <c r="W347" s="45" t="inlineStr">
        <is>
          <t>es</t>
        </is>
      </c>
      <c r="X347" s="45" t="inlineStr">
        <is>
          <t>Forbes Chile</t>
        </is>
      </c>
      <c r="Y347" s="45" t="inlineStr">
        <is>
          <t>https://forbes.cl/actualidad/2026-05-25/maximo-pacheco-se-va-de-codelco-con-una-sorpresiva-renuncia-al-directorio-de-nova-andino-litio/</t>
        </is>
      </c>
      <c r="Z347" s="45" t="inlineStr">
        <is>
          <t>news_media</t>
        </is>
      </c>
      <c r="AA347" s="45" t="inlineStr">
        <is>
          <t>secondary_reported</t>
        </is>
      </c>
      <c r="AB347" s="45" t="inlineStr">
        <is>
          <t>Only short fragment quoted in source</t>
        </is>
      </c>
      <c r="AC347" s="45" t="inlineStr">
        <is>
          <t>CHL</t>
        </is>
      </c>
    </row>
    <row r="348" ht="15" customHeight="1" s="24">
      <c r="A348" s="45" t="inlineStr">
        <is>
          <t>PS-0347</t>
        </is>
      </c>
      <c r="B348" s="45" t="inlineStr">
        <is>
          <t>2026-05-25</t>
        </is>
      </c>
      <c r="C348" s="45" t="inlineStr">
        <is>
          <t>2026</t>
        </is>
      </c>
      <c r="D348" s="45" t="inlineStr">
        <is>
          <t>CHL</t>
        </is>
      </c>
      <c r="E348" s="45" t="inlineStr">
        <is>
          <t>Máximo Pacheco</t>
        </is>
      </c>
      <c r="F348" s="45" t="inlineStr">
        <is>
          <t>Chairman of NovaAndino Litio (former Codelco chairman)</t>
        </is>
      </c>
      <c r="G348" s="45" t="inlineStr">
        <is>
          <t>state_company</t>
        </is>
      </c>
      <c r="H348" s="45" t="inlineStr">
        <is>
          <t>LatAm state company</t>
        </is>
      </c>
      <c r="I348" s="45" t="inlineStr">
        <is>
          <t>CHL</t>
        </is>
      </c>
      <c r="J348" s="45" t="inlineStr"/>
      <c r="K348" s="45" t="inlineStr">
        <is>
          <t>official_statement</t>
        </is>
      </c>
      <c r="L348" s="45" t="inlineStr">
        <is>
          <t>Resignation letter from NovaAndino Litio board</t>
        </is>
      </c>
      <c r="M348" s="45" t="inlineStr">
        <is>
          <t>lithium</t>
        </is>
      </c>
      <c r="N348" s="45" t="inlineStr">
        <is>
          <t>253090;282520;283691</t>
        </is>
      </c>
      <c r="O348" s="45" t="inlineStr">
        <is>
          <t>corruption_governance;state_control_nationalization</t>
        </is>
      </c>
      <c r="P348" s="45" t="inlineStr">
        <is>
          <t>none</t>
        </is>
      </c>
      <c r="Q348" s="45" t="inlineStr">
        <is>
          <t>not_mentioned</t>
        </is>
      </c>
      <c r="R348" s="45" t="inlineStr">
        <is>
          <t>not_mentioned</t>
        </is>
      </c>
      <c r="S348" s="45" t="inlineStr">
        <is>
          <t>NovaAndino Litio; Codelco; SQM</t>
        </is>
      </c>
      <c r="T348" s="45" t="inlineStr">
        <is>
          <t>Pacheco resigned as chair of the Codelco-SQM lithium JV after pressure from the Kast government and Republican deputies, accusing some sectors of placing narrow partisanship above national interest.</t>
        </is>
      </c>
      <c r="U348" s="45" t="inlineStr">
        <is>
          <t>Para algunos la reducida bandería política vale más que el interés nacional</t>
        </is>
      </c>
      <c r="V348" s="45" t="inlineStr">
        <is>
          <t>For some, narrow political partisanship is worth more than the national interest</t>
        </is>
      </c>
      <c r="W348" s="45" t="inlineStr">
        <is>
          <t>es</t>
        </is>
      </c>
      <c r="X348" s="45" t="inlineStr">
        <is>
          <t>Forbes Chile</t>
        </is>
      </c>
      <c r="Y348" s="45" t="inlineStr">
        <is>
          <t>https://forbes.cl/actualidad/2026-05-25/maximo-pacheco-se-va-de-codelco-con-una-sorpresiva-renuncia-al-directorio-de-nova-andino-litio/</t>
        </is>
      </c>
      <c r="Z348" s="45" t="inlineStr">
        <is>
          <t>news_media</t>
        </is>
      </c>
      <c r="AA348" s="45" t="inlineStr">
        <is>
          <t>secondary_reported</t>
        </is>
      </c>
      <c r="AB348" s="45" t="inlineStr"/>
      <c r="AC348" s="45" t="inlineStr">
        <is>
          <t>CHL</t>
        </is>
      </c>
    </row>
    <row r="349" ht="15" customHeight="1" s="24">
      <c r="A349" s="45" t="inlineStr">
        <is>
          <t>PS-0348</t>
        </is>
      </c>
      <c r="B349" s="45" t="inlineStr">
        <is>
          <t>2026-05-25</t>
        </is>
      </c>
      <c r="C349" s="45" t="inlineStr">
        <is>
          <t>2026</t>
        </is>
      </c>
      <c r="D349" s="45" t="inlineStr">
        <is>
          <t>CHL</t>
        </is>
      </c>
      <c r="E349" s="45" t="inlineStr">
        <is>
          <t>Stephanie Jeldres; Ignacio Urcullú; Carlo Arqueros</t>
        </is>
      </c>
      <c r="F349" s="45" t="inlineStr">
        <is>
          <t>Deputies, members of Chamber Mining Commission</t>
        </is>
      </c>
      <c r="G349" s="45" t="inlineStr">
        <is>
          <t>legislator</t>
        </is>
      </c>
      <c r="H349" s="45" t="inlineStr">
        <is>
          <t>LatAm legislature</t>
        </is>
      </c>
      <c r="I349" s="45" t="inlineStr">
        <is>
          <t>CHL</t>
        </is>
      </c>
      <c r="J349" s="45" t="inlineStr">
        <is>
          <t>Partido Republicano</t>
        </is>
      </c>
      <c r="K349" s="45" t="inlineStr">
        <is>
          <t>official_statement</t>
        </is>
      </c>
      <c r="L349" s="45" t="inlineStr">
        <is>
          <t>Call for Máximo Pacheco to resign from NovaAndino Litio board</t>
        </is>
      </c>
      <c r="M349" s="45" t="inlineStr">
        <is>
          <t>lithium</t>
        </is>
      </c>
      <c r="N349" s="45" t="inlineStr">
        <is>
          <t>253090;282520;283691</t>
        </is>
      </c>
      <c r="O349" s="45" t="inlineStr">
        <is>
          <t>corruption_governance</t>
        </is>
      </c>
      <c r="P349" s="45" t="inlineStr">
        <is>
          <t>none</t>
        </is>
      </c>
      <c r="Q349" s="45" t="inlineStr">
        <is>
          <t>not_mentioned</t>
        </is>
      </c>
      <c r="R349" s="45" t="inlineStr">
        <is>
          <t>not_mentioned</t>
        </is>
      </c>
      <c r="S349" s="45" t="inlineStr">
        <is>
          <t>NovaAndino Litio; Codelco; SQM</t>
        </is>
      </c>
      <c r="T349" s="45" t="inlineStr">
        <is>
          <t>Three Republican deputies demanded Pacheco leave the NovaAndino Litio board, arguing the JV must be shielded from reputational costs tied to the previous administration.</t>
        </is>
      </c>
      <c r="U349" s="45" t="inlineStr">
        <is>
          <t>NovaAndino debe estar protegida de cualquier duda, costo reputacional o conflicto asociado a la administración anterior</t>
        </is>
      </c>
      <c r="V349" s="45" t="inlineStr">
        <is>
          <t>NovaAndino must be protected from any doubt, reputational cost or conflict associated with the previous administration</t>
        </is>
      </c>
      <c r="W349" s="45" t="inlineStr">
        <is>
          <t>es</t>
        </is>
      </c>
      <c r="X349" s="45" t="inlineStr">
        <is>
          <t>The Clinic</t>
        </is>
      </c>
      <c r="Y349" s="45" t="inlineStr">
        <is>
          <t>https://www.theclinic.cl/2026/05/25/republicanos-presionan-a-maximo-pacheco-y-piden-su-renuncia-en-el-directorio-de-novaandino-litio-debe-estar-protegida-de-cualquier-costo-reputacional/</t>
        </is>
      </c>
      <c r="Z349" s="45" t="inlineStr">
        <is>
          <t>news_media</t>
        </is>
      </c>
      <c r="AA349" s="45" t="inlineStr">
        <is>
          <t>secondary_reported</t>
        </is>
      </c>
      <c r="AB349" s="45" t="inlineStr">
        <is>
          <t>Joint statement by three deputies</t>
        </is>
      </c>
      <c r="AC349" s="45" t="inlineStr">
        <is>
          <t>CHL</t>
        </is>
      </c>
    </row>
    <row r="350" ht="15" customHeight="1" s="24">
      <c r="A350" s="45" t="inlineStr">
        <is>
          <t>PS-0349</t>
        </is>
      </c>
      <c r="B350" s="45" t="inlineStr">
        <is>
          <t>2026-05-29</t>
        </is>
      </c>
      <c r="C350" s="45" t="inlineStr">
        <is>
          <t>2026</t>
        </is>
      </c>
      <c r="D350" s="45" t="inlineStr">
        <is>
          <t>CHL</t>
        </is>
      </c>
      <c r="E350" s="45" t="inlineStr">
        <is>
          <t>Bernardo Fontaine</t>
        </is>
      </c>
      <c r="F350" s="45" t="inlineStr">
        <is>
          <t>Chairman of Codelco</t>
        </is>
      </c>
      <c r="G350" s="45" t="inlineStr">
        <is>
          <t>state_company</t>
        </is>
      </c>
      <c r="H350" s="45" t="inlineStr">
        <is>
          <t>LatAm state company</t>
        </is>
      </c>
      <c r="I350" s="45" t="inlineStr">
        <is>
          <t>CHL</t>
        </is>
      </c>
      <c r="J350" s="45" t="inlineStr"/>
      <c r="K350" s="45" t="inlineStr">
        <is>
          <t>official_statement</t>
        </is>
      </c>
      <c r="L350" s="45" t="inlineStr">
        <is>
          <t>First board decisions: profitability over volume, forensic audit</t>
        </is>
      </c>
      <c r="M350" s="45" t="inlineStr">
        <is>
          <t>copper</t>
        </is>
      </c>
      <c r="N350" s="45" t="inlineStr">
        <is>
          <t>260300;740200;740311</t>
        </is>
      </c>
      <c r="O350" s="45" t="inlineStr">
        <is>
          <t>corruption_governance;state_control_nationalization</t>
        </is>
      </c>
      <c r="P350" s="45" t="inlineStr">
        <is>
          <t>none</t>
        </is>
      </c>
      <c r="Q350" s="45" t="inlineStr">
        <is>
          <t>not_mentioned</t>
        </is>
      </c>
      <c r="R350" s="45" t="inlineStr">
        <is>
          <t>not_mentioned</t>
        </is>
      </c>
      <c r="S350" s="45" t="inlineStr">
        <is>
          <t>Codelco</t>
        </is>
      </c>
      <c r="T350" s="45" t="inlineStr">
        <is>
          <t>Codelco's new chairman said the company's mandate is safe, efficient and profitable production rather than volume, announcing an external forensic audit of 2024-2025 production figures.</t>
        </is>
      </c>
      <c r="U350" s="45" t="inlineStr">
        <is>
          <t>Nuestro mandato no es producir por producir, sino hacerlo de manera segura, eficiente y rentable</t>
        </is>
      </c>
      <c r="V350" s="45" t="inlineStr">
        <is>
          <t>Our mandate is not to produce for the sake of producing, but to do so safely, efficiently and profitably</t>
        </is>
      </c>
      <c r="W350" s="45" t="inlineStr">
        <is>
          <t>es</t>
        </is>
      </c>
      <c r="X350" s="45" t="inlineStr">
        <is>
          <t>Gestión</t>
        </is>
      </c>
      <c r="Y350" s="45" t="inlineStr">
        <is>
          <t>https://gestion.pe/mundo/internacional/nuevo-presidente-de-codelco-prioriza-rentabilidad-sobre-volumen-de-produccion-noticia/</t>
        </is>
      </c>
      <c r="Z350" s="45" t="inlineStr">
        <is>
          <t>news_media</t>
        </is>
      </c>
      <c r="AA350" s="45" t="inlineStr">
        <is>
          <t>secondary_reported</t>
        </is>
      </c>
      <c r="AB350" s="45" t="inlineStr"/>
      <c r="AC350" s="45" t="inlineStr">
        <is>
          <t>CHL</t>
        </is>
      </c>
    </row>
    <row r="351" ht="15" customHeight="1" s="24">
      <c r="A351" s="45" t="inlineStr">
        <is>
          <t>PS-0350</t>
        </is>
      </c>
      <c r="B351" s="45" t="inlineStr">
        <is>
          <t>2026-05-30</t>
        </is>
      </c>
      <c r="C351" s="45" t="inlineStr">
        <is>
          <t>2026</t>
        </is>
      </c>
      <c r="D351" s="45" t="inlineStr">
        <is>
          <t>ARG</t>
        </is>
      </c>
      <c r="E351" s="45" t="inlineStr">
        <is>
          <t>Raúl Jalil</t>
        </is>
      </c>
      <c r="F351" s="45" t="inlineStr">
        <is>
          <t>Governor of Catamarca</t>
        </is>
      </c>
      <c r="G351" s="45" t="inlineStr">
        <is>
          <t>subnational_gov</t>
        </is>
      </c>
      <c r="H351" s="45" t="inlineStr">
        <is>
          <t>LatAm executive</t>
        </is>
      </c>
      <c r="I351" s="45" t="inlineStr">
        <is>
          <t>ARG</t>
        </is>
      </c>
      <c r="J351" s="45" t="inlineStr">
        <is>
          <t>PJ (Elijo Catamarca)</t>
        </is>
      </c>
      <c r="K351" s="45" t="inlineStr">
        <is>
          <t>interview</t>
        </is>
      </c>
      <c r="L351" s="45" t="inlineStr">
        <is>
          <t>Interview defending RIGI impact in Catamarca</t>
        </is>
      </c>
      <c r="M351" s="45" t="inlineStr">
        <is>
          <t>lithium;copper</t>
        </is>
      </c>
      <c r="N351" s="45" t="inlineStr">
        <is>
          <t>253090;260300;282520;283691;740200;740311</t>
        </is>
      </c>
      <c r="O351" s="45" t="inlineStr">
        <is>
          <t>foreign_investment;labor_social_conflict</t>
        </is>
      </c>
      <c r="P351" s="45" t="inlineStr">
        <is>
          <t>none</t>
        </is>
      </c>
      <c r="Q351" s="45" t="inlineStr">
        <is>
          <t>not_mentioned</t>
        </is>
      </c>
      <c r="R351" s="45" t="inlineStr">
        <is>
          <t>not_mentioned</t>
        </is>
      </c>
      <c r="S351" s="45" t="inlineStr">
        <is>
          <t>RIGI; Bajo La Alumbrera</t>
        </is>
      </c>
      <c r="T351" s="45" t="inlineStr">
        <is>
          <t>Jalil said the RIGI accelerated investments his government supports, that Catamarca doubled mining exports in the first quarter and will be the first province to export copper next year after authorizing Bajo La Alumbrera's restart.</t>
        </is>
      </c>
      <c r="U351" s="45" t="inlineStr">
        <is>
          <t>aceleró inversiones que nosotros acompañamos porque creemos que benefician a Catamarca</t>
        </is>
      </c>
      <c r="V351" s="45" t="inlineStr">
        <is>
          <t>accelerated investments that we support because we believe they benefit Catamarca</t>
        </is>
      </c>
      <c r="W351" s="45" t="inlineStr">
        <is>
          <t>es</t>
        </is>
      </c>
      <c r="X351" s="45" t="inlineStr">
        <is>
          <t>El Ancasti</t>
        </is>
      </c>
      <c r="Y351" s="45" t="inlineStr">
        <is>
          <t>https://www.elancasti.com.ar/politica-y-economia/jalil-cuestiono-la-conurbanizacion-del-pj-y-defendio-el-impacto-del-rigi-la-provincia-n613717</t>
        </is>
      </c>
      <c r="Z351" s="45" t="inlineStr">
        <is>
          <t>news_media</t>
        </is>
      </c>
      <c r="AA351" s="45" t="inlineStr">
        <is>
          <t>secondary_reported</t>
        </is>
      </c>
      <c r="AB351" s="45" t="inlineStr">
        <is>
          <t>Peronist governor aligned with Milei on RIGI; date per article.</t>
        </is>
      </c>
      <c r="AC351" s="45" t="inlineStr">
        <is>
          <t>ARG</t>
        </is>
      </c>
    </row>
    <row r="352" ht="15" customHeight="1" s="24">
      <c r="A352" s="45" t="inlineStr">
        <is>
          <t>PS-0351</t>
        </is>
      </c>
      <c r="B352" s="45" t="inlineStr">
        <is>
          <t>2026-06-01</t>
        </is>
      </c>
      <c r="C352" s="45" t="inlineStr">
        <is>
          <t>2026</t>
        </is>
      </c>
      <c r="D352" s="45" t="inlineStr">
        <is>
          <t>ECU</t>
        </is>
      </c>
      <c r="E352" s="45" t="inlineStr">
        <is>
          <t>Juan Carlos Blum</t>
        </is>
      </c>
      <c r="F352" s="45" t="inlineStr">
        <is>
          <t>Minister of Environment and Energy of Ecuador</t>
        </is>
      </c>
      <c r="G352" s="45" t="inlineStr">
        <is>
          <t>minister_cabinet</t>
        </is>
      </c>
      <c r="H352" s="45" t="inlineStr">
        <is>
          <t>LatAm executive</t>
        </is>
      </c>
      <c r="I352" s="45" t="inlineStr">
        <is>
          <t>ECU</t>
        </is>
      </c>
      <c r="J352" s="45" t="inlineStr">
        <is>
          <t>Noboa government</t>
        </is>
      </c>
      <c r="K352" s="45" t="inlineStr">
        <is>
          <t>interview</t>
        </is>
      </c>
      <c r="L352" s="45" t="inlineStr">
        <is>
          <t>Cascabel contract after Jiangxi Copper's acquisition of SolGold</t>
        </is>
      </c>
      <c r="M352" s="45" t="inlineStr">
        <is>
          <t>copper</t>
        </is>
      </c>
      <c r="N352" s="45" t="inlineStr">
        <is>
          <t>260300;740200;740311</t>
        </is>
      </c>
      <c r="O352" s="45" t="inlineStr">
        <is>
          <t>foreign_investment;royalties_taxation;corruption_governance</t>
        </is>
      </c>
      <c r="P352" s="45" t="inlineStr">
        <is>
          <t>CHN</t>
        </is>
      </c>
      <c r="Q352" s="45" t="inlineStr">
        <is>
          <t>mixed</t>
        </is>
      </c>
      <c r="R352" s="45" t="inlineStr">
        <is>
          <t>not_mentioned</t>
        </is>
      </c>
      <c r="S352" s="45" t="inlineStr">
        <is>
          <t>Cascabel; SolGold; Jiangxi Copper</t>
        </is>
      </c>
      <c r="T352" s="45" t="inlineStr">
        <is>
          <t>Blum said the 2024 Cascabel exploitation contract was unbalanced and contravened legal norms, that it must be renegotiated, and that another concessionaire would be sought if the company refused.</t>
        </is>
      </c>
      <c r="U352" s="45" t="inlineStr">
        <is>
          <t>Fue un abuso total. Un contrato que no está equilibrado termina quebrándose en alguna parte.</t>
        </is>
      </c>
      <c r="V352" s="45" t="inlineStr">
        <is>
          <t>It was a total abuse. A contract that is not balanced ends up breaking somewhere.</t>
        </is>
      </c>
      <c r="W352" s="45" t="inlineStr">
        <is>
          <t>es</t>
        </is>
      </c>
      <c r="X352" s="45" t="inlineStr">
        <is>
          <t>Primicias</t>
        </is>
      </c>
      <c r="Y352" s="45" t="inlineStr">
        <is>
          <t>https://www.primicias.ec/economia/mineria-proyecto-cascabel-renegociacion-contrato-china-ministro-blum-124282/</t>
        </is>
      </c>
      <c r="Z352" s="45" t="inlineStr">
        <is>
          <t>news_media</t>
        </is>
      </c>
      <c r="AA352" s="45" t="inlineStr">
        <is>
          <t>secondary_reported</t>
        </is>
      </c>
      <c r="AB352" s="45" t="inlineStr">
        <is>
          <t>Stance toward China coded mixed: criticism targets contract now held by Chinese-owned firm.</t>
        </is>
      </c>
      <c r="AC352" s="45" t="inlineStr">
        <is>
          <t>COL_ECU_PAN</t>
        </is>
      </c>
    </row>
    <row r="353" ht="15" customHeight="1" s="24">
      <c r="A353" s="45" t="inlineStr">
        <is>
          <t>PS-0352</t>
        </is>
      </c>
      <c r="B353" s="45" t="inlineStr">
        <is>
          <t>2026-06-02</t>
        </is>
      </c>
      <c r="C353" s="45" t="inlineStr">
        <is>
          <t>2026</t>
        </is>
      </c>
      <c r="D353" s="45" t="inlineStr">
        <is>
          <t>BRA</t>
        </is>
      </c>
      <c r="E353" s="45" t="inlineStr">
        <is>
          <t>Esperidião Amin</t>
        </is>
      </c>
      <c r="F353" s="45" t="inlineStr">
        <is>
          <t>Senator (PP-SC)</t>
        </is>
      </c>
      <c r="G353" s="45" t="inlineStr">
        <is>
          <t>legislator</t>
        </is>
      </c>
      <c r="H353" s="45" t="inlineStr">
        <is>
          <t>LatAm legislature</t>
        </is>
      </c>
      <c r="I353" s="45" t="inlineStr">
        <is>
          <t>BRA</t>
        </is>
      </c>
      <c r="J353" s="45" t="inlineStr">
        <is>
          <t>PP</t>
        </is>
      </c>
      <c r="K353" s="45" t="inlineStr">
        <is>
          <t>legislative_debate</t>
        </is>
      </c>
      <c r="L353" s="45" t="inlineStr">
        <is>
          <t>Senate CRE hearing on rare earths bills</t>
        </is>
      </c>
      <c r="M353" s="45" t="inlineStr">
        <is>
          <t>rare_earths;critical_minerals_general</t>
        </is>
      </c>
      <c r="N353" s="45" t="inlineStr">
        <is>
          <t>284690</t>
        </is>
      </c>
      <c r="O353" s="45" t="inlineStr">
        <is>
          <t>corruption_governance;value_added_industrialization</t>
        </is>
      </c>
      <c r="P353" s="45" t="inlineStr">
        <is>
          <t>none</t>
        </is>
      </c>
      <c r="Q353" s="45" t="inlineStr">
        <is>
          <t>not_mentioned</t>
        </is>
      </c>
      <c r="R353" s="45" t="inlineStr">
        <is>
          <t>not_mentioned</t>
        </is>
      </c>
      <c r="S353" s="45" t="inlineStr">
        <is>
          <t>PL 2780/2024; PL 4443/2025</t>
        </is>
      </c>
      <c r="T353" s="45" t="inlineStr">
        <is>
          <t>Amin noted the Chamber bill was much broader than the Senate proposal and that its main novelty was a council linked to the Presidency for critical minerals.</t>
        </is>
      </c>
      <c r="U353" s="45" t="inlineStr"/>
      <c r="V353" s="45" t="inlineStr"/>
      <c r="W353" s="45" t="inlineStr">
        <is>
          <t>pt</t>
        </is>
      </c>
      <c r="X353" s="45" t="inlineStr">
        <is>
          <t>Rádio Senado</t>
        </is>
      </c>
      <c r="Y353" s="45" t="inlineStr">
        <is>
          <t>https://www12.senado.leg.br/radio/1/noticia/2026/06/02/especialistas-apoiam-projetos-de-regulamentacao-das-terras-raras</t>
        </is>
      </c>
      <c r="Z353" s="45" t="inlineStr">
        <is>
          <t>legislative_record</t>
        </is>
      </c>
      <c r="AA353" s="45" t="inlineStr">
        <is>
          <t>primary_verified</t>
        </is>
      </c>
      <c r="AB353" s="45" t="inlineStr">
        <is>
          <t>Quote seen only in translation</t>
        </is>
      </c>
      <c r="AC353" s="45" t="inlineStr">
        <is>
          <t>BRA</t>
        </is>
      </c>
    </row>
    <row r="354" ht="15" customHeight="1" s="24">
      <c r="A354" s="45" t="inlineStr">
        <is>
          <t>PS-0353</t>
        </is>
      </c>
      <c r="B354" s="45" t="inlineStr">
        <is>
          <t>2026-06-02</t>
        </is>
      </c>
      <c r="C354" s="45" t="inlineStr">
        <is>
          <t>2026</t>
        </is>
      </c>
      <c r="D354" s="45" t="inlineStr">
        <is>
          <t>BRA</t>
        </is>
      </c>
      <c r="E354" s="45" t="inlineStr">
        <is>
          <t>Tereza Cristina</t>
        </is>
      </c>
      <c r="F354" s="45" t="inlineStr">
        <is>
          <t>Senator (PP-MS)</t>
        </is>
      </c>
      <c r="G354" s="45" t="inlineStr">
        <is>
          <t>legislator</t>
        </is>
      </c>
      <c r="H354" s="45" t="inlineStr">
        <is>
          <t>LatAm legislature</t>
        </is>
      </c>
      <c r="I354" s="45" t="inlineStr">
        <is>
          <t>BRA</t>
        </is>
      </c>
      <c r="J354" s="45" t="inlineStr">
        <is>
          <t>PP</t>
        </is>
      </c>
      <c r="K354" s="45" t="inlineStr">
        <is>
          <t>legislative_debate</t>
        </is>
      </c>
      <c r="L354" s="45" t="inlineStr">
        <is>
          <t>Senate Foreign Relations and Defence Committee (CRE) hearing on rare earths bills</t>
        </is>
      </c>
      <c r="M354" s="45" t="inlineStr">
        <is>
          <t>rare_earths;critical_minerals_general</t>
        </is>
      </c>
      <c r="N354" s="45" t="inlineStr">
        <is>
          <t>284690</t>
        </is>
      </c>
      <c r="O354" s="45" t="inlineStr">
        <is>
          <t>geopolitics_security</t>
        </is>
      </c>
      <c r="P354" s="45" t="inlineStr">
        <is>
          <t>none</t>
        </is>
      </c>
      <c r="Q354" s="45" t="inlineStr">
        <is>
          <t>not_mentioned</t>
        </is>
      </c>
      <c r="R354" s="45" t="inlineStr">
        <is>
          <t>not_mentioned</t>
        </is>
      </c>
      <c r="S354" s="45" t="inlineStr">
        <is>
          <t>PL 2780/2024</t>
        </is>
      </c>
      <c r="T354" s="45" t="inlineStr">
        <is>
          <t>At a CRE hearing on the critical minerals bills, Senator Tereza Cristina urged speed, saying developments in the rare earths segment were happening very rapidly.</t>
        </is>
      </c>
      <c r="U354" s="45" t="inlineStr"/>
      <c r="V354" s="45" t="inlineStr"/>
      <c r="W354" s="45" t="inlineStr">
        <is>
          <t>pt</t>
        </is>
      </c>
      <c r="X354" s="45" t="inlineStr">
        <is>
          <t>Rádio Senado</t>
        </is>
      </c>
      <c r="Y354" s="45" t="inlineStr">
        <is>
          <t>https://www12.senado.leg.br/radio/1/noticia/2026/06/02/especialistas-apoiam-projetos-de-regulamentacao-das-terras-raras</t>
        </is>
      </c>
      <c r="Z354" s="45" t="inlineStr">
        <is>
          <t>legislative_record</t>
        </is>
      </c>
      <c r="AA354" s="45" t="inlineStr">
        <is>
          <t>primary_verified</t>
        </is>
      </c>
      <c r="AB354" s="45" t="inlineStr">
        <is>
          <t>Quote seen only in translation</t>
        </is>
      </c>
      <c r="AC354" s="45" t="inlineStr">
        <is>
          <t>BRA</t>
        </is>
      </c>
    </row>
    <row r="355" ht="15" customHeight="1" s="24">
      <c r="A355" s="45" t="inlineStr">
        <is>
          <t>PS-0354</t>
        </is>
      </c>
      <c r="B355" s="45" t="inlineStr">
        <is>
          <t>2026-06-03</t>
        </is>
      </c>
      <c r="C355" s="45" t="inlineStr">
        <is>
          <t>2026</t>
        </is>
      </c>
      <c r="D355" s="45" t="inlineStr">
        <is>
          <t>REG</t>
        </is>
      </c>
      <c r="E355" s="45" t="inlineStr">
        <is>
          <t>Marco Rubio</t>
        </is>
      </c>
      <c r="F355" s="45" t="inlineStr">
        <is>
          <t>U.S. Secretary of State</t>
        </is>
      </c>
      <c r="G355" s="45" t="inlineStr">
        <is>
          <t>us_central_gov</t>
        </is>
      </c>
      <c r="H355" s="45" t="inlineStr">
        <is>
          <t>United States</t>
        </is>
      </c>
      <c r="I355" s="45" t="inlineStr">
        <is>
          <t>USA</t>
        </is>
      </c>
      <c r="J355" s="45" t="inlineStr">
        <is>
          <t>Republican</t>
        </is>
      </c>
      <c r="K355" s="45" t="inlineStr">
        <is>
          <t>legislative_debate</t>
        </is>
      </c>
      <c r="L355" s="45" t="inlineStr">
        <is>
          <t>Testimony to House Appropriations Subcommittee on National Security, Department of State and Related Programs</t>
        </is>
      </c>
      <c r="M355" s="45" t="inlineStr">
        <is>
          <t>critical_minerals_general;mining_general</t>
        </is>
      </c>
      <c r="N355" s="45" t="inlineStr"/>
      <c r="O355" s="45" t="inlineStr">
        <is>
          <t>geopolitics_security;infrastructure_ports;trade_deals_offtake</t>
        </is>
      </c>
      <c r="P355" s="45" t="inlineStr">
        <is>
          <t>CHN;other</t>
        </is>
      </c>
      <c r="Q355" s="45" t="inlineStr">
        <is>
          <t>negative</t>
        </is>
      </c>
      <c r="R355" s="45" t="inlineStr">
        <is>
          <t>positive</t>
        </is>
      </c>
      <c r="S355" s="45" t="inlineStr"/>
      <c r="T355" s="45" t="inlineStr">
        <is>
          <t>Discussing China in the Americas, Rubio said Beijing seeks access to critical minerals and mining through long-term contracts and infrastructure investments, and that countries turn to Chinese firms because they are the only ones showing up, requiring US alternatives.</t>
        </is>
      </c>
      <c r="U355" s="45" t="inlineStr">
        <is>
          <t>They try to establish for themselves access to critical minerals, mining of any sort and gain these long-term contracts</t>
        </is>
      </c>
      <c r="V355" s="45" t="inlineStr">
        <is>
          <t>They try to establish for themselves access to critical minerals, mining of any sort and gain these long-term contracts</t>
        </is>
      </c>
      <c r="W355" s="45" t="inlineStr">
        <is>
          <t>en</t>
        </is>
      </c>
      <c r="X355" s="45" t="inlineStr">
        <is>
          <t>IANS</t>
        </is>
      </c>
      <c r="Y355" s="45" t="inlineStr">
        <is>
          <t>https://ianslive.in/us-steps-up-pushback-against-china-in-americas--20260603070603</t>
        </is>
      </c>
      <c r="Z355" s="45" t="inlineStr">
        <is>
          <t>news_media</t>
        </is>
      </c>
      <c r="AA355" s="45" t="inlineStr">
        <is>
          <t>secondary_reported</t>
        </is>
      </c>
      <c r="AB355" s="45" t="inlineStr">
        <is>
          <t>'other' = Paraguay cited as example</t>
        </is>
      </c>
      <c r="AC355" s="45" t="inlineStr">
        <is>
          <t>USA_gov</t>
        </is>
      </c>
    </row>
    <row r="356" ht="15" customHeight="1" s="24">
      <c r="A356" s="45" t="inlineStr">
        <is>
          <t>PS-0355</t>
        </is>
      </c>
      <c r="B356" s="45" t="inlineStr">
        <is>
          <t>2026-06-08</t>
        </is>
      </c>
      <c r="C356" s="45" t="inlineStr">
        <is>
          <t>2026</t>
        </is>
      </c>
      <c r="D356" s="45" t="inlineStr">
        <is>
          <t>BOL</t>
        </is>
      </c>
      <c r="E356" s="45" t="inlineStr">
        <is>
          <t>Evo Morales</t>
        </is>
      </c>
      <c r="F356" s="45" t="inlineStr">
        <is>
          <t>Former President of Bolivia</t>
        </is>
      </c>
      <c r="G356" s="45" t="inlineStr">
        <is>
          <t>other</t>
        </is>
      </c>
      <c r="H356" s="45" t="inlineStr">
        <is>
          <t>Other (business, civil society, third countries)</t>
        </is>
      </c>
      <c r="I356" s="45" t="inlineStr">
        <is>
          <t>BOL</t>
        </is>
      </c>
      <c r="J356" s="45" t="inlineStr">
        <is>
          <t>Evo Pueblo / evista movement</t>
        </is>
      </c>
      <c r="K356" s="45" t="inlineStr">
        <is>
          <t>social_media_post</t>
        </is>
      </c>
      <c r="L356" s="45" t="inlineStr">
        <is>
          <t>Protests and blockades; US security cooperation with Paz government</t>
        </is>
      </c>
      <c r="M356" s="45" t="inlineStr">
        <is>
          <t>lithium;critical_minerals_general</t>
        </is>
      </c>
      <c r="N356" s="45" t="inlineStr">
        <is>
          <t>253090;282520;283691</t>
        </is>
      </c>
      <c r="O356" s="45" t="inlineStr">
        <is>
          <t>sovereignty;geopolitics_security</t>
        </is>
      </c>
      <c r="P356" s="45" t="inlineStr">
        <is>
          <t>USA</t>
        </is>
      </c>
      <c r="Q356" s="45" t="inlineStr">
        <is>
          <t>not_mentioned</t>
        </is>
      </c>
      <c r="R356" s="45" t="inlineStr">
        <is>
          <t>negative</t>
        </is>
      </c>
      <c r="S356" s="45" t="inlineStr"/>
      <c r="T356" s="45" t="inlineStr">
        <is>
          <t>Morales said external interests in Bolivia are not focused on the country's development but on controlling its mineral wealth, amid US engagement with the Paz government.</t>
        </is>
      </c>
      <c r="U356" s="45" t="inlineStr"/>
      <c r="V356" s="45" t="inlineStr"/>
      <c r="W356" s="45" t="inlineStr">
        <is>
          <t>es</t>
        </is>
      </c>
      <c r="X356" s="45" t="inlineStr">
        <is>
          <t>Reporte Minero</t>
        </is>
      </c>
      <c r="Y356" s="45" t="inlineStr">
        <is>
          <t>https://www.reporteminero.cl/noticia/noticias/2026/06/crisis-bolivia-litio-reservas-minerales-criticos</t>
        </is>
      </c>
      <c r="Z356" s="45" t="inlineStr">
        <is>
          <t>news_media</t>
        </is>
      </c>
      <c r="AA356" s="45" t="inlineStr">
        <is>
          <t>secondary_reported</t>
        </is>
      </c>
      <c r="AB356" s="45" t="inlineStr">
        <is>
          <t>Quote seen only in translation; channel (likely X post) and party label uncertain.</t>
        </is>
      </c>
      <c r="AC356" s="45" t="inlineStr">
        <is>
          <t>BOL</t>
        </is>
      </c>
    </row>
    <row r="357" ht="15" customHeight="1" s="24">
      <c r="A357" s="45" t="inlineStr">
        <is>
          <t>PS-0356</t>
        </is>
      </c>
      <c r="B357" s="45" t="inlineStr">
        <is>
          <t>2026-06-16</t>
        </is>
      </c>
      <c r="C357" s="45" t="inlineStr">
        <is>
          <t>2026</t>
        </is>
      </c>
      <c r="D357" s="45" t="inlineStr">
        <is>
          <t>ARG</t>
        </is>
      </c>
      <c r="E357" s="45" t="inlineStr">
        <is>
          <t>Luis Caputo</t>
        </is>
      </c>
      <c r="F357" s="45" t="inlineStr">
        <is>
          <t>Minister of Economy of Argentina</t>
        </is>
      </c>
      <c r="G357" s="45" t="inlineStr">
        <is>
          <t>minister_cabinet</t>
        </is>
      </c>
      <c r="H357" s="45" t="inlineStr">
        <is>
          <t>LatAm executive</t>
        </is>
      </c>
      <c r="I357" s="45" t="inlineStr">
        <is>
          <t>ARG</t>
        </is>
      </c>
      <c r="J357" s="45" t="inlineStr">
        <is>
          <t>La Libertad Avanza</t>
        </is>
      </c>
      <c r="K357" s="45" t="inlineStr">
        <is>
          <t>social_media_post</t>
        </is>
      </c>
      <c r="L357" s="45" t="inlineStr">
        <is>
          <t>RIGI approval of Vicuña copper project</t>
        </is>
      </c>
      <c r="M357" s="45" t="inlineStr">
        <is>
          <t>copper;silver</t>
        </is>
      </c>
      <c r="N357" s="45" t="inlineStr">
        <is>
          <t>260300;261610;710691;740200;740311</t>
        </is>
      </c>
      <c r="O357" s="45" t="inlineStr">
        <is>
          <t>foreign_investment;labor_social_conflict</t>
        </is>
      </c>
      <c r="P357" s="45" t="inlineStr">
        <is>
          <t>none</t>
        </is>
      </c>
      <c r="Q357" s="45" t="inlineStr">
        <is>
          <t>not_mentioned</t>
        </is>
      </c>
      <c r="R357" s="45" t="inlineStr">
        <is>
          <t>not_mentioned</t>
        </is>
      </c>
      <c r="S357" s="45" t="inlineStr">
        <is>
          <t>Vicuña; BHP; Lundin Mining; Josemaría; Filo del Sol</t>
        </is>
      </c>
      <c r="T357" s="45" t="inlineStr">
        <is>
          <t>Caputo announced on X that the RIGI committee approved BHP-Lundin's Vicuña copper project in San Juan, with an initial US$9.7bn commitment, projecting over US$2.6bn in annual exports and over 30,000 jobs.</t>
        </is>
      </c>
      <c r="U357" s="45" t="inlineStr"/>
      <c r="V357" s="45" t="inlineStr"/>
      <c r="W357" s="45" t="inlineStr">
        <is>
          <t>es</t>
        </is>
      </c>
      <c r="X357" s="45" t="inlineStr">
        <is>
          <t>EconoJournal</t>
        </is>
      </c>
      <c r="Y357" s="45" t="inlineStr">
        <is>
          <t>https://econojournal.com.ar/mineria/el-gobierno-aprueba-el-ingreso-de-vicuna-al-rigi-el-megaproyecto-de-cobre-que-promete-una-inversion-inicial-de-us9-700-millones/</t>
        </is>
      </c>
      <c r="Z357" s="45" t="inlineStr">
        <is>
          <t>news_media</t>
        </is>
      </c>
      <c r="AA357" s="45" t="inlineStr">
        <is>
          <t>secondary_reported</t>
        </is>
      </c>
      <c r="AB357" s="45" t="inlineStr">
        <is>
          <t>Largest mining investment in Argentine history per media.</t>
        </is>
      </c>
      <c r="AC357" s="45" t="inlineStr">
        <is>
          <t>ARG</t>
        </is>
      </c>
    </row>
    <row r="358" ht="15" customHeight="1" s="24">
      <c r="A358" s="45" t="inlineStr">
        <is>
          <t>PS-0357</t>
        </is>
      </c>
      <c r="B358" s="45" t="inlineStr">
        <is>
          <t>2026-06-16</t>
        </is>
      </c>
      <c r="C358" s="45" t="inlineStr">
        <is>
          <t>2026</t>
        </is>
      </c>
      <c r="D358" s="45" t="inlineStr">
        <is>
          <t>PER</t>
        </is>
      </c>
      <c r="E358" s="45" t="inlineStr">
        <is>
          <t>Waldir Ayasta Mechán</t>
        </is>
      </c>
      <c r="F358" s="45" t="inlineStr">
        <is>
          <t>Minister of Energy and Mines of Peru</t>
        </is>
      </c>
      <c r="G358" s="45" t="inlineStr">
        <is>
          <t>minister_cabinet</t>
        </is>
      </c>
      <c r="H358" s="45" t="inlineStr">
        <is>
          <t>LatAm executive</t>
        </is>
      </c>
      <c r="I358" s="45" t="inlineStr">
        <is>
          <t>PER</t>
        </is>
      </c>
      <c r="J358" s="45" t="inlineStr"/>
      <c r="K358" s="45" t="inlineStr">
        <is>
          <t>speech</t>
        </is>
      </c>
      <c r="L358" s="45" t="inlineStr">
        <is>
          <t>Inauguration of XVI CONAMIN, Trujillo</t>
        </is>
      </c>
      <c r="M358" s="45" t="inlineStr">
        <is>
          <t>copper;mining_general</t>
        </is>
      </c>
      <c r="N358" s="45" t="inlineStr">
        <is>
          <t>260300;740200;740311</t>
        </is>
      </c>
      <c r="O358" s="45" t="inlineStr">
        <is>
          <t>foreign_investment</t>
        </is>
      </c>
      <c r="P358" s="45" t="inlineStr">
        <is>
          <t>none</t>
        </is>
      </c>
      <c r="Q358" s="45" t="inlineStr">
        <is>
          <t>not_mentioned</t>
        </is>
      </c>
      <c r="R358" s="45" t="inlineStr">
        <is>
          <t>not_mentioned</t>
        </is>
      </c>
      <c r="S358" s="45" t="inlineStr">
        <is>
          <t>Cartera de Proyectos de Inversión Minera 2026</t>
        </is>
      </c>
      <c r="T358" s="45" t="inlineStr">
        <is>
          <t>Ayasta called mining a strategic activity driving investment, reporting copper output above 918,000 t and a 2026 portfolio of 66 projects worth over US$64 billion.</t>
        </is>
      </c>
      <c r="U358" s="45" t="inlineStr"/>
      <c r="V358" s="45" t="inlineStr"/>
      <c r="W358" s="45" t="inlineStr">
        <is>
          <t>es</t>
        </is>
      </c>
      <c r="X358" s="45" t="inlineStr">
        <is>
          <t>Minería &amp; Energía</t>
        </is>
      </c>
      <c r="Y358" s="45" t="inlineStr">
        <is>
          <t>https://mineriaenergia.com/inauguracion-de-conamin-la-mineria-es-una-actividad-estrategica-que-impulsa-la-inversion/</t>
        </is>
      </c>
      <c r="Z358" s="45" t="inlineStr">
        <is>
          <t>news_media</t>
        </is>
      </c>
      <c r="AA358" s="45" t="inlineStr">
        <is>
          <t>secondary_reported</t>
        </is>
      </c>
      <c r="AB358" s="45" t="inlineStr">
        <is>
          <t>Minister under President Balcázar</t>
        </is>
      </c>
      <c r="AC358" s="45" t="inlineStr">
        <is>
          <t>PER</t>
        </is>
      </c>
    </row>
    <row r="359" ht="15" customHeight="1" s="24">
      <c r="A359" s="45" t="inlineStr">
        <is>
          <t>PS-0358</t>
        </is>
      </c>
      <c r="B359" s="45" t="inlineStr">
        <is>
          <t>2026-06-25</t>
        </is>
      </c>
      <c r="C359" s="45" t="inlineStr">
        <is>
          <t>2026</t>
        </is>
      </c>
      <c r="D359" s="45" t="inlineStr">
        <is>
          <t>ECU</t>
        </is>
      </c>
      <c r="E359" s="45" t="inlineStr">
        <is>
          <t>Guillermo Flores</t>
        </is>
      </c>
      <c r="F359" s="45" t="inlineStr">
        <is>
          <t>Vice Minister of Mines of Ecuador</t>
        </is>
      </c>
      <c r="G359" s="45" t="inlineStr">
        <is>
          <t>other_executive</t>
        </is>
      </c>
      <c r="H359" s="45" t="inlineStr">
        <is>
          <t>LatAm executive</t>
        </is>
      </c>
      <c r="I359" s="45" t="inlineStr">
        <is>
          <t>ECU</t>
        </is>
      </c>
      <c r="J359" s="45" t="inlineStr">
        <is>
          <t>Noboa government</t>
        </is>
      </c>
      <c r="K359" s="45" t="inlineStr">
        <is>
          <t>interview</t>
        </is>
      </c>
      <c r="L359" s="45" t="inlineStr">
        <is>
          <t>Energy demand of new mines; Mirador phase II addendum</t>
        </is>
      </c>
      <c r="M359" s="45" t="inlineStr">
        <is>
          <t>copper</t>
        </is>
      </c>
      <c r="N359" s="45" t="inlineStr">
        <is>
          <t>260300;740200;740311</t>
        </is>
      </c>
      <c r="O359" s="45" t="inlineStr">
        <is>
          <t>infrastructure_ports;foreign_investment;energy_transition</t>
        </is>
      </c>
      <c r="P359" s="45" t="inlineStr">
        <is>
          <t>CHN</t>
        </is>
      </c>
      <c r="Q359" s="45" t="inlineStr">
        <is>
          <t>neutral</t>
        </is>
      </c>
      <c r="R359" s="45" t="inlineStr">
        <is>
          <t>not_mentioned</t>
        </is>
      </c>
      <c r="S359" s="45" t="inlineStr">
        <is>
          <t>Mirador; Ecuacorriente; Cascabel</t>
        </is>
      </c>
      <c r="T359" s="45" t="inlineStr">
        <is>
          <t>The vice minister said an addendum enabling Mirador phase II should be signed that year and that new copper and gold mines, needing about 551 MW, would have to secure their own generation.</t>
        </is>
      </c>
      <c r="U359" s="45" t="inlineStr">
        <is>
          <t>Este mismo año ya deberíamos tener la adenda para que Mirador fase II pueda empezar.</t>
        </is>
      </c>
      <c r="V359" s="45" t="inlineStr">
        <is>
          <t>This very year we should have the addendum so that Mirador phase II can begin.</t>
        </is>
      </c>
      <c r="W359" s="45" t="inlineStr">
        <is>
          <t>es</t>
        </is>
      </c>
      <c r="X359" s="45" t="inlineStr">
        <is>
          <t>Primicias</t>
        </is>
      </c>
      <c r="Y359" s="45" t="inlineStr">
        <is>
          <t>https://www.primicias.ec/economia/viceministro-minas-ecuacorriente-mirador-construccion-hidroelectrica-mina-cobre-acuerdo-contrato126746-126746/</t>
        </is>
      </c>
      <c r="Z359" s="45" t="inlineStr">
        <is>
          <t>news_media</t>
        </is>
      </c>
      <c r="AA359" s="45" t="inlineStr">
        <is>
          <t>secondary_reported</t>
        </is>
      </c>
      <c r="AB359" s="45" t="inlineStr">
        <is>
          <t>Interview 2026-06-25, published 2026-07-02; Flores left office 2026-07-01.</t>
        </is>
      </c>
      <c r="AC359" s="45" t="inlineStr">
        <is>
          <t>COL_ECU_PAN</t>
        </is>
      </c>
    </row>
    <row r="360" ht="15" customHeight="1" s="24">
      <c r="A360" s="45" t="inlineStr">
        <is>
          <t>PS-0359</t>
        </is>
      </c>
      <c r="B360" s="45" t="inlineStr">
        <is>
          <t>2026-07</t>
        </is>
      </c>
      <c r="C360" s="45" t="inlineStr">
        <is>
          <t>2026</t>
        </is>
      </c>
      <c r="D360" s="45" t="inlineStr">
        <is>
          <t>MEX</t>
        </is>
      </c>
      <c r="E360" s="45" t="inlineStr">
        <is>
          <t>LitioMx</t>
        </is>
      </c>
      <c r="F360" s="45" t="inlineStr">
        <is>
          <t>State lithium company (Litio para México)</t>
        </is>
      </c>
      <c r="G360" s="45" t="inlineStr">
        <is>
          <t>state_company</t>
        </is>
      </c>
      <c r="H360" s="45" t="inlineStr">
        <is>
          <t>LatAm state company</t>
        </is>
      </c>
      <c r="I360" s="45" t="inlineStr">
        <is>
          <t>MEX</t>
        </is>
      </c>
      <c r="J360" s="45" t="inlineStr"/>
      <c r="K360" s="45" t="inlineStr">
        <is>
          <t>decree_or_regulation</t>
        </is>
      </c>
      <c r="L360" s="45" t="inlineStr">
        <is>
          <t>2026-2030 LitioMx institutional program published in Diario Oficial</t>
        </is>
      </c>
      <c r="M360" s="45" t="inlineStr">
        <is>
          <t>lithium</t>
        </is>
      </c>
      <c r="N360" s="45" t="inlineStr">
        <is>
          <t>253090;282520;283691</t>
        </is>
      </c>
      <c r="O360" s="45" t="inlineStr">
        <is>
          <t>state_control_nationalization;value_added_industrialization;sovereignty</t>
        </is>
      </c>
      <c r="P360" s="45" t="inlineStr">
        <is>
          <t>none</t>
        </is>
      </c>
      <c r="Q360" s="45" t="inlineStr">
        <is>
          <t>not_mentioned</t>
        </is>
      </c>
      <c r="R360" s="45" t="inlineStr">
        <is>
          <t>not_mentioned</t>
        </is>
      </c>
      <c r="S360" s="45" t="inlineStr">
        <is>
          <t>LitioMx</t>
        </is>
      </c>
      <c r="T360" s="45" t="inlineStr">
        <is>
          <t>The 2026-2030 institutional program of LitioMx, published in the official gazette, reaffirms that no concessions or permits will be granted for lithium, that LitioMx controls the value chain, and plans a small industrial battery-pack plant designed by 2029.</t>
        </is>
      </c>
      <c r="U360" s="45" t="inlineStr">
        <is>
          <t>El litio es patrimonio de la Nación y su exploración, explotación, beneficio y aprovechamiento se reserva en favor del pueblo de México</t>
        </is>
      </c>
      <c r="V360" s="45" t="inlineStr">
        <is>
          <t>Lithium is the patrimony of the Nation and its exploration, exploitation, processing and use are reserved for the people of Mexico</t>
        </is>
      </c>
      <c r="W360" s="45" t="inlineStr">
        <is>
          <t>es</t>
        </is>
      </c>
      <c r="X360" s="45" t="inlineStr">
        <is>
          <t>El CEO</t>
        </is>
      </c>
      <c r="Y360" s="45" t="inlineStr">
        <is>
          <t>https://elceo.com/negocios/reviven-a-litiomx-gobierno-refrenda-que-no-habra-concesiones-para-explotacion-del-oro-blanco/</t>
        </is>
      </c>
      <c r="Z360" s="45" t="inlineStr">
        <is>
          <t>news_media</t>
        </is>
      </c>
      <c r="AA360" s="45" t="inlineStr">
        <is>
          <t>secondary_reported</t>
        </is>
      </c>
      <c r="AB360" s="45" t="inlineStr">
        <is>
          <t>Reported 27 July 2026; exact DOF publication date not seen.</t>
        </is>
      </c>
      <c r="AC360" s="45" t="inlineStr">
        <is>
          <t>MEX</t>
        </is>
      </c>
    </row>
    <row r="361" ht="15" customHeight="1" s="24">
      <c r="A361" s="45" t="inlineStr">
        <is>
          <t>PS-0360</t>
        </is>
      </c>
      <c r="B361" s="45" t="inlineStr">
        <is>
          <t>2026-07-03</t>
        </is>
      </c>
      <c r="C361" s="45" t="inlineStr">
        <is>
          <t>2026</t>
        </is>
      </c>
      <c r="D361" s="45" t="inlineStr">
        <is>
          <t>BRA</t>
        </is>
      </c>
      <c r="E361" s="45" t="inlineStr">
        <is>
          <t>Alexandre Silveira</t>
        </is>
      </c>
      <c r="F361" s="45" t="inlineStr">
        <is>
          <t>Minister of Mines and Energy of Brazil</t>
        </is>
      </c>
      <c r="G361" s="45" t="inlineStr">
        <is>
          <t>minister_cabinet</t>
        </is>
      </c>
      <c r="H361" s="45" t="inlineStr">
        <is>
          <t>LatAm executive</t>
        </is>
      </c>
      <c r="I361" s="45" t="inlineStr">
        <is>
          <t>BRA</t>
        </is>
      </c>
      <c r="J361" s="45" t="inlineStr">
        <is>
          <t>PSD</t>
        </is>
      </c>
      <c r="K361" s="45" t="inlineStr">
        <is>
          <t>press_conference</t>
        </is>
      </c>
      <c r="L361" s="45" t="inlineStr">
        <is>
          <t>Signing of MME-Federal Police cooperation agreement, Belo Horizonte</t>
        </is>
      </c>
      <c r="M361" s="45" t="inlineStr">
        <is>
          <t>rare_earths;critical_minerals_general</t>
        </is>
      </c>
      <c r="N361" s="45" t="inlineStr">
        <is>
          <t>284690</t>
        </is>
      </c>
      <c r="O361" s="45" t="inlineStr">
        <is>
          <t>geopolitics_security;value_added_industrialization;foreign_investment</t>
        </is>
      </c>
      <c r="P361" s="45" t="inlineStr">
        <is>
          <t>CHN;USA</t>
        </is>
      </c>
      <c r="Q361" s="45" t="inlineStr">
        <is>
          <t>neutral</t>
        </is>
      </c>
      <c r="R361" s="45" t="inlineStr">
        <is>
          <t>positive</t>
        </is>
      </c>
      <c r="S361" s="45" t="inlineStr"/>
      <c r="T361" s="45" t="inlineStr">
        <is>
          <t>Silveira described critical minerals as the object of a huge China-US trade war in which China dominates the rare-earth chain and the US is catching up, and said Brazil should bring the production chain home so the US can produce more cheaply on Brazilian soil.</t>
        </is>
      </c>
      <c r="U361" s="45" t="inlineStr">
        <is>
          <t>Os Estados Unidos, se quiserem produzir com custos melhores, vão produzir em solo brasileiro.</t>
        </is>
      </c>
      <c r="V361" s="45" t="inlineStr">
        <is>
          <t>The United States, if it wants to produce at better costs, will produce on Brazilian soil.</t>
        </is>
      </c>
      <c r="W361" s="45" t="inlineStr">
        <is>
          <t>pt</t>
        </is>
      </c>
      <c r="X361" s="45" t="inlineStr">
        <is>
          <t>SBT News</t>
        </is>
      </c>
      <c r="Y361" s="45" t="inlineStr">
        <is>
          <t>https://sbtnews.sbt.com.br/noticia/economia/silveira-defende-investimento-dos-eua-em-minerais-criticos</t>
        </is>
      </c>
      <c r="Z361" s="45" t="inlineStr">
        <is>
          <t>news_media</t>
        </is>
      </c>
      <c r="AA361" s="45" t="inlineStr">
        <is>
          <t>secondary_reported</t>
        </is>
      </c>
      <c r="AB361" s="45" t="inlineStr">
        <is>
          <t>Also reported by Poder360 (3 Jul 2026) with slightly different wording</t>
        </is>
      </c>
      <c r="AC361" s="45" t="inlineStr">
        <is>
          <t>BRA</t>
        </is>
      </c>
    </row>
    <row r="362" ht="15" customHeight="1" s="24">
      <c r="A362" s="45" t="inlineStr">
        <is>
          <t>PS-0361</t>
        </is>
      </c>
      <c r="B362" s="45" t="inlineStr">
        <is>
          <t>2026-07-07</t>
        </is>
      </c>
      <c r="C362" s="45" t="inlineStr">
        <is>
          <t>2026</t>
        </is>
      </c>
      <c r="D362" s="45" t="inlineStr">
        <is>
          <t>PER</t>
        </is>
      </c>
      <c r="E362" s="45" t="inlineStr">
        <is>
          <t>José María Balcázar</t>
        </is>
      </c>
      <c r="F362" s="45" t="inlineStr">
        <is>
          <t>President of Peru (interim)</t>
        </is>
      </c>
      <c r="G362" s="45" t="inlineStr">
        <is>
          <t>head_of_state</t>
        </is>
      </c>
      <c r="H362" s="45" t="inlineStr">
        <is>
          <t>LatAm executive</t>
        </is>
      </c>
      <c r="I362" s="45" t="inlineStr">
        <is>
          <t>PER</t>
        </is>
      </c>
      <c r="J362" s="45" t="inlineStr"/>
      <c r="K362" s="45" t="inlineStr">
        <is>
          <t>speech</t>
        </is>
      </c>
      <c r="L362" s="45" t="inlineStr">
        <is>
          <t>Opening of 1st International Uranium and Lithium Forum</t>
        </is>
      </c>
      <c r="M362" s="45" t="inlineStr">
        <is>
          <t>lithium</t>
        </is>
      </c>
      <c r="N362" s="45" t="inlineStr">
        <is>
          <t>253090;282520;283691</t>
        </is>
      </c>
      <c r="O362" s="45" t="inlineStr">
        <is>
          <t>value_added_industrialization;foreign_investment</t>
        </is>
      </c>
      <c r="P362" s="45" t="inlineStr">
        <is>
          <t>none</t>
        </is>
      </c>
      <c r="Q362" s="45" t="inlineStr">
        <is>
          <t>not_mentioned</t>
        </is>
      </c>
      <c r="R362" s="45" t="inlineStr">
        <is>
          <t>not_mentioned</t>
        </is>
      </c>
      <c r="S362" s="45" t="inlineStr">
        <is>
          <t>Macusani (Carabaya, Puno)</t>
        </is>
      </c>
      <c r="T362" s="45" t="inlineStr">
        <is>
          <t>Balcázar said lithium could become a key driver of Peru's development including battery manufacturing, and called for companies contributing to an inclusive economy rather than purely extractive models, via public-private partnerships.</t>
        </is>
      </c>
      <c r="U362" s="45" t="inlineStr">
        <is>
          <t>Lithium can become one of the country's key driving forces, given its growing role in national life, industry, and large-scale battery manufacturing.</t>
        </is>
      </c>
      <c r="V362" s="45" t="inlineStr">
        <is>
          <t>Lithium can become one of the country's key driving forces, given its growing role in national life, industry, and large-scale battery manufacturing.</t>
        </is>
      </c>
      <c r="W362" s="45" t="inlineStr">
        <is>
          <t>en</t>
        </is>
      </c>
      <c r="X362" s="45" t="inlineStr">
        <is>
          <t>Andina</t>
        </is>
      </c>
      <c r="Y362" s="45" t="inlineStr">
        <is>
          <t>https://andina.pe/ingles/noticia-peru-president-balcazar-highlights-uranium-and-lithium-benefits-for-national-development-1082594.aspx</t>
        </is>
      </c>
      <c r="Z362" s="45" t="inlineStr">
        <is>
          <t>primary_official</t>
        </is>
      </c>
      <c r="AA362" s="45" t="inlineStr">
        <is>
          <t>primary_verified</t>
        </is>
      </c>
      <c r="AB362" s="45" t="inlineStr">
        <is>
          <t>Official English translation by state agency</t>
        </is>
      </c>
      <c r="AC362" s="45" t="inlineStr">
        <is>
          <t>PER</t>
        </is>
      </c>
    </row>
    <row r="363" ht="15" customHeight="1" s="24">
      <c r="A363" s="45" t="inlineStr">
        <is>
          <t>PS-0362</t>
        </is>
      </c>
      <c r="B363" s="45" t="inlineStr">
        <is>
          <t>2026-07-13</t>
        </is>
      </c>
      <c r="C363" s="45" t="inlineStr">
        <is>
          <t>2026</t>
        </is>
      </c>
      <c r="D363" s="45" t="inlineStr">
        <is>
          <t>CHL</t>
        </is>
      </c>
      <c r="E363" s="45" t="inlineStr">
        <is>
          <t>Bernardo Fontaine</t>
        </is>
      </c>
      <c r="F363" s="45" t="inlineStr">
        <is>
          <t>Chairman of Codelco</t>
        </is>
      </c>
      <c r="G363" s="45" t="inlineStr">
        <is>
          <t>state_company</t>
        </is>
      </c>
      <c r="H363" s="45" t="inlineStr">
        <is>
          <t>LatAm state company</t>
        </is>
      </c>
      <c r="I363" s="45" t="inlineStr">
        <is>
          <t>CHL</t>
        </is>
      </c>
      <c r="J363" s="45" t="inlineStr"/>
      <c r="K363" s="45" t="inlineStr">
        <is>
          <t>official_statement</t>
        </is>
      </c>
      <c r="L363" s="45" t="inlineStr">
        <is>
          <t>Appointment of Jorge Gómez as Codelco CEO</t>
        </is>
      </c>
      <c r="M363" s="45" t="inlineStr">
        <is>
          <t>copper</t>
        </is>
      </c>
      <c r="N363" s="45" t="inlineStr">
        <is>
          <t>260300;740200;740311</t>
        </is>
      </c>
      <c r="O363" s="45" t="inlineStr">
        <is>
          <t>corruption_governance</t>
        </is>
      </c>
      <c r="P363" s="45" t="inlineStr">
        <is>
          <t>none</t>
        </is>
      </c>
      <c r="Q363" s="45" t="inlineStr">
        <is>
          <t>not_mentioned</t>
        </is>
      </c>
      <c r="R363" s="45" t="inlineStr">
        <is>
          <t>not_mentioned</t>
        </is>
      </c>
      <c r="S363" s="45" t="inlineStr">
        <is>
          <t>Codelco; Collahuasi</t>
        </is>
      </c>
      <c r="T363" s="45" t="inlineStr">
        <is>
          <t>Announcing the new CEO, Fontaine acknowledged weak results and production below estimates for seven years, confirming a strategic shift toward margins over expansion.</t>
        </is>
      </c>
      <c r="U363" s="45" t="inlineStr">
        <is>
          <t>Nuestros resultados han sido débiles, y la producción ha caído por debajo de las estimaciones durante los últimos siete años</t>
        </is>
      </c>
      <c r="V363" s="45" t="inlineStr">
        <is>
          <t>Our results have been weak, and production has fallen below estimates for the last seven years</t>
        </is>
      </c>
      <c r="W363" s="45" t="inlineStr">
        <is>
          <t>es</t>
        </is>
      </c>
      <c r="X363" s="45" t="inlineStr">
        <is>
          <t>Reporte Minero</t>
        </is>
      </c>
      <c r="Y363" s="45" t="inlineStr">
        <is>
          <t>https://www.reporteminero.cl/noticia/noticias/2026/07/codelco-rentabilidad-produccion-bernardo-fontaine-jorge-gomez</t>
        </is>
      </c>
      <c r="Z363" s="45" t="inlineStr">
        <is>
          <t>news_media</t>
        </is>
      </c>
      <c r="AA363" s="45" t="inlineStr">
        <is>
          <t>secondary_reported</t>
        </is>
      </c>
      <c r="AB363" s="45" t="inlineStr"/>
      <c r="AC363" s="45" t="inlineStr">
        <is>
          <t>CHL</t>
        </is>
      </c>
    </row>
    <row r="364" ht="15" customHeight="1" s="24">
      <c r="A364" s="45" t="inlineStr">
        <is>
          <t>PS-0363</t>
        </is>
      </c>
      <c r="B364" s="45" t="inlineStr">
        <is>
          <t>2026-07-14</t>
        </is>
      </c>
      <c r="C364" s="45" t="inlineStr">
        <is>
          <t>2026</t>
        </is>
      </c>
      <c r="D364" s="45" t="inlineStr">
        <is>
          <t>REG</t>
        </is>
      </c>
      <c r="E364" s="45" t="inlineStr">
        <is>
          <t>Michael Kozak</t>
        </is>
      </c>
      <c r="F364" s="45" t="inlineStr">
        <is>
          <t>Senior Bureau Official, Bureau of Western Hemisphere Affairs, U.S. Department of State</t>
        </is>
      </c>
      <c r="G364" s="45" t="inlineStr">
        <is>
          <t>us_central_gov</t>
        </is>
      </c>
      <c r="H364" s="45" t="inlineStr">
        <is>
          <t>United States</t>
        </is>
      </c>
      <c r="I364" s="45" t="inlineStr">
        <is>
          <t>USA</t>
        </is>
      </c>
      <c r="J364" s="45" t="inlineStr">
        <is>
          <t>Trump administration</t>
        </is>
      </c>
      <c r="K364" s="45" t="inlineStr">
        <is>
          <t>legislative_debate</t>
        </is>
      </c>
      <c r="L364" s="45" t="inlineStr">
        <is>
          <t>SFRC Western Hemisphere subcommittee hearing 'The National Security Strategy and the Western Hemisphere'</t>
        </is>
      </c>
      <c r="M364" s="45" t="inlineStr">
        <is>
          <t>critical_minerals_general</t>
        </is>
      </c>
      <c r="N364" s="45" t="inlineStr"/>
      <c r="O364" s="45" t="inlineStr">
        <is>
          <t>foreign_investment;infrastructure_ports;geopolitics_security;diplomatic_relations</t>
        </is>
      </c>
      <c r="P364" s="45" t="inlineStr">
        <is>
          <t>CHN;PAN</t>
        </is>
      </c>
      <c r="Q364" s="45" t="inlineStr">
        <is>
          <t>negative</t>
        </is>
      </c>
      <c r="R364" s="45" t="inlineStr">
        <is>
          <t>positive</t>
        </is>
      </c>
      <c r="S364" s="45" t="inlineStr"/>
      <c r="T364" s="45" t="inlineStr">
        <is>
          <t>Kozak told senators the US had signed seven cooperative critical-minerals MOUs in the hemisphere to speed resource development and was pushing US and allied firms into critical infrastructure to push out competitors; he also accused China of economic retaliation against Panama.</t>
        </is>
      </c>
      <c r="U364" s="45" t="inlineStr">
        <is>
          <t>On critical minerals, we have signed seven cooperative MOUs that will speed up resource development.</t>
        </is>
      </c>
      <c r="V364" s="45" t="inlineStr">
        <is>
          <t>On critical minerals, we have signed seven cooperative MOUs that will speed up resource development.</t>
        </is>
      </c>
      <c r="W364" s="45" t="inlineStr">
        <is>
          <t>en</t>
        </is>
      </c>
      <c r="X364" s="45" t="inlineStr">
        <is>
          <t>U.S. Senate Foreign Relations Committee (written testimony)</t>
        </is>
      </c>
      <c r="Y364" s="45" t="inlineStr">
        <is>
          <t>https://www.foreign.senate.gov/download/071426_kozak_testimonypdf</t>
        </is>
      </c>
      <c r="Z364" s="45" t="inlineStr">
        <is>
          <t>legislative_record</t>
        </is>
      </c>
      <c r="AA364" s="45" t="inlineStr">
        <is>
          <t>primary_verified</t>
        </is>
      </c>
      <c r="AB364" s="45" t="inlineStr">
        <is>
          <t>Countries of the seven MOUs not named in testimony.</t>
        </is>
      </c>
      <c r="AC364" s="45" t="inlineStr">
        <is>
          <t>USA_gov</t>
        </is>
      </c>
    </row>
    <row r="365" ht="15" customHeight="1" s="24">
      <c r="A365" s="45" t="inlineStr">
        <is>
          <t>PS-0364</t>
        </is>
      </c>
      <c r="B365" s="45" t="inlineStr">
        <is>
          <t>2026-07-24</t>
        </is>
      </c>
      <c r="C365" s="45" t="inlineStr">
        <is>
          <t>2026</t>
        </is>
      </c>
      <c r="D365" s="45" t="inlineStr">
        <is>
          <t>ECU</t>
        </is>
      </c>
      <c r="E365" s="45" t="inlineStr">
        <is>
          <t>Office of the US Trade Representative</t>
        </is>
      </c>
      <c r="F365" s="45" t="inlineStr">
        <is>
          <t>US Trade Representative</t>
        </is>
      </c>
      <c r="G365" s="45" t="inlineStr">
        <is>
          <t>us_central_gov</t>
        </is>
      </c>
      <c r="H365" s="45" t="inlineStr">
        <is>
          <t>United States</t>
        </is>
      </c>
      <c r="I365" s="45" t="inlineStr">
        <is>
          <t>USA</t>
        </is>
      </c>
      <c r="J365" s="45" t="inlineStr"/>
      <c r="K365" s="45" t="inlineStr">
        <is>
          <t>decree_or_regulation</t>
        </is>
      </c>
      <c r="L365" s="45" t="inlineStr">
        <is>
          <t>New 10% tariff on Ecuador with exemptions</t>
        </is>
      </c>
      <c r="M365" s="45" t="inlineStr">
        <is>
          <t>copper;nickel;zinc;silver;manganese;iron_ore;critical_minerals_general</t>
        </is>
      </c>
      <c r="N365" s="45" t="inlineStr">
        <is>
          <t>260200;260300;260400;260800;261610;710691;720260;740200;740311</t>
        </is>
      </c>
      <c r="O365" s="45" t="inlineStr">
        <is>
          <t>tariffs_trade_policy;trade_deals_offtake</t>
        </is>
      </c>
      <c r="P365" s="45" t="inlineStr">
        <is>
          <t>ECU</t>
        </is>
      </c>
      <c r="Q365" s="45" t="inlineStr">
        <is>
          <t>not_mentioned</t>
        </is>
      </c>
      <c r="R365" s="45" t="inlineStr">
        <is>
          <t>positive</t>
        </is>
      </c>
      <c r="S365" s="45" t="inlineStr"/>
      <c r="T365" s="45" t="inlineStr">
        <is>
          <t>The USTR imposed a 10% surcharge on Ecuadorian goods but exempted products including copper, nickel, zinc, silver, manganese and other minerals, in line with the March 2026 reciprocal trade agreement.</t>
        </is>
      </c>
      <c r="U365" s="45" t="inlineStr"/>
      <c r="V365" s="45" t="inlineStr"/>
      <c r="W365" s="45" t="inlineStr">
        <is>
          <t>en</t>
        </is>
      </c>
      <c r="X365" s="45" t="inlineStr">
        <is>
          <t>Primicias</t>
        </is>
      </c>
      <c r="Y365" s="45" t="inlineStr">
        <is>
          <t>https://www.primicias.ec/economia/aranceles-estados-unidos-ecuador-banano-cacao-flores-minerales-exentos-camaron-128777/</t>
        </is>
      </c>
      <c r="Z365" s="45" t="inlineStr">
        <is>
          <t>news_media</t>
        </is>
      </c>
      <c r="AA365" s="45" t="inlineStr">
        <is>
          <t>secondary_reported</t>
        </is>
      </c>
      <c r="AB365" s="45" t="inlineStr">
        <is>
          <t>stance_us is the US speaker toward itself; trivially positive.</t>
        </is>
      </c>
      <c r="AC365" s="45" t="inlineStr">
        <is>
          <t>COL_ECU_PAN</t>
        </is>
      </c>
    </row>
    <row r="366" ht="15" customHeight="1" s="24">
      <c r="A366" s="45" t="inlineStr">
        <is>
          <t>PS-0365</t>
        </is>
      </c>
      <c r="B366" s="45" t="inlineStr">
        <is>
          <t>2026-07-28</t>
        </is>
      </c>
      <c r="C366" s="45" t="inlineStr">
        <is>
          <t>2026</t>
        </is>
      </c>
      <c r="D366" s="45" t="inlineStr">
        <is>
          <t>COL</t>
        </is>
      </c>
      <c r="E366" s="45" t="inlineStr">
        <is>
          <t>Edwin Palma</t>
        </is>
      </c>
      <c r="F366" s="45" t="inlineStr">
        <is>
          <t>Minister of Mines and Energy of Colombia</t>
        </is>
      </c>
      <c r="G366" s="45" t="inlineStr">
        <is>
          <t>minister_cabinet</t>
        </is>
      </c>
      <c r="H366" s="45" t="inlineStr">
        <is>
          <t>LatAm executive</t>
        </is>
      </c>
      <c r="I366" s="45" t="inlineStr">
        <is>
          <t>COL</t>
        </is>
      </c>
      <c r="J366" s="45" t="inlineStr">
        <is>
          <t>Petro government</t>
        </is>
      </c>
      <c r="K366" s="45" t="inlineStr">
        <is>
          <t>bill_or_law</t>
        </is>
      </c>
      <c r="L366" s="45" t="inlineStr">
        <is>
          <t>Filing of new mining law bill in Congress</t>
        </is>
      </c>
      <c r="M366" s="45" t="inlineStr">
        <is>
          <t>critical_minerals_general;mining_general</t>
        </is>
      </c>
      <c r="N366" s="45" t="inlineStr"/>
      <c r="O366" s="45" t="inlineStr">
        <is>
          <t>state_control_nationalization;sovereignty;energy_transition;value_added_industrialization;environment_water;indigenous_community_rights</t>
        </is>
      </c>
      <c r="P366" s="45" t="inlineStr">
        <is>
          <t>none</t>
        </is>
      </c>
      <c r="Q366" s="45" t="inlineStr">
        <is>
          <t>not_mentioned</t>
        </is>
      </c>
      <c r="R366" s="45" t="inlineStr">
        <is>
          <t>not_mentioned</t>
        </is>
      </c>
      <c r="S366" s="45" t="inlineStr"/>
      <c r="T366" s="45" t="inlineStr">
        <is>
          <t>The Petro government filed a bill to replace the mining framework, strengthening state control of the subsoil and strategic-minerals planning, adding water protections and a formalization regime for small-scale and ethnic miners; Palma urged Congress to pass it.</t>
        </is>
      </c>
      <c r="U366" s="45" t="inlineStr">
        <is>
          <t>Hacemos un llamado de urgencia para que este proyecto avance en el Congreso, es fundamental para la planeación minera y ambiental</t>
        </is>
      </c>
      <c r="V366" s="45" t="inlineStr">
        <is>
          <t>We urgently call for this bill to advance in Congress; it is fundamental for mining and environmental planning</t>
        </is>
      </c>
      <c r="W366" s="45" t="inlineStr">
        <is>
          <t>es</t>
        </is>
      </c>
      <c r="X366" s="45" t="inlineStr">
        <is>
          <t>Ministerio de Minas y Energía de Colombia</t>
        </is>
      </c>
      <c r="Y366" s="45" t="inlineStr">
        <is>
          <t>https://www.minenergia.gov.co/es/sala-de-prensa/noticias-index/gobierno-nacional-radica-proyecto-de-ley-minera-para-modernizar-el-sector/</t>
        </is>
      </c>
      <c r="Z366" s="45" t="inlineStr">
        <is>
          <t>primary_official</t>
        </is>
      </c>
      <c r="AA366" s="45" t="inlineStr">
        <is>
          <t>primary_verified</t>
        </is>
      </c>
      <c r="AB366" s="45" t="inlineStr">
        <is>
          <t>Filed ~10 days before end of Petro's term (7 Aug 2026).</t>
        </is>
      </c>
      <c r="AC366" s="45" t="inlineStr">
        <is>
          <t>COL_ECU_PAN</t>
        </is>
      </c>
    </row>
    <row r="367" ht="15" customHeight="1" s="24">
      <c r="A367" s="45" t="inlineStr">
        <is>
          <t>PS-0366</t>
        </is>
      </c>
      <c r="B367" s="45" t="inlineStr">
        <is>
          <t>2026-07-28</t>
        </is>
      </c>
      <c r="C367" s="45" t="inlineStr">
        <is>
          <t>2026</t>
        </is>
      </c>
      <c r="D367" s="45" t="inlineStr">
        <is>
          <t>PER</t>
        </is>
      </c>
      <c r="E367" s="45" t="inlineStr">
        <is>
          <t>Keiko Fujimori</t>
        </is>
      </c>
      <c r="F367" s="45" t="inlineStr">
        <is>
          <t>President of Peru</t>
        </is>
      </c>
      <c r="G367" s="45" t="inlineStr">
        <is>
          <t>head_of_state</t>
        </is>
      </c>
      <c r="H367" s="45" t="inlineStr">
        <is>
          <t>LatAm executive</t>
        </is>
      </c>
      <c r="I367" s="45" t="inlineStr">
        <is>
          <t>PER</t>
        </is>
      </c>
      <c r="J367" s="45" t="inlineStr">
        <is>
          <t>Fuerza Popular</t>
        </is>
      </c>
      <c r="K367" s="45" t="inlineStr">
        <is>
          <t>speech</t>
        </is>
      </c>
      <c r="L367" s="45" t="inlineStr">
        <is>
          <t>Inaugural address to Congress</t>
        </is>
      </c>
      <c r="M367" s="45" t="inlineStr">
        <is>
          <t>mining_general</t>
        </is>
      </c>
      <c r="N367" s="45" t="inlineStr"/>
      <c r="O367" s="45" t="inlineStr">
        <is>
          <t>geopolitics_security;corruption_governance</t>
        </is>
      </c>
      <c r="P367" s="45" t="inlineStr">
        <is>
          <t>none</t>
        </is>
      </c>
      <c r="Q367" s="45" t="inlineStr">
        <is>
          <t>not_mentioned</t>
        </is>
      </c>
      <c r="R367" s="45" t="inlineStr">
        <is>
          <t>not_mentioned</t>
        </is>
      </c>
      <c r="S367" s="45" t="inlineStr"/>
      <c r="T367" s="45" t="inlineStr">
        <is>
          <t>In her inaugural speech Fujimori pledged to go after national and international mafias financing extortion, contract killing, drug trafficking and illegal mining, with the armed forces temporarily leading security operations.</t>
        </is>
      </c>
      <c r="U367" s="45" t="inlineStr">
        <is>
          <t>Iremos tras las mafias nacionales e internacionales que financian la extorsión, el sicariato, el narcotráfico y la minería ilegal</t>
        </is>
      </c>
      <c r="V367" s="45" t="inlineStr">
        <is>
          <t>We will go after the national and international mafias that finance extortion, contract killings, drug trafficking and illegal mining</t>
        </is>
      </c>
      <c r="W367" s="45" t="inlineStr">
        <is>
          <t>es</t>
        </is>
      </c>
      <c r="X367" s="45" t="inlineStr">
        <is>
          <t>Los Andes (Argentina)</t>
        </is>
      </c>
      <c r="Y367" s="45" t="inlineStr">
        <is>
          <t>https://www.losandes.com.ar/mundo/asumio-keiko-fujimori-como-presidenta-peru-iremos-las-mafias-del-narcotrafico-y-la-mineria-ilegal-n6000200</t>
        </is>
      </c>
      <c r="Z367" s="45" t="inlineStr">
        <is>
          <t>news_media</t>
        </is>
      </c>
      <c r="AA367" s="45" t="inlineStr">
        <is>
          <t>secondary_reported</t>
        </is>
      </c>
      <c r="AB367" s="45" t="inlineStr"/>
      <c r="AC367" s="45" t="inlineStr">
        <is>
          <t>PER</t>
        </is>
      </c>
    </row>
    <row r="368" ht="15" customHeight="1" s="24">
      <c r="A368" s="45" t="inlineStr">
        <is>
          <t>PS-0367</t>
        </is>
      </c>
      <c r="B368" s="45" t="inlineStr">
        <is>
          <t>2026-08</t>
        </is>
      </c>
      <c r="C368" s="45" t="inlineStr">
        <is>
          <t>2026</t>
        </is>
      </c>
      <c r="D368" s="45" t="inlineStr">
        <is>
          <t>PER</t>
        </is>
      </c>
      <c r="E368" s="45" t="inlineStr">
        <is>
          <t>Luis Galarreta</t>
        </is>
      </c>
      <c r="F368" s="45" t="inlineStr">
        <is>
          <t>President of the Council of Ministers of Peru</t>
        </is>
      </c>
      <c r="G368" s="45" t="inlineStr">
        <is>
          <t>minister_cabinet</t>
        </is>
      </c>
      <c r="H368" s="45" t="inlineStr">
        <is>
          <t>LatAm executive</t>
        </is>
      </c>
      <c r="I368" s="45" t="inlineStr">
        <is>
          <t>PER</t>
        </is>
      </c>
      <c r="J368" s="45" t="inlineStr">
        <is>
          <t>Fuerza Popular</t>
        </is>
      </c>
      <c r="K368" s="45" t="inlineStr">
        <is>
          <t>legislative_debate</t>
        </is>
      </c>
      <c r="L368" s="45" t="inlineStr">
        <is>
          <t>Cabinet investiture presentation to Congress</t>
        </is>
      </c>
      <c r="M368" s="45" t="inlineStr">
        <is>
          <t>mining_general</t>
        </is>
      </c>
      <c r="N368" s="45" t="inlineStr"/>
      <c r="O368" s="45" t="inlineStr">
        <is>
          <t>foreign_investment;trade_deals_offtake</t>
        </is>
      </c>
      <c r="P368" s="45" t="inlineStr">
        <is>
          <t>CHN</t>
        </is>
      </c>
      <c r="Q368" s="45" t="inlineStr">
        <is>
          <t>not_mentioned</t>
        </is>
      </c>
      <c r="R368" s="45" t="inlineStr">
        <is>
          <t>not_mentioned</t>
        </is>
      </c>
      <c r="S368" s="45" t="inlineStr"/>
      <c r="T368" s="45" t="inlineStr">
        <is>
          <t>Galarreta told Congress the government aims to unlock more than US$33 billion in mining investment over five years and to activate Peru's dormant free-trade pact with Hong Kong before year-end.</t>
        </is>
      </c>
      <c r="U368" s="45" t="inlineStr"/>
      <c r="V368" s="45" t="inlineStr"/>
      <c r="W368" s="45" t="inlineStr">
        <is>
          <t>en</t>
        </is>
      </c>
      <c r="X368" s="45" t="inlineStr">
        <is>
          <t>Latin Times</t>
        </is>
      </c>
      <c r="Y368" s="45" t="inlineStr">
        <is>
          <t>https://www.latintimes.com/inside-keiko-fujimoris-first-month-mining-billions-emergency-powers-fuel-revolt-598899</t>
        </is>
      </c>
      <c r="Z368" s="45" t="inlineStr">
        <is>
          <t>news_media</t>
        </is>
      </c>
      <c r="AA368" s="45" t="inlineStr">
        <is>
          <t>secondary_reported</t>
        </is>
      </c>
      <c r="AB368" s="45" t="inlineStr">
        <is>
          <t>Exact date not given; figure reported in paraphrase</t>
        </is>
      </c>
      <c r="AC368" s="45" t="inlineStr">
        <is>
          <t>PER</t>
        </is>
      </c>
    </row>
    <row r="369" ht="15" customHeight="1" s="24">
      <c r="A369" s="45" t="inlineStr">
        <is>
          <t>PS-0368</t>
        </is>
      </c>
      <c r="B369" s="45" t="inlineStr">
        <is>
          <t>2026-08-13</t>
        </is>
      </c>
      <c r="C369" s="45" t="inlineStr">
        <is>
          <t>2026</t>
        </is>
      </c>
      <c r="D369" s="45" t="inlineStr">
        <is>
          <t>ECU</t>
        </is>
      </c>
      <c r="E369" s="45" t="inlineStr">
        <is>
          <t>Galo Andrés García Medina</t>
        </is>
      </c>
      <c r="F369" s="45" t="inlineStr">
        <is>
          <t>Vice Minister of Mines of Ecuador</t>
        </is>
      </c>
      <c r="G369" s="45" t="inlineStr">
        <is>
          <t>other_executive</t>
        </is>
      </c>
      <c r="H369" s="45" t="inlineStr">
        <is>
          <t>LatAm executive</t>
        </is>
      </c>
      <c r="I369" s="45" t="inlineStr">
        <is>
          <t>ECU</t>
        </is>
      </c>
      <c r="J369" s="45" t="inlineStr">
        <is>
          <t>Noboa government</t>
        </is>
      </c>
      <c r="K369" s="45" t="inlineStr">
        <is>
          <t>decree_or_regulation</t>
        </is>
      </c>
      <c r="L369" s="45" t="inlineStr">
        <is>
          <t>Acuerdo MAE-VM-2026-0001-AM on prior controls of mineral exports to China</t>
        </is>
      </c>
      <c r="M369" s="45" t="inlineStr">
        <is>
          <t>copper;mining_general</t>
        </is>
      </c>
      <c r="N369" s="45" t="inlineStr">
        <is>
          <t>260300;740200;740311</t>
        </is>
      </c>
      <c r="O369" s="45" t="inlineStr">
        <is>
          <t>royalties_taxation;trade_deals_offtake;corruption_governance</t>
        </is>
      </c>
      <c r="P369" s="45" t="inlineStr">
        <is>
          <t>CHN</t>
        </is>
      </c>
      <c r="Q369" s="45" t="inlineStr">
        <is>
          <t>mixed</t>
        </is>
      </c>
      <c r="R369" s="45" t="inlineStr">
        <is>
          <t>not_mentioned</t>
        </is>
      </c>
      <c r="S369" s="45" t="inlineStr"/>
      <c r="T369" s="45" t="inlineStr">
        <is>
          <t>Ecuador imposed prior controls to determine grade and purity on all sales and exports of processed mineral material bound for China, which took 95% of copper concentrate exports in H1 2026, to protect state revenues.</t>
        </is>
      </c>
      <c r="U369" s="45" t="inlineStr">
        <is>
          <t>proteger los ingresos que corresponden al Estado</t>
        </is>
      </c>
      <c r="V369" s="45" t="inlineStr">
        <is>
          <t>protect the revenues that belong to the State</t>
        </is>
      </c>
      <c r="W369" s="45" t="inlineStr">
        <is>
          <t>es</t>
        </is>
      </c>
      <c r="X369" s="45" t="inlineStr">
        <is>
          <t>Primicias</t>
        </is>
      </c>
      <c r="Y369" s="45" t="inlineStr">
        <is>
          <t>https://www.primicias.ec/economia/ecuador-controles-previos-exportaciones-minerales-china-oro-cobre-130355/</t>
        </is>
      </c>
      <c r="Z369" s="45" t="inlineStr">
        <is>
          <t>news_media</t>
        </is>
      </c>
      <c r="AA369" s="45" t="inlineStr">
        <is>
          <t>secondary_reported</t>
        </is>
      </c>
      <c r="AB369" s="45" t="inlineStr">
        <is>
          <t>Ministerial agreement signed 2026-08-13; reported 2026-08-14.</t>
        </is>
      </c>
      <c r="AC369" s="45" t="inlineStr">
        <is>
          <t>COL_ECU_PAN</t>
        </is>
      </c>
    </row>
    <row r="370" ht="15" customHeight="1" s="24">
      <c r="A370" s="45" t="inlineStr">
        <is>
          <t>PS-0369</t>
        </is>
      </c>
      <c r="B370" s="45" t="inlineStr">
        <is>
          <t>2026-08-18</t>
        </is>
      </c>
      <c r="C370" s="45" t="inlineStr">
        <is>
          <t>2026</t>
        </is>
      </c>
      <c r="D370" s="45" t="inlineStr">
        <is>
          <t>BRA</t>
        </is>
      </c>
      <c r="E370" s="45" t="inlineStr">
        <is>
          <t>Aloizio Mercadante</t>
        </is>
      </c>
      <c r="F370" s="45" t="inlineStr">
        <is>
          <t>President of BNDES</t>
        </is>
      </c>
      <c r="G370" s="45" t="inlineStr">
        <is>
          <t>other_executive</t>
        </is>
      </c>
      <c r="H370" s="45" t="inlineStr">
        <is>
          <t>LatAm executive</t>
        </is>
      </c>
      <c r="I370" s="45" t="inlineStr">
        <is>
          <t>BRA</t>
        </is>
      </c>
      <c r="J370" s="45" t="inlineStr">
        <is>
          <t>PT</t>
        </is>
      </c>
      <c r="K370" s="45" t="inlineStr">
        <is>
          <t>speech</t>
        </is>
      </c>
      <c r="L370" s="45" t="inlineStr">
        <is>
          <t>Conference 'Destravando o Potencial da Mineração no Brasil', Brasília</t>
        </is>
      </c>
      <c r="M370" s="45" t="inlineStr">
        <is>
          <t>rare_earths;iron_ore;mining_general</t>
        </is>
      </c>
      <c r="N370" s="45" t="inlineStr">
        <is>
          <t>284690</t>
        </is>
      </c>
      <c r="O370" s="45" t="inlineStr">
        <is>
          <t>state_control_nationalization;financing_credit</t>
        </is>
      </c>
      <c r="P370" s="45" t="inlineStr">
        <is>
          <t>none</t>
        </is>
      </c>
      <c r="Q370" s="45" t="inlineStr">
        <is>
          <t>not_mentioned</t>
        </is>
      </c>
      <c r="R370" s="45" t="inlineStr">
        <is>
          <t>not_mentioned</t>
        </is>
      </c>
      <c r="S370" s="45" t="inlineStr">
        <is>
          <t>Petrobras; BNDES</t>
        </is>
      </c>
      <c r="T370" s="45" t="inlineStr">
        <is>
          <t>BNDES president Mercadante said it was time to bring Petrobras into mining, particularly rare earths, called for more creative public-private partnerships, and pressed for a new cave-classification decree to unblock mining projects.</t>
        </is>
      </c>
      <c r="U370" s="45" t="inlineStr">
        <is>
          <t>está na hora de trazer a Petrobras à discussão sobre terras raras</t>
        </is>
      </c>
      <c r="V370" s="45" t="inlineStr">
        <is>
          <t>it is time to bring Petrobras into the discussion on rare earths</t>
        </is>
      </c>
      <c r="W370" s="45" t="inlineStr">
        <is>
          <t>pt</t>
        </is>
      </c>
      <c r="X370" s="45" t="inlineStr">
        <is>
          <t>eixos (Estadão Conteúdo)</t>
        </is>
      </c>
      <c r="Y370" s="45" t="inlineStr">
        <is>
          <t>https://eixos.com.br/mineracao/mercadante-diz-que-esta-na-hora-de-trazer-a-petrobras-a-discussao-sobre-terras-raras/</t>
        </is>
      </c>
      <c r="Z370" s="45" t="inlineStr">
        <is>
          <t>news_media</t>
        </is>
      </c>
      <c r="AA370" s="45" t="inlineStr">
        <is>
          <t>secondary_reported</t>
        </is>
      </c>
      <c r="AB370" s="45" t="inlineStr">
        <is>
          <t>Quote may be headline paraphrase</t>
        </is>
      </c>
      <c r="AC370" s="45" t="inlineStr">
        <is>
          <t>BRA</t>
        </is>
      </c>
    </row>
    <row r="371" ht="15" customHeight="1" s="24">
      <c r="A371" s="45" t="inlineStr">
        <is>
          <t>PS-0370</t>
        </is>
      </c>
      <c r="B371" s="45" t="inlineStr">
        <is>
          <t>2026-08-18</t>
        </is>
      </c>
      <c r="C371" s="45" t="inlineStr">
        <is>
          <t>2026</t>
        </is>
      </c>
      <c r="D371" s="45" t="inlineStr">
        <is>
          <t>ECU</t>
        </is>
      </c>
      <c r="E371" s="45" t="inlineStr">
        <is>
          <t>ENAMI EP</t>
        </is>
      </c>
      <c r="F371" s="45" t="inlineStr">
        <is>
          <t>Empresa Nacional Minera of Ecuador</t>
        </is>
      </c>
      <c r="G371" s="45" t="inlineStr">
        <is>
          <t>state_company</t>
        </is>
      </c>
      <c r="H371" s="45" t="inlineStr">
        <is>
          <t>LatAm state company</t>
        </is>
      </c>
      <c r="I371" s="45" t="inlineStr">
        <is>
          <t>ECU</t>
        </is>
      </c>
      <c r="J371" s="45" t="inlineStr"/>
      <c r="K371" s="45" t="inlineStr">
        <is>
          <t>official_statement</t>
        </is>
      </c>
      <c r="L371" s="45" t="inlineStr">
        <is>
          <t>Call for studies for mineral processing plant and metals refinery</t>
        </is>
      </c>
      <c r="M371" s="45" t="inlineStr">
        <is>
          <t>copper;mining_general</t>
        </is>
      </c>
      <c r="N371" s="45" t="inlineStr">
        <is>
          <t>260300;740200;740311</t>
        </is>
      </c>
      <c r="O371" s="45" t="inlineStr">
        <is>
          <t>processing_refining;value_added_industrialization</t>
        </is>
      </c>
      <c r="P371" s="45" t="inlineStr">
        <is>
          <t>none</t>
        </is>
      </c>
      <c r="Q371" s="45" t="inlineStr">
        <is>
          <t>not_mentioned</t>
        </is>
      </c>
      <c r="R371" s="45" t="inlineStr">
        <is>
          <t>not_mentioned</t>
        </is>
      </c>
      <c r="S371" s="45" t="inlineStr">
        <is>
          <t>ENAMI</t>
        </is>
      </c>
      <c r="T371" s="45" t="inlineStr">
        <is>
          <t>State miner ENAMI opened a call for national and international firms to prepare technical studies for a mineral processing plant and a metals refinery.</t>
        </is>
      </c>
      <c r="U371" s="45" t="inlineStr">
        <is>
          <t>Se considerará la experiencia tanto en procesamiento de minerales como en refinación de metales</t>
        </is>
      </c>
      <c r="V371" s="45" t="inlineStr">
        <is>
          <t>Experience in both mineral processing and metal refining will be considered</t>
        </is>
      </c>
      <c r="W371" s="45" t="inlineStr">
        <is>
          <t>es</t>
        </is>
      </c>
      <c r="X371" s="45" t="inlineStr">
        <is>
          <t>Primicias</t>
        </is>
      </c>
      <c r="Y371" s="45" t="inlineStr">
        <is>
          <t>https://www.primicias.ec/economia/enami-empresa-minera-convocatoria-estudio-planta-procesamiento-minerales-130577/</t>
        </is>
      </c>
      <c r="Z371" s="45" t="inlineStr">
        <is>
          <t>news_media</t>
        </is>
      </c>
      <c r="AA371" s="45" t="inlineStr">
        <is>
          <t>secondary_reported</t>
        </is>
      </c>
      <c r="AB371" s="45" t="inlineStr"/>
      <c r="AC371" s="45" t="inlineStr">
        <is>
          <t>COL_ECU_PAN</t>
        </is>
      </c>
    </row>
    <row r="372" ht="15" customHeight="1" s="24">
      <c r="A372" s="45" t="inlineStr">
        <is>
          <t>PS-0371</t>
        </is>
      </c>
      <c r="B372" s="45" t="inlineStr">
        <is>
          <t>2026-08-27</t>
        </is>
      </c>
      <c r="C372" s="45" t="inlineStr">
        <is>
          <t>2026</t>
        </is>
      </c>
      <c r="D372" s="45" t="inlineStr">
        <is>
          <t>CHL</t>
        </is>
      </c>
      <c r="E372" s="45" t="inlineStr">
        <is>
          <t>José Antonio Kast</t>
        </is>
      </c>
      <c r="F372" s="45" t="inlineStr">
        <is>
          <t>President of Chile</t>
        </is>
      </c>
      <c r="G372" s="45" t="inlineStr">
        <is>
          <t>head_of_state</t>
        </is>
      </c>
      <c r="H372" s="45" t="inlineStr">
        <is>
          <t>LatAm executive</t>
        </is>
      </c>
      <c r="I372" s="45" t="inlineStr">
        <is>
          <t>CHL</t>
        </is>
      </c>
      <c r="J372" s="45" t="inlineStr">
        <is>
          <t>Partido Republicano</t>
        </is>
      </c>
      <c r="K372" s="45" t="inlineStr">
        <is>
          <t>interview</t>
        </is>
      </c>
      <c r="L372" s="45" t="inlineStr">
        <is>
          <t>Remarks on Codelco's situation</t>
        </is>
      </c>
      <c r="M372" s="45" t="inlineStr">
        <is>
          <t>copper</t>
        </is>
      </c>
      <c r="N372" s="45" t="inlineStr">
        <is>
          <t>260300;740200;740311</t>
        </is>
      </c>
      <c r="O372" s="45" t="inlineStr">
        <is>
          <t>corruption_governance;state_control_nationalization</t>
        </is>
      </c>
      <c r="P372" s="45" t="inlineStr">
        <is>
          <t>none</t>
        </is>
      </c>
      <c r="Q372" s="45" t="inlineStr">
        <is>
          <t>not_mentioned</t>
        </is>
      </c>
      <c r="R372" s="45" t="inlineStr">
        <is>
          <t>not_mentioned</t>
        </is>
      </c>
      <c r="S372" s="45" t="inlineStr">
        <is>
          <t>Codelco</t>
        </is>
      </c>
      <c r="T372" s="45" t="inlineStr">
        <is>
          <t>Kast said Codelco is important but needs to put its house in order, adding that its problems were a long-running responsibility not attributable to one or two governments.</t>
        </is>
      </c>
      <c r="U372" s="45" t="inlineStr">
        <is>
          <t>Codelco sí es una empresa importante, pero hay que ordenar la casa</t>
        </is>
      </c>
      <c r="V372" s="45" t="inlineStr">
        <is>
          <t>Codelco is indeed an important company, but the house must be put in order</t>
        </is>
      </c>
      <c r="W372" s="45" t="inlineStr">
        <is>
          <t>es</t>
        </is>
      </c>
      <c r="X372" s="45" t="inlineStr">
        <is>
          <t>Energiminas</t>
        </is>
      </c>
      <c r="Y372" s="45" t="inlineStr">
        <is>
          <t>https://energiminas.com/2026/08/27/presidente-chileno-sobre-codelco-hay-que-ordenar-la-casa/</t>
        </is>
      </c>
      <c r="Z372" s="45" t="inlineStr">
        <is>
          <t>news_media</t>
        </is>
      </c>
      <c r="AA372" s="45" t="inlineStr">
        <is>
          <t>secondary_reported</t>
        </is>
      </c>
      <c r="AB372" s="45" t="inlineStr"/>
      <c r="AC372" s="45" t="inlineStr">
        <is>
          <t>CHL</t>
        </is>
      </c>
    </row>
    <row r="373" ht="15" customHeight="1" s="24">
      <c r="A373" s="45" t="inlineStr">
        <is>
          <t>PS-0372</t>
        </is>
      </c>
      <c r="B373" s="45" t="inlineStr">
        <is>
          <t>2026-09</t>
        </is>
      </c>
      <c r="C373" s="45" t="inlineStr">
        <is>
          <t>2026</t>
        </is>
      </c>
      <c r="D373" s="45" t="inlineStr">
        <is>
          <t>CHL</t>
        </is>
      </c>
      <c r="E373" s="45" t="inlineStr">
        <is>
          <t>Álvaro González Gorroño</t>
        </is>
      </c>
      <c r="F373" s="45" t="inlineStr">
        <is>
          <t>Undersecretary of Mining</t>
        </is>
      </c>
      <c r="G373" s="45" t="inlineStr">
        <is>
          <t>other_executive</t>
        </is>
      </c>
      <c r="H373" s="45" t="inlineStr">
        <is>
          <t>LatAm executive</t>
        </is>
      </c>
      <c r="I373" s="45" t="inlineStr">
        <is>
          <t>CHL</t>
        </is>
      </c>
      <c r="J373" s="45" t="inlineStr">
        <is>
          <t>Independent (Kast government)</t>
        </is>
      </c>
      <c r="K373" s="45" t="inlineStr">
        <is>
          <t>legislative_debate</t>
        </is>
      </c>
      <c r="L373" s="45" t="inlineStr">
        <is>
          <t>Government plans for rare earths in Biobío, Ñuble and Maule</t>
        </is>
      </c>
      <c r="M373" s="45" t="inlineStr">
        <is>
          <t>rare_earths</t>
        </is>
      </c>
      <c r="N373" s="45" t="inlineStr">
        <is>
          <t>284690</t>
        </is>
      </c>
      <c r="O373" s="45" t="inlineStr">
        <is>
          <t>value_added_industrialization;processing_refining;foreign_investment</t>
        </is>
      </c>
      <c r="P373" s="45" t="inlineStr">
        <is>
          <t>none</t>
        </is>
      </c>
      <c r="Q373" s="45" t="inlineStr">
        <is>
          <t>not_mentioned</t>
        </is>
      </c>
      <c r="R373" s="45" t="inlineStr">
        <is>
          <t>not_mentioned</t>
        </is>
      </c>
      <c r="S373" s="45" t="inlineStr">
        <is>
          <t>Aclara; CAP; Penco Module</t>
        </is>
      </c>
      <c r="T373" s="45" t="inlineStr">
        <is>
          <t>The undersecretary described rare earths as a regional development opportunity, citing Biobío's ports, industry and universities, as the government seeks to move from extraction to separation and processing.</t>
        </is>
      </c>
      <c r="U373" s="45" t="inlineStr">
        <is>
          <t>una oportunidad de desarrollo regional</t>
        </is>
      </c>
      <c r="V373" s="45" t="inlineStr">
        <is>
          <t>a regional development opportunity</t>
        </is>
      </c>
      <c r="W373" s="45" t="inlineStr">
        <is>
          <t>es</t>
        </is>
      </c>
      <c r="X373" s="45" t="inlineStr">
        <is>
          <t>El Desconcierto</t>
        </is>
      </c>
      <c r="Y373" s="45" t="inlineStr">
        <is>
          <t>https://eldesconcierto.cl/actualidad/gobierno-impulsa-proyectos-tierras-raras-biobio-nuble-y-maule-mientras-crecen-las-concesiones-n5462197</t>
        </is>
      </c>
      <c r="Z373" s="45" t="inlineStr">
        <is>
          <t>news_media</t>
        </is>
      </c>
      <c r="AA373" s="45" t="inlineStr">
        <is>
          <t>secondary_reported</t>
        </is>
      </c>
      <c r="AB373" s="45" t="inlineStr">
        <is>
          <t>Article 11 Sep 2026; biminister Mas presented plans to Chamber on 9 Sep; exact date of González remark unclear</t>
        </is>
      </c>
      <c r="AC373" s="45" t="inlineStr">
        <is>
          <t>CHL</t>
        </is>
      </c>
    </row>
    <row r="374" ht="15" customHeight="1" s="24">
      <c r="A374" s="45" t="inlineStr">
        <is>
          <t>PS-0373</t>
        </is>
      </c>
      <c r="B374" s="45" t="inlineStr">
        <is>
          <t>2026-09</t>
        </is>
      </c>
      <c r="C374" s="45" t="inlineStr">
        <is>
          <t>2026</t>
        </is>
      </c>
      <c r="D374" s="45" t="inlineStr">
        <is>
          <t>COL</t>
        </is>
      </c>
      <c r="E374" s="45" t="inlineStr">
        <is>
          <t>Zhu Jingyang</t>
        </is>
      </c>
      <c r="F374" s="45" t="inlineStr">
        <is>
          <t>Chinese Ambassador to Colombia</t>
        </is>
      </c>
      <c r="G374" s="45" t="inlineStr">
        <is>
          <t>china_embassy</t>
        </is>
      </c>
      <c r="H374" s="45" t="inlineStr">
        <is>
          <t>China</t>
        </is>
      </c>
      <c r="I374" s="45" t="inlineStr">
        <is>
          <t>CHN</t>
        </is>
      </c>
      <c r="J374" s="45" t="inlineStr">
        <is>
          <t>CCP</t>
        </is>
      </c>
      <c r="K374" s="45" t="inlineStr">
        <is>
          <t>speech</t>
        </is>
      </c>
      <c r="L374" s="45" t="inlineStr">
        <is>
          <t>Remarks to Colombian exporters around Rubio's minerals visit</t>
        </is>
      </c>
      <c r="M374" s="45" t="inlineStr">
        <is>
          <t>critical_minerals_general</t>
        </is>
      </c>
      <c r="N374" s="45" t="inlineStr"/>
      <c r="O374" s="45" t="inlineStr">
        <is>
          <t>diplomatic_relations;geopolitics_security</t>
        </is>
      </c>
      <c r="P374" s="45" t="inlineStr">
        <is>
          <t>COL;USA</t>
        </is>
      </c>
      <c r="Q374" s="45" t="inlineStr">
        <is>
          <t>positive</t>
        </is>
      </c>
      <c r="R374" s="45" t="inlineStr">
        <is>
          <t>neutral</t>
        </is>
      </c>
      <c r="S374" s="45" t="inlineStr"/>
      <c r="T374" s="45" t="inlineStr">
        <is>
          <t>The Chinese ambassador told Colombian exporters that bilateral cooperation depends on Colombia's China policy and on it handling relations with the US and China in a balanced way.</t>
        </is>
      </c>
      <c r="U374" s="45" t="inlineStr">
        <is>
          <t>Everything depends on Colombian policy towards China, on how we manage to maintain this pragmatic spirit of continuing to work together</t>
        </is>
      </c>
      <c r="V374" s="45" t="inlineStr">
        <is>
          <t>Everything depends on Colombian policy towards China, on how we manage to maintain this pragmatic spirit of continuing to work together</t>
        </is>
      </c>
      <c r="W374" s="45" t="inlineStr">
        <is>
          <t>en</t>
        </is>
      </c>
      <c r="X374" s="45" t="inlineStr">
        <is>
          <t>The Star (Reuters)</t>
        </is>
      </c>
      <c r="Y374" s="45" t="inlineStr">
        <is>
          <t>https://www.thestar.com.my/aseanplus/aseanplus-news/2026/09/12/us-secretary-of-state-rubio-arrives-in-colombia-to-clarify-china-ties-sign-minerals-deal</t>
        </is>
      </c>
      <c r="Z374" s="45" t="inlineStr">
        <is>
          <t>news_media</t>
        </is>
      </c>
      <c r="AA374" s="45" t="inlineStr">
        <is>
          <t>secondary_reported</t>
        </is>
      </c>
      <c r="AB374" s="45" t="inlineStr">
        <is>
          <t>Quote is English translation as published; not explicitly about minerals but made in context of US minerals deal. Exact date unknown.</t>
        </is>
      </c>
      <c r="AC374" s="45" t="inlineStr">
        <is>
          <t>COL_ECU_PAN</t>
        </is>
      </c>
    </row>
    <row r="375" ht="15" customHeight="1" s="24">
      <c r="A375" s="45" t="inlineStr">
        <is>
          <t>PS-0374</t>
        </is>
      </c>
      <c r="B375" s="45" t="inlineStr">
        <is>
          <t>2026-09-02</t>
        </is>
      </c>
      <c r="C375" s="45" t="inlineStr">
        <is>
          <t>2026</t>
        </is>
      </c>
      <c r="D375" s="45" t="inlineStr">
        <is>
          <t>BRA</t>
        </is>
      </c>
      <c r="E375" s="45" t="inlineStr">
        <is>
          <t>Eduardo Braga</t>
        </is>
      </c>
      <c r="F375" s="45" t="inlineStr">
        <is>
          <t>Senator (MDB-AM), rapporteur of PL 2780/2024</t>
        </is>
      </c>
      <c r="G375" s="45" t="inlineStr">
        <is>
          <t>legislator</t>
        </is>
      </c>
      <c r="H375" s="45" t="inlineStr">
        <is>
          <t>LatAm legislature</t>
        </is>
      </c>
      <c r="I375" s="45" t="inlineStr">
        <is>
          <t>BRA</t>
        </is>
      </c>
      <c r="J375" s="45" t="inlineStr">
        <is>
          <t>MDB</t>
        </is>
      </c>
      <c r="K375" s="45" t="inlineStr">
        <is>
          <t>legislative_debate</t>
        </is>
      </c>
      <c r="L375" s="45" t="inlineStr">
        <is>
          <t>Senate floor vote on critical minerals policy</t>
        </is>
      </c>
      <c r="M375" s="45" t="inlineStr">
        <is>
          <t>critical_minerals_general;rare_earths</t>
        </is>
      </c>
      <c r="N375" s="45" t="inlineStr">
        <is>
          <t>284690</t>
        </is>
      </c>
      <c r="O375" s="45" t="inlineStr">
        <is>
          <t>value_added_industrialization;technology_transfer</t>
        </is>
      </c>
      <c r="P375" s="45" t="inlineStr">
        <is>
          <t>none</t>
        </is>
      </c>
      <c r="Q375" s="45" t="inlineStr">
        <is>
          <t>not_mentioned</t>
        </is>
      </c>
      <c r="R375" s="45" t="inlineStr">
        <is>
          <t>not_mentioned</t>
        </is>
      </c>
      <c r="S375" s="45" t="inlineStr">
        <is>
          <t>PL 2780/2024</t>
        </is>
      </c>
      <c r="T375" s="45" t="inlineStr">
        <is>
          <t>As rapporteur, Braga recommended approval of the critical minerals bill, arguing the Senate was dealing with perhaps the most strategic issue for advancing industry 4.0 and 5.0.</t>
        </is>
      </c>
      <c r="U375" s="45" t="inlineStr"/>
      <c r="V375" s="45" t="inlineStr"/>
      <c r="W375" s="45" t="inlineStr">
        <is>
          <t>pt</t>
        </is>
      </c>
      <c r="X375" s="45" t="inlineStr">
        <is>
          <t>Mais Goiás</t>
        </is>
      </c>
      <c r="Y375" s="45" t="inlineStr">
        <is>
          <t>https://www.maisgoias.com.br/politica/senado-aprova-projeto-de-lei-que-regulamenta-exploracao-de-terras-raras-no-brasil/</t>
        </is>
      </c>
      <c r="Z375" s="45" t="inlineStr">
        <is>
          <t>news_media</t>
        </is>
      </c>
      <c r="AA375" s="45" t="inlineStr">
        <is>
          <t>secondary_reported</t>
        </is>
      </c>
      <c r="AB375" s="45" t="inlineStr">
        <is>
          <t>Quote seen only in translation; left empty</t>
        </is>
      </c>
      <c r="AC375" s="45" t="inlineStr">
        <is>
          <t>BRA</t>
        </is>
      </c>
    </row>
    <row r="376" ht="15" customHeight="1" s="24">
      <c r="A376" s="45" t="inlineStr">
        <is>
          <t>PS-0375</t>
        </is>
      </c>
      <c r="B376" s="45" t="inlineStr">
        <is>
          <t>2026-09-02</t>
        </is>
      </c>
      <c r="C376" s="45" t="inlineStr">
        <is>
          <t>2026</t>
        </is>
      </c>
      <c r="D376" s="45" t="inlineStr">
        <is>
          <t>BRA</t>
        </is>
      </c>
      <c r="E376" s="45" t="inlineStr">
        <is>
          <t>Hugo Motta</t>
        </is>
      </c>
      <c r="F376" s="45" t="inlineStr">
        <is>
          <t>President of the Chamber of Deputies</t>
        </is>
      </c>
      <c r="G376" s="45" t="inlineStr">
        <is>
          <t>legislator</t>
        </is>
      </c>
      <c r="H376" s="45" t="inlineStr">
        <is>
          <t>LatAm legislature</t>
        </is>
      </c>
      <c r="I376" s="45" t="inlineStr">
        <is>
          <t>BRA</t>
        </is>
      </c>
      <c r="J376" s="45" t="inlineStr">
        <is>
          <t>Republicanos</t>
        </is>
      </c>
      <c r="K376" s="45" t="inlineStr">
        <is>
          <t>official_statement</t>
        </is>
      </c>
      <c r="L376" s="45" t="inlineStr">
        <is>
          <t>Celebration of final congressional approval of critical minerals policy</t>
        </is>
      </c>
      <c r="M376" s="45" t="inlineStr">
        <is>
          <t>rare_earths;critical_minerals_general</t>
        </is>
      </c>
      <c r="N376" s="45" t="inlineStr">
        <is>
          <t>284690</t>
        </is>
      </c>
      <c r="O376" s="45" t="inlineStr">
        <is>
          <t>sovereignty;value_added_industrialization</t>
        </is>
      </c>
      <c r="P376" s="45" t="inlineStr">
        <is>
          <t>none</t>
        </is>
      </c>
      <c r="Q376" s="45" t="inlineStr">
        <is>
          <t>not_mentioned</t>
        </is>
      </c>
      <c r="R376" s="45" t="inlineStr">
        <is>
          <t>not_mentioned</t>
        </is>
      </c>
      <c r="S376" s="45" t="inlineStr">
        <is>
          <t>PL 2780/2024</t>
        </is>
      </c>
      <c r="T376" s="45" t="inlineStr">
        <is>
          <t>Motta called the Senate's approval of the critical minerals policy a victory for Brazil and its sovereignty, noting Brazil holds the world's second-largest rare earth reserves and should encourage national industry.</t>
        </is>
      </c>
      <c r="U376" s="45" t="inlineStr"/>
      <c r="V376" s="45" t="inlineStr"/>
      <c r="W376" s="45" t="inlineStr">
        <is>
          <t>pt</t>
        </is>
      </c>
      <c r="X376" s="45" t="inlineStr">
        <is>
          <t>Congresso em Foco</t>
        </is>
      </c>
      <c r="Y376" s="45" t="inlineStr">
        <is>
          <t>https://congressoemfoco.com.br/noticia/121917/lula-e-hugo-motta-comemoram-aprovacao-da-politica-de-minerais-criticos</t>
        </is>
      </c>
      <c r="Z376" s="45" t="inlineStr">
        <is>
          <t>news_media</t>
        </is>
      </c>
      <c r="AA376" s="45" t="inlineStr">
        <is>
          <t>secondary_reported</t>
        </is>
      </c>
      <c r="AB376" s="45" t="inlineStr">
        <is>
          <t>Quote seen only in translation</t>
        </is>
      </c>
      <c r="AC376" s="45" t="inlineStr">
        <is>
          <t>BRA</t>
        </is>
      </c>
    </row>
    <row r="377" ht="15" customHeight="1" s="24">
      <c r="A377" s="45" t="inlineStr">
        <is>
          <t>PS-0376</t>
        </is>
      </c>
      <c r="B377" s="45" t="inlineStr">
        <is>
          <t>2026-09-02</t>
        </is>
      </c>
      <c r="C377" s="45" t="inlineStr">
        <is>
          <t>2026</t>
        </is>
      </c>
      <c r="D377" s="45" t="inlineStr">
        <is>
          <t>BRA</t>
        </is>
      </c>
      <c r="E377" s="45" t="inlineStr">
        <is>
          <t>Luiz Inácio Lula da Silva</t>
        </is>
      </c>
      <c r="F377" s="45" t="inlineStr">
        <is>
          <t>President of Brazil</t>
        </is>
      </c>
      <c r="G377" s="45" t="inlineStr">
        <is>
          <t>head_of_state</t>
        </is>
      </c>
      <c r="H377" s="45" t="inlineStr">
        <is>
          <t>LatAm executive</t>
        </is>
      </c>
      <c r="I377" s="45" t="inlineStr">
        <is>
          <t>BRA</t>
        </is>
      </c>
      <c r="J377" s="45" t="inlineStr">
        <is>
          <t>PT</t>
        </is>
      </c>
      <c r="K377" s="45" t="inlineStr">
        <is>
          <t>official_statement</t>
        </is>
      </c>
      <c r="L377" s="45" t="inlineStr">
        <is>
          <t>Celebration of congressional approval of critical minerals policy</t>
        </is>
      </c>
      <c r="M377" s="45" t="inlineStr">
        <is>
          <t>critical_minerals_general</t>
        </is>
      </c>
      <c r="N377" s="45" t="inlineStr"/>
      <c r="O377" s="45" t="inlineStr">
        <is>
          <t>sovereignty;energy_transition;value_added_industrialization</t>
        </is>
      </c>
      <c r="P377" s="45" t="inlineStr">
        <is>
          <t>none</t>
        </is>
      </c>
      <c r="Q377" s="45" t="inlineStr">
        <is>
          <t>not_mentioned</t>
        </is>
      </c>
      <c r="R377" s="45" t="inlineStr">
        <is>
          <t>not_mentioned</t>
        </is>
      </c>
      <c r="S377" s="45" t="inlineStr">
        <is>
          <t>PL 2780/2024</t>
        </is>
      </c>
      <c r="T377" s="45" t="inlineStr">
        <is>
          <t>Lula celebrated Congress's approval of the critical minerals policy, citing rising international demand for raw materials used in phones, EV batteries and turbines, and framing it as governance and incentives for extracting, refining and industrialising minerals.</t>
        </is>
      </c>
      <c r="U377" s="45" t="inlineStr"/>
      <c r="V377" s="45" t="inlineStr"/>
      <c r="W377" s="45" t="inlineStr">
        <is>
          <t>pt</t>
        </is>
      </c>
      <c r="X377" s="45" t="inlineStr">
        <is>
          <t>Congresso em Foco</t>
        </is>
      </c>
      <c r="Y377" s="45" t="inlineStr">
        <is>
          <t>https://congressoemfoco.com.br/noticia/121917/lula-e-hugo-motta-comemoram-aprovacao-da-politica-de-minerais-criticos</t>
        </is>
      </c>
      <c r="Z377" s="45" t="inlineStr">
        <is>
          <t>news_media</t>
        </is>
      </c>
      <c r="AA377" s="45" t="inlineStr">
        <is>
          <t>secondary_reported</t>
        </is>
      </c>
      <c r="AB377" s="45" t="inlineStr">
        <is>
          <t>Distinct from 16 Sep 2026 sanction speech</t>
        </is>
      </c>
      <c r="AC377" s="45" t="inlineStr">
        <is>
          <t>BRA</t>
        </is>
      </c>
    </row>
    <row r="378" ht="15" customHeight="1" s="24">
      <c r="A378" s="45" t="inlineStr">
        <is>
          <t>PS-0377</t>
        </is>
      </c>
      <c r="B378" s="45" t="inlineStr">
        <is>
          <t>2026-09-02</t>
        </is>
      </c>
      <c r="C378" s="45" t="inlineStr">
        <is>
          <t>2026</t>
        </is>
      </c>
      <c r="D378" s="45" t="inlineStr">
        <is>
          <t>BRA</t>
        </is>
      </c>
      <c r="E378" s="45" t="inlineStr">
        <is>
          <t>Senado Federal</t>
        </is>
      </c>
      <c r="F378" s="45" t="inlineStr">
        <is>
          <t>Federal Senate of Brazil</t>
        </is>
      </c>
      <c r="G378" s="45" t="inlineStr">
        <is>
          <t>legislature_body</t>
        </is>
      </c>
      <c r="H378" s="45" t="inlineStr">
        <is>
          <t>LatAm legislature</t>
        </is>
      </c>
      <c r="I378" s="45" t="inlineStr">
        <is>
          <t>BRA</t>
        </is>
      </c>
      <c r="J378" s="45" t="inlineStr"/>
      <c r="K378" s="45" t="inlineStr">
        <is>
          <t>bill_or_law</t>
        </is>
      </c>
      <c r="L378" s="45" t="inlineStr">
        <is>
          <t>Senate floor vote on PL 2780/2024 under urgency</t>
        </is>
      </c>
      <c r="M378" s="45" t="inlineStr">
        <is>
          <t>critical_minerals_general;rare_earths</t>
        </is>
      </c>
      <c r="N378" s="45" t="inlineStr">
        <is>
          <t>284690</t>
        </is>
      </c>
      <c r="O378" s="45" t="inlineStr">
        <is>
          <t>value_added_industrialization;financing_credit;royalties_taxation;state_control_nationalization</t>
        </is>
      </c>
      <c r="P378" s="45" t="inlineStr">
        <is>
          <t>none</t>
        </is>
      </c>
      <c r="Q378" s="45" t="inlineStr">
        <is>
          <t>not_mentioned</t>
        </is>
      </c>
      <c r="R378" s="45" t="inlineStr">
        <is>
          <t>not_mentioned</t>
        </is>
      </c>
      <c r="S378" s="45" t="inlineStr">
        <is>
          <t>PL 2780/2024</t>
        </is>
      </c>
      <c r="T378" s="45" t="inlineStr">
        <is>
          <t>The Senate approved by symbolic vote, under urgency, the Chamber's text of the National Policy for Critical and Strategic Minerals, including a presidential-level industrialisation council, a guarantee fund with up to R$2 billion federal participation, tax credits for domestic processing (2030-2034) and traceability rules, sending it to presidential sanction.</t>
        </is>
      </c>
      <c r="U378" s="45" t="inlineStr"/>
      <c r="V378" s="45" t="inlineStr"/>
      <c r="W378" s="45" t="inlineStr">
        <is>
          <t>pt</t>
        </is>
      </c>
      <c r="X378" s="45" t="inlineStr">
        <is>
          <t>Congresso em Foco</t>
        </is>
      </c>
      <c r="Y378" s="45" t="inlineStr">
        <is>
          <t>https://www.congressoemfoco.com.br/noticia/121911/senado-aprova-politica-de-minerais-criticos-texto-vai-a-sancao</t>
        </is>
      </c>
      <c r="Z378" s="45" t="inlineStr">
        <is>
          <t>news_media</t>
        </is>
      </c>
      <c r="AA378" s="45" t="inlineStr">
        <is>
          <t>secondary_reported</t>
        </is>
      </c>
      <c r="AB378" s="45" t="inlineStr">
        <is>
          <t>Rapporteur Eduardo Braga (MDB-AM)</t>
        </is>
      </c>
      <c r="AC378" s="45" t="inlineStr">
        <is>
          <t>BRA</t>
        </is>
      </c>
    </row>
    <row r="379" ht="15" customHeight="1" s="24">
      <c r="A379" s="45" t="inlineStr">
        <is>
          <t>PS-0378</t>
        </is>
      </c>
      <c r="B379" s="45" t="inlineStr">
        <is>
          <t>2026-09-08</t>
        </is>
      </c>
      <c r="C379" s="45" t="inlineStr">
        <is>
          <t>2026</t>
        </is>
      </c>
      <c r="D379" s="45" t="inlineStr">
        <is>
          <t>COL</t>
        </is>
      </c>
      <c r="E379" s="45" t="inlineStr">
        <is>
          <t>Abelardo de la Espriella</t>
        </is>
      </c>
      <c r="F379" s="45" t="inlineStr">
        <is>
          <t>President of Colombia</t>
        </is>
      </c>
      <c r="G379" s="45" t="inlineStr">
        <is>
          <t>head_of_state</t>
        </is>
      </c>
      <c r="H379" s="45" t="inlineStr">
        <is>
          <t>LatAm executive</t>
        </is>
      </c>
      <c r="I379" s="45" t="inlineStr">
        <is>
          <t>COL</t>
        </is>
      </c>
      <c r="J379" s="45" t="inlineStr">
        <is>
          <t>Defensores de la Patria</t>
        </is>
      </c>
      <c r="K379" s="45" t="inlineStr">
        <is>
          <t>speech</t>
        </is>
      </c>
      <c r="L379" s="45" t="inlineStr">
        <is>
          <t>Barranquilla accords with US Secretary of State Rubio</t>
        </is>
      </c>
      <c r="M379" s="45" t="inlineStr">
        <is>
          <t>critical_minerals_general</t>
        </is>
      </c>
      <c r="N379" s="45" t="inlineStr"/>
      <c r="O379" s="45" t="inlineStr">
        <is>
          <t>foreign_investment;diplomatic_relations;geopolitics_security</t>
        </is>
      </c>
      <c r="P379" s="45" t="inlineStr">
        <is>
          <t>USA</t>
        </is>
      </c>
      <c r="Q379" s="45" t="inlineStr">
        <is>
          <t>not_mentioned</t>
        </is>
      </c>
      <c r="R379" s="45" t="inlineStr">
        <is>
          <t>positive</t>
        </is>
      </c>
      <c r="S379" s="45" t="inlineStr"/>
      <c r="T379" s="45" t="inlineStr">
        <is>
          <t>De la Espriella said the agreements signed with Rubio, including the critical minerals MOU, must now become projects, investment, jobs and concrete results, and said Colombia wants to be the US's main hemispheric security partner.</t>
        </is>
      </c>
      <c r="U379" s="45" t="inlineStr">
        <is>
          <t>deben convertirse ahora en proyectos, en inversión, en empleos, cooperación, seguridad y resultados concretos</t>
        </is>
      </c>
      <c r="V379" s="45" t="inlineStr">
        <is>
          <t>they must now become projects, investment, jobs, cooperation, security and concrete results</t>
        </is>
      </c>
      <c r="W379" s="45" t="inlineStr">
        <is>
          <t>es</t>
        </is>
      </c>
      <c r="X379" s="45" t="inlineStr">
        <is>
          <t>Cambio Colombia</t>
        </is>
      </c>
      <c r="Y379" s="45" t="inlineStr">
        <is>
          <t>https://cambiocolombia.com/pais/articulo/2026/9/acuerdos-de-barranquilla-colombia-y-estados-unidos-firman-pactos-sobre-minerales-criticos-y-energia-nuclear</t>
        </is>
      </c>
      <c r="Z379" s="45" t="inlineStr">
        <is>
          <t>news_media</t>
        </is>
      </c>
      <c r="AA379" s="45" t="inlineStr">
        <is>
          <t>secondary_reported</t>
        </is>
      </c>
      <c r="AB379" s="45" t="inlineStr">
        <is>
          <t>Party label is the movement he ran under; verify.</t>
        </is>
      </c>
      <c r="AC379" s="45" t="inlineStr">
        <is>
          <t>COL_ECU_PAN</t>
        </is>
      </c>
    </row>
    <row r="380" ht="15" customHeight="1" s="24">
      <c r="A380" s="45" t="inlineStr">
        <is>
          <t>PS-0379</t>
        </is>
      </c>
      <c r="B380" s="45" t="inlineStr">
        <is>
          <t>2026-09-08</t>
        </is>
      </c>
      <c r="C380" s="45" t="inlineStr">
        <is>
          <t>2026</t>
        </is>
      </c>
      <c r="D380" s="45" t="inlineStr">
        <is>
          <t>COL</t>
        </is>
      </c>
      <c r="E380" s="45" t="inlineStr">
        <is>
          <t>Governments of Colombia and the United States (Omar Bula; Marco Rubio)</t>
        </is>
      </c>
      <c r="F380" s="45" t="inlineStr">
        <is>
          <t>Colombian Foreign Minister; US Secretary of State</t>
        </is>
      </c>
      <c r="G380" s="45" t="inlineStr">
        <is>
          <t>other</t>
        </is>
      </c>
      <c r="H380" s="45" t="inlineStr">
        <is>
          <t>Other (business, civil society, third countries)</t>
        </is>
      </c>
      <c r="I380" s="45" t="inlineStr">
        <is>
          <t>COL</t>
        </is>
      </c>
      <c r="J380" s="45" t="inlineStr"/>
      <c r="K380" s="45" t="inlineStr">
        <is>
          <t>joint_declaration_or_mou</t>
        </is>
      </c>
      <c r="L380" s="45" t="inlineStr">
        <is>
          <t>Barranquilla accords / bilateral dialogue</t>
        </is>
      </c>
      <c r="M380" s="45" t="inlineStr">
        <is>
          <t>critical_minerals_general;rare_earths;lithium;cobalt;nickel</t>
        </is>
      </c>
      <c r="N380" s="45" t="inlineStr">
        <is>
          <t>253090;260400;282520;283691;284690;720260</t>
        </is>
      </c>
      <c r="O380" s="45" t="inlineStr">
        <is>
          <t>geopolitics_security;processing_refining;trade_deals_offtake;diplomatic_relations</t>
        </is>
      </c>
      <c r="P380" s="45" t="inlineStr">
        <is>
          <t>USA;CHN</t>
        </is>
      </c>
      <c r="Q380" s="45" t="inlineStr">
        <is>
          <t>not_mentioned</t>
        </is>
      </c>
      <c r="R380" s="45" t="inlineStr">
        <is>
          <t>positive</t>
        </is>
      </c>
      <c r="S380" s="45" t="inlineStr"/>
      <c r="T380" s="45" t="inlineStr">
        <is>
          <t>Colombia and the US signed a non-binding cooperation framework on securing supply chains in the mining and processing of critical minerals and rare earths, alongside a civil nuclear MOU, framed in media as reducing dependence on China.</t>
        </is>
      </c>
      <c r="U380" s="45" t="inlineStr"/>
      <c r="V380" s="45" t="inlineStr"/>
      <c r="W380" s="45" t="inlineStr">
        <is>
          <t>es</t>
        </is>
      </c>
      <c r="X380" s="45" t="inlineStr">
        <is>
          <t>Cambio Colombia</t>
        </is>
      </c>
      <c r="Y380" s="45" t="inlineStr">
        <is>
          <t>https://cambiocolombia.com/pais/articulo/2026/9/acuerdos-de-barranquilla-colombia-y-estados-unidos-firman-pactos-sobre-minerales-criticos-y-energia-nuclear</t>
        </is>
      </c>
      <c r="Z380" s="45" t="inlineStr">
        <is>
          <t>news_media</t>
        </is>
      </c>
      <c r="AA380" s="45" t="inlineStr">
        <is>
          <t>secondary_reported</t>
        </is>
      </c>
      <c r="AB380" s="45" t="inlineStr">
        <is>
          <t>Bilateral instrument; speaker_country set to COL. Title: Marco de Cooperación para el aseguramiento de las cadenas de suministro en la minería y el procesamiento de minerales críticos y tierras raras.</t>
        </is>
      </c>
      <c r="AC380" s="45" t="inlineStr">
        <is>
          <t>COL_ECU_PAN</t>
        </is>
      </c>
    </row>
    <row r="381" ht="15" customHeight="1" s="24">
      <c r="A381" s="45" t="inlineStr">
        <is>
          <t>PS-0380</t>
        </is>
      </c>
      <c r="B381" s="45" t="inlineStr">
        <is>
          <t>2026-09-08</t>
        </is>
      </c>
      <c r="C381" s="45" t="inlineStr">
        <is>
          <t>2026</t>
        </is>
      </c>
      <c r="D381" s="45" t="inlineStr">
        <is>
          <t>COL</t>
        </is>
      </c>
      <c r="E381" s="45" t="inlineStr">
        <is>
          <t>Marco Rubio</t>
        </is>
      </c>
      <c r="F381" s="45" t="inlineStr">
        <is>
          <t>US Secretary of State</t>
        </is>
      </c>
      <c r="G381" s="45" t="inlineStr">
        <is>
          <t>us_central_gov</t>
        </is>
      </c>
      <c r="H381" s="45" t="inlineStr">
        <is>
          <t>United States</t>
        </is>
      </c>
      <c r="I381" s="45" t="inlineStr">
        <is>
          <t>USA</t>
        </is>
      </c>
      <c r="J381" s="45" t="inlineStr">
        <is>
          <t>Republican</t>
        </is>
      </c>
      <c r="K381" s="45" t="inlineStr">
        <is>
          <t>press_conference</t>
        </is>
      </c>
      <c r="L381" s="45" t="inlineStr">
        <is>
          <t>Visit to Barranquilla, signing of critical minerals MOU</t>
        </is>
      </c>
      <c r="M381" s="45" t="inlineStr">
        <is>
          <t>critical_minerals_general;rare_earths</t>
        </is>
      </c>
      <c r="N381" s="45" t="inlineStr">
        <is>
          <t>284690</t>
        </is>
      </c>
      <c r="O381" s="45" t="inlineStr">
        <is>
          <t>geopolitics_security;diplomatic_relations;trade_deals_offtake</t>
        </is>
      </c>
      <c r="P381" s="45" t="inlineStr">
        <is>
          <t>COL;CHN</t>
        </is>
      </c>
      <c r="Q381" s="45" t="inlineStr">
        <is>
          <t>negative</t>
        </is>
      </c>
      <c r="R381" s="45" t="inlineStr">
        <is>
          <t>positive</t>
        </is>
      </c>
      <c r="S381" s="45" t="inlineStr"/>
      <c r="T381" s="45" t="inlineStr">
        <is>
          <t>Rubio described a new, unprecedented stage of collaboration with Colombia, criticised the 'bad decisions' of the Petro government, and framed the minerals accord as part of a regional trend of alignment with US interests amid competition with China.</t>
        </is>
      </c>
      <c r="U381" s="45" t="inlineStr">
        <is>
          <t>It's part of a trend that you're seeing in the Western Hemisphere of alignment with US and US interests.</t>
        </is>
      </c>
      <c r="V381" s="45" t="inlineStr">
        <is>
          <t>It's part of a trend that you're seeing in the Western Hemisphere of alignment with US and US interests.</t>
        </is>
      </c>
      <c r="W381" s="45" t="inlineStr">
        <is>
          <t>en</t>
        </is>
      </c>
      <c r="X381" s="45" t="inlineStr">
        <is>
          <t>The Star (Reuters)</t>
        </is>
      </c>
      <c r="Y381" s="45" t="inlineStr">
        <is>
          <t>https://www.thestar.com.my/aseanplus/aseanplus-news/2026/09/12/us-secretary-of-state-rubio-arrives-in-colombia-to-clarify-china-ties-sign-minerals-deal</t>
        </is>
      </c>
      <c r="Z381" s="45" t="inlineStr">
        <is>
          <t>news_media</t>
        </is>
      </c>
      <c r="AA381" s="45" t="inlineStr">
        <is>
          <t>secondary_reported</t>
        </is>
      </c>
      <c r="AB381" s="45" t="inlineStr">
        <is>
          <t>English quote said around arrival; China stance inferred from framing (Emol/EFE 2026-09-09 reports 'nueva etapa de colaboración'). Exact date of quote may be 2026-09-07/08.</t>
        </is>
      </c>
      <c r="AC381" s="45" t="inlineStr">
        <is>
          <t>COL_ECU_PAN</t>
        </is>
      </c>
    </row>
    <row r="382" ht="15" customHeight="1" s="24">
      <c r="A382" s="45" t="inlineStr">
        <is>
          <t>PS-0381</t>
        </is>
      </c>
      <c r="B382" s="45" t="inlineStr">
        <is>
          <t>2026-09-08</t>
        </is>
      </c>
      <c r="C382" s="45" t="inlineStr">
        <is>
          <t>2026</t>
        </is>
      </c>
      <c r="D382" s="45" t="inlineStr">
        <is>
          <t>COL</t>
        </is>
      </c>
      <c r="E382" s="45" t="inlineStr">
        <is>
          <t>María Nohemi Arboleda</t>
        </is>
      </c>
      <c r="F382" s="45" t="inlineStr">
        <is>
          <t>Minister of Mines and Energy of Colombia</t>
        </is>
      </c>
      <c r="G382" s="45" t="inlineStr">
        <is>
          <t>minister_cabinet</t>
        </is>
      </c>
      <c r="H382" s="45" t="inlineStr">
        <is>
          <t>LatAm executive</t>
        </is>
      </c>
      <c r="I382" s="45" t="inlineStr">
        <is>
          <t>COL</t>
        </is>
      </c>
      <c r="J382" s="45" t="inlineStr">
        <is>
          <t>De la Espriella government</t>
        </is>
      </c>
      <c r="K382" s="45" t="inlineStr">
        <is>
          <t>official_statement</t>
        </is>
      </c>
      <c r="L382" s="45" t="inlineStr">
        <is>
          <t>Signing of Colombia-US strategic minerals and nuclear cooperation MOUs</t>
        </is>
      </c>
      <c r="M382" s="45" t="inlineStr">
        <is>
          <t>critical_minerals_general</t>
        </is>
      </c>
      <c r="N382" s="45" t="inlineStr"/>
      <c r="O382" s="45" t="inlineStr">
        <is>
          <t>value_added_industrialization;processing_refining;diplomatic_relations</t>
        </is>
      </c>
      <c r="P382" s="45" t="inlineStr">
        <is>
          <t>USA</t>
        </is>
      </c>
      <c r="Q382" s="45" t="inlineStr">
        <is>
          <t>not_mentioned</t>
        </is>
      </c>
      <c r="R382" s="45" t="inlineStr">
        <is>
          <t>positive</t>
        </is>
      </c>
      <c r="S382" s="45" t="inlineStr"/>
      <c r="T382" s="45" t="inlineStr">
        <is>
          <t>The minister said cooperation with the US on strategic minerals should help Colombia move beyond raw-material exports toward industry, formal jobs and regional development.</t>
        </is>
      </c>
      <c r="U382" s="45" t="inlineStr">
        <is>
          <t>Colombia no puede limitarse a exportar materias primas: tenemos que convertir nuestro potencial minero y energético en industria, empleo formal, innovación y desarrollo para las regiones.</t>
        </is>
      </c>
      <c r="V382" s="45" t="inlineStr">
        <is>
          <t>Colombia cannot limit itself to exporting raw materials: we must turn our mining and energy potential into industry, formal employment, innovation and regional development.</t>
        </is>
      </c>
      <c r="W382" s="45" t="inlineStr">
        <is>
          <t>es</t>
        </is>
      </c>
      <c r="X382" s="45" t="inlineStr">
        <is>
          <t>Ministerio de Minas y Energía de Colombia</t>
        </is>
      </c>
      <c r="Y382" s="45" t="inlineStr">
        <is>
          <t>https://www.minenergia.gov.co/es/sala-de-prensa/noticias-index/colombia-profundiza-cooperacion-con-estados-unidos-en-minerales-estrategicos-y-energia-nuclear-para-fortalecer-su-seguridad-energetica/</t>
        </is>
      </c>
      <c r="Z382" s="45" t="inlineStr">
        <is>
          <t>primary_official</t>
        </is>
      </c>
      <c r="AA382" s="45" t="inlineStr">
        <is>
          <t>primary_verified</t>
        </is>
      </c>
      <c r="AB382" s="45" t="inlineStr"/>
      <c r="AC382" s="45" t="inlineStr">
        <is>
          <t>COL_ECU_PAN</t>
        </is>
      </c>
    </row>
    <row r="383" ht="15" customHeight="1" s="24">
      <c r="A383" s="45" t="inlineStr">
        <is>
          <t>PS-0382</t>
        </is>
      </c>
      <c r="B383" s="45" t="inlineStr">
        <is>
          <t>2026-09-08</t>
        </is>
      </c>
      <c r="C383" s="45" t="inlineStr">
        <is>
          <t>2026</t>
        </is>
      </c>
      <c r="D383" s="45" t="inlineStr">
        <is>
          <t>PER</t>
        </is>
      </c>
      <c r="E383" s="45" t="inlineStr">
        <is>
          <t>Marco Rubio</t>
        </is>
      </c>
      <c r="F383" s="45" t="inlineStr">
        <is>
          <t>U.S. Secretary of State</t>
        </is>
      </c>
      <c r="G383" s="45" t="inlineStr">
        <is>
          <t>us_central_gov</t>
        </is>
      </c>
      <c r="H383" s="45" t="inlineStr">
        <is>
          <t>United States</t>
        </is>
      </c>
      <c r="I383" s="45" t="inlineStr">
        <is>
          <t>USA</t>
        </is>
      </c>
      <c r="J383" s="45" t="inlineStr">
        <is>
          <t>Republican</t>
        </is>
      </c>
      <c r="K383" s="45" t="inlineStr">
        <is>
          <t>official_statement</t>
        </is>
      </c>
      <c r="L383" s="45" t="inlineStr">
        <is>
          <t>Announcement of Lima visit; Peru joins 'Shield of the Americas'</t>
        </is>
      </c>
      <c r="M383" s="45" t="inlineStr">
        <is>
          <t>critical_minerals_general;mining_general</t>
        </is>
      </c>
      <c r="N383" s="45" t="inlineStr"/>
      <c r="O383" s="45" t="inlineStr">
        <is>
          <t>geopolitics_security;financing_credit;sovereignty;foreign_investment</t>
        </is>
      </c>
      <c r="P383" s="45" t="inlineStr">
        <is>
          <t>CHN;PER;COL;ECU</t>
        </is>
      </c>
      <c r="Q383" s="45" t="inlineStr">
        <is>
          <t>negative</t>
        </is>
      </c>
      <c r="R383" s="45" t="inlineStr">
        <is>
          <t>positive</t>
        </is>
      </c>
      <c r="S383" s="45" t="inlineStr">
        <is>
          <t>DFC</t>
        </is>
      </c>
      <c r="T383" s="45" t="inlineStr">
        <is>
          <t>Ahead of visiting Lima, Rubio said the US was welcoming Peru into the 'Shield of the Americas', cited DFC financing for Peru's mining sector after the February critical minerals MoU, and contrasted US market investment with CCP-backed projects.</t>
        </is>
      </c>
      <c r="U383" s="45" t="inlineStr">
        <is>
          <t>Estamos sincronizando esfuerzos para proteger a nuestro hemisferio de las amenazas transnacionales</t>
        </is>
      </c>
      <c r="V383" s="45" t="inlineStr">
        <is>
          <t>We are synchronizing efforts to protect our hemisphere from transnational threats</t>
        </is>
      </c>
      <c r="W383" s="45" t="inlineStr">
        <is>
          <t>es</t>
        </is>
      </c>
      <c r="X383" s="45" t="inlineStr">
        <is>
          <t>Minería &amp; Energía</t>
        </is>
      </c>
      <c r="Y383" s="45" t="inlineStr">
        <is>
          <t>https://mineriaenergia.com/?p=66730</t>
        </is>
      </c>
      <c r="Z383" s="45" t="inlineStr">
        <is>
          <t>news_media</t>
        </is>
      </c>
      <c r="AA383" s="45" t="inlineStr">
        <is>
          <t>secondary_reported</t>
        </is>
      </c>
      <c r="AB383" s="45" t="inlineStr">
        <is>
          <t>Channel may be an op-ed; Spanish quote is translation of English original</t>
        </is>
      </c>
      <c r="AC383" s="45" t="inlineStr">
        <is>
          <t>PER</t>
        </is>
      </c>
    </row>
    <row r="384" ht="15" customHeight="1" s="24">
      <c r="A384" s="45" t="inlineStr">
        <is>
          <t>PS-0383</t>
        </is>
      </c>
      <c r="B384" s="45" t="inlineStr">
        <is>
          <t>2026-09-08</t>
        </is>
      </c>
      <c r="C384" s="45" t="inlineStr">
        <is>
          <t>2026</t>
        </is>
      </c>
      <c r="D384" s="45" t="inlineStr">
        <is>
          <t>PER</t>
        </is>
      </c>
      <c r="E384" s="45" t="inlineStr">
        <is>
          <t>Marco Rubio</t>
        </is>
      </c>
      <c r="F384" s="45" t="inlineStr">
        <is>
          <t>U.S. Secretary of State</t>
        </is>
      </c>
      <c r="G384" s="45" t="inlineStr">
        <is>
          <t>us_central_gov</t>
        </is>
      </c>
      <c r="H384" s="45" t="inlineStr">
        <is>
          <t>United States</t>
        </is>
      </c>
      <c r="I384" s="45" t="inlineStr">
        <is>
          <t>USA</t>
        </is>
      </c>
      <c r="J384" s="45" t="inlineStr">
        <is>
          <t>Republican</t>
        </is>
      </c>
      <c r="K384" s="45" t="inlineStr">
        <is>
          <t>op_ed</t>
        </is>
      </c>
      <c r="L384" s="45" t="inlineStr">
        <is>
          <t>Op-ed in El Comercio ahead of visit to Lima</t>
        </is>
      </c>
      <c r="M384" s="45" t="inlineStr">
        <is>
          <t>mining_general</t>
        </is>
      </c>
      <c r="N384" s="45" t="inlineStr"/>
      <c r="O384" s="45" t="inlineStr">
        <is>
          <t>geopolitics_security;infrastructure_ports;corruption_governance</t>
        </is>
      </c>
      <c r="P384" s="45" t="inlineStr">
        <is>
          <t>CHN;PER</t>
        </is>
      </c>
      <c r="Q384" s="45" t="inlineStr">
        <is>
          <t>negative</t>
        </is>
      </c>
      <c r="R384" s="45" t="inlineStr">
        <is>
          <t>positive</t>
        </is>
      </c>
      <c r="S384" s="45" t="inlineStr">
        <is>
          <t>Chancay port; COSCO Shipping</t>
        </is>
      </c>
      <c r="T384" s="45" t="inlineStr">
        <is>
          <t>Rubio's op-ed criticized Chinese Communist Party-backed projects in Peru, alluding to Chancay, as sidestepping Peruvian regulations and threatening transparency and data security; China's embassy rebutted.</t>
        </is>
      </c>
      <c r="U384" s="45" t="inlineStr">
        <is>
          <t>Los proyectos respaldados por el Partido Comunista Chino pasan por alto los marcos legales de Perú y amenazan la transparencia y la seguridad de los datos</t>
        </is>
      </c>
      <c r="V384" s="45" t="inlineStr">
        <is>
          <t>Projects backed by the Chinese Communist Party bypass Peru's legal frameworks and threaten transparency and data security</t>
        </is>
      </c>
      <c r="W384" s="45" t="inlineStr">
        <is>
          <t>es</t>
        </is>
      </c>
      <c r="X384" s="45" t="inlineStr">
        <is>
          <t>El Universal (Colombia), citing El Comercio</t>
        </is>
      </c>
      <c r="Y384" s="45" t="inlineStr">
        <is>
          <t>https://www.eluniversal.com.co/mundo/2026/09/10/marco-rubio-cierra-su-gira-por-suramerica-con-encuentro-clave-con-keiko-fujimori/</t>
        </is>
      </c>
      <c r="Z384" s="45" t="inlineStr">
        <is>
          <t>news_media</t>
        </is>
      </c>
      <c r="AA384" s="45" t="inlineStr">
        <is>
          <t>secondary_reported</t>
        </is>
      </c>
      <c r="AB384" s="45" t="inlineStr">
        <is>
          <t>Minerals not explicit; included for China-infrastructure context of Chancay (mineral export port). Also covered by Latin Times https://www.latintimes.com/china-rubio-hands-off-chancay-peru-joins-trumps-security-shield-anyway-599177 ; publication date reported as 8 or 9 Sep 2026</t>
        </is>
      </c>
      <c r="AC384" s="45" t="inlineStr">
        <is>
          <t>USA_gov</t>
        </is>
      </c>
    </row>
    <row r="385" ht="15" customHeight="1" s="24">
      <c r="A385" s="45" t="inlineStr">
        <is>
          <t>PS-0384</t>
        </is>
      </c>
      <c r="B385" s="45" t="inlineStr">
        <is>
          <t>2026-09-09</t>
        </is>
      </c>
      <c r="C385" s="45" t="inlineStr">
        <is>
          <t>2026</t>
        </is>
      </c>
      <c r="D385" s="45" t="inlineStr">
        <is>
          <t>COL</t>
        </is>
      </c>
      <c r="E385" s="45" t="inlineStr">
        <is>
          <t>Marco Rubio</t>
        </is>
      </c>
      <c r="F385" s="45" t="inlineStr">
        <is>
          <t>U.S. Secretary of State</t>
        </is>
      </c>
      <c r="G385" s="45" t="inlineStr">
        <is>
          <t>us_central_gov</t>
        </is>
      </c>
      <c r="H385" s="45" t="inlineStr">
        <is>
          <t>United States</t>
        </is>
      </c>
      <c r="I385" s="45" t="inlineStr">
        <is>
          <t>USA</t>
        </is>
      </c>
      <c r="J385" s="45" t="inlineStr">
        <is>
          <t>Republican</t>
        </is>
      </c>
      <c r="K385" s="45" t="inlineStr">
        <is>
          <t>joint_declaration_or_mou</t>
        </is>
      </c>
      <c r="L385" s="45" t="inlineStr">
        <is>
          <t>Rubio visit to Barranquilla; Barranquilla Agreements with President Abelardo de la Espriella</t>
        </is>
      </c>
      <c r="M385" s="45" t="inlineStr">
        <is>
          <t>critical_minerals_general;rare_earths;nickel;copper</t>
        </is>
      </c>
      <c r="N385" s="45" t="inlineStr">
        <is>
          <t>260300;260400;284690;720260;740200;740311</t>
        </is>
      </c>
      <c r="O385" s="45" t="inlineStr">
        <is>
          <t>trade_deals_offtake;financing_credit;processing_refining;geopolitics_security</t>
        </is>
      </c>
      <c r="P385" s="45" t="inlineStr">
        <is>
          <t>COL;CHN</t>
        </is>
      </c>
      <c r="Q385" s="45" t="inlineStr">
        <is>
          <t>negative</t>
        </is>
      </c>
      <c r="R385" s="45" t="inlineStr">
        <is>
          <t>positive</t>
        </is>
      </c>
      <c r="S385" s="45" t="inlineStr">
        <is>
          <t>Barranquilla Agreements</t>
        </is>
      </c>
      <c r="T385" s="45" t="inlineStr">
        <is>
          <t>Rubio and FM Omar Bula signed a critical minerals framework to identify and finance mining and processing projects within six months with US guarantees, loans, equity and insurance, plus price floors and security reviews of mineral asset sales; the trip also sought to clarify Colombia's China ties.</t>
        </is>
      </c>
      <c r="U385" s="45" t="inlineStr">
        <is>
          <t>It's part of a trend that you're seeing in the Western Hemisphere of alignment with US and US interests.</t>
        </is>
      </c>
      <c r="V385" s="45" t="inlineStr">
        <is>
          <t>It's part of a trend that you're seeing in the Western Hemisphere of alignment with US and US interests.</t>
        </is>
      </c>
      <c r="W385" s="45" t="inlineStr">
        <is>
          <t>en</t>
        </is>
      </c>
      <c r="X385" s="45" t="inlineStr">
        <is>
          <t>AS/COA; The Star (Reuters); NewKerala</t>
        </is>
      </c>
      <c r="Y385" s="45" t="inlineStr">
        <is>
          <t>https://www.as-coa.org/articles/trump-latin-america-rubio-courts-allies-colombia-ecuador-and-peru</t>
        </is>
      </c>
      <c r="Z385" s="45" t="inlineStr">
        <is>
          <t>news_media</t>
        </is>
      </c>
      <c r="AA385" s="45" t="inlineStr">
        <is>
          <t>secondary_reported</t>
        </is>
      </c>
      <c r="AB385" s="45" t="inlineStr">
        <is>
          <t>Quote from The Star/Reuters https://www.thestar.com.my/aseanplus/aseanplus-news/2026/09/12/us-secretary-of-state-rubio-arrives-in-colombia-to-clarify-china-ties-sign-minerals-deal ; signing reported 8-9 Sep 2026</t>
        </is>
      </c>
      <c r="AC385" s="45" t="inlineStr">
        <is>
          <t>USA_gov</t>
        </is>
      </c>
    </row>
    <row r="386" ht="15" customHeight="1" s="24">
      <c r="A386" s="45" t="inlineStr">
        <is>
          <t>PS-0385</t>
        </is>
      </c>
      <c r="B386" s="45" t="inlineStr">
        <is>
          <t>2026-09-09</t>
        </is>
      </c>
      <c r="C386" s="45" t="inlineStr">
        <is>
          <t>2026</t>
        </is>
      </c>
      <c r="D386" s="45" t="inlineStr">
        <is>
          <t>ECU</t>
        </is>
      </c>
      <c r="E386" s="45" t="inlineStr">
        <is>
          <t>Marco Rubio</t>
        </is>
      </c>
      <c r="F386" s="45" t="inlineStr">
        <is>
          <t>U.S. Secretary of State</t>
        </is>
      </c>
      <c r="G386" s="45" t="inlineStr">
        <is>
          <t>us_central_gov</t>
        </is>
      </c>
      <c r="H386" s="45" t="inlineStr">
        <is>
          <t>United States</t>
        </is>
      </c>
      <c r="I386" s="45" t="inlineStr">
        <is>
          <t>USA</t>
        </is>
      </c>
      <c r="J386" s="45" t="inlineStr">
        <is>
          <t>Republican</t>
        </is>
      </c>
      <c r="K386" s="45" t="inlineStr">
        <is>
          <t>press_conference</t>
        </is>
      </c>
      <c r="L386" s="45" t="inlineStr">
        <is>
          <t>Rubio visit to Quito, meeting with President Daniel Noboa</t>
        </is>
      </c>
      <c r="M386" s="45" t="inlineStr">
        <is>
          <t>mining_general</t>
        </is>
      </c>
      <c r="N386" s="45" t="inlineStr"/>
      <c r="O386" s="45" t="inlineStr">
        <is>
          <t>geopolitics_security;corruption_governance</t>
        </is>
      </c>
      <c r="P386" s="45" t="inlineStr">
        <is>
          <t>ECU</t>
        </is>
      </c>
      <c r="Q386" s="45" t="inlineStr">
        <is>
          <t>not_mentioned</t>
        </is>
      </c>
      <c r="R386" s="45" t="inlineStr">
        <is>
          <t>positive</t>
        </is>
      </c>
      <c r="S386" s="45" t="inlineStr">
        <is>
          <t>Los Tiguerones</t>
        </is>
      </c>
      <c r="T386" s="45" t="inlineStr">
        <is>
          <t>During his Quito visit, Rubio announced security assistance including US$10 million to combat illegal mining in Ecuador.</t>
        </is>
      </c>
      <c r="U386" s="45" t="inlineStr">
        <is>
          <t>USD 10 millones a combatir la minería ilícita</t>
        </is>
      </c>
      <c r="V386" s="45" t="inlineStr">
        <is>
          <t>USD 10 million to combat illegal mining</t>
        </is>
      </c>
      <c r="W386" s="45" t="inlineStr">
        <is>
          <t>es</t>
        </is>
      </c>
      <c r="X386" s="45" t="inlineStr">
        <is>
          <t>Primicias</t>
        </is>
      </c>
      <c r="Y386" s="45" t="inlineStr">
        <is>
          <t>https://www.primicias.ec/politica/visita-marco-rubio-ecuador-2026-reunion-daniel-noboa-quito-132180/</t>
        </is>
      </c>
      <c r="Z386" s="45" t="inlineStr">
        <is>
          <t>news_media</t>
        </is>
      </c>
      <c r="AA386" s="45" t="inlineStr">
        <is>
          <t>secondary_reported</t>
        </is>
      </c>
      <c r="AB386" s="45" t="inlineStr">
        <is>
          <t>Quote is outlet's phrasing, not necessarily Rubio's words</t>
        </is>
      </c>
      <c r="AC386" s="45" t="inlineStr">
        <is>
          <t>USA_gov</t>
        </is>
      </c>
    </row>
    <row r="387" ht="15" customHeight="1" s="24">
      <c r="A387" s="45" t="inlineStr">
        <is>
          <t>PS-0386</t>
        </is>
      </c>
      <c r="B387" s="45" t="inlineStr">
        <is>
          <t>2026-09-09</t>
        </is>
      </c>
      <c r="C387" s="45" t="inlineStr">
        <is>
          <t>2026</t>
        </is>
      </c>
      <c r="D387" s="45" t="inlineStr">
        <is>
          <t>PER</t>
        </is>
      </c>
      <c r="E387" s="45" t="inlineStr">
        <is>
          <t>Carlos Espá</t>
        </is>
      </c>
      <c r="F387" s="45" t="inlineStr">
        <is>
          <t>Minister of Foreign Affairs of Peru</t>
        </is>
      </c>
      <c r="G387" s="45" t="inlineStr">
        <is>
          <t>minister_cabinet</t>
        </is>
      </c>
      <c r="H387" s="45" t="inlineStr">
        <is>
          <t>LatAm executive</t>
        </is>
      </c>
      <c r="I387" s="45" t="inlineStr">
        <is>
          <t>PER</t>
        </is>
      </c>
      <c r="J387" s="45" t="inlineStr"/>
      <c r="K387" s="45" t="inlineStr">
        <is>
          <t>speech</t>
        </is>
      </c>
      <c r="L387" s="45" t="inlineStr">
        <is>
          <t>Ahead of Rubio visit; promotion of Peru as critical minerals partner</t>
        </is>
      </c>
      <c r="M387" s="45" t="inlineStr">
        <is>
          <t>critical_minerals_general;copper;molybdenum;silver;zinc;iron_ore;graphite</t>
        </is>
      </c>
      <c r="N387" s="45" t="inlineStr">
        <is>
          <t>250490;260300;260800;261310;261390;261610;710691;740200;740311</t>
        </is>
      </c>
      <c r="O387" s="45" t="inlineStr">
        <is>
          <t>value_added_industrialization;foreign_investment;energy_transition;trade_deals_offtake</t>
        </is>
      </c>
      <c r="P387" s="45" t="inlineStr">
        <is>
          <t>USA;CAN</t>
        </is>
      </c>
      <c r="Q387" s="45" t="inlineStr">
        <is>
          <t>not_mentioned</t>
        </is>
      </c>
      <c r="R387" s="45" t="inlineStr">
        <is>
          <t>positive</t>
        </is>
      </c>
      <c r="S387" s="45" t="inlineStr"/>
      <c r="T387" s="45" t="inlineStr">
        <is>
          <t>Espá said Peru wants to be a strategic and reliable partner in value chains rather than only a mineral supplier, citing eight strategic minerals and the 2026 critical minerals MoUs with the US and Canada.</t>
        </is>
      </c>
      <c r="U387" s="45" t="inlineStr">
        <is>
          <t>El Perú no quiere ser únicamente un proveedor de minerales, quiere consolidarse como un socio estratégico y confiable para el desarrollo de cadenas de valor</t>
        </is>
      </c>
      <c r="V387" s="45" t="inlineStr">
        <is>
          <t>Peru does not want to be only a supplier of minerals; it wants to consolidate itself as a strategic and reliable partner for developing value chains</t>
        </is>
      </c>
      <c r="W387" s="45" t="inlineStr">
        <is>
          <t>es</t>
        </is>
      </c>
      <c r="X387" s="45" t="inlineStr">
        <is>
          <t>Gestión</t>
        </is>
      </c>
      <c r="Y387" s="45" t="inlineStr">
        <is>
          <t>https://gestion.pe/peru/canciller-carlos-espa-peru-busca-posicionarse-como-socio-estrategico-en-minerales-criticos-y-atraer-inversion-de-eeuu-noticia/</t>
        </is>
      </c>
      <c r="Z387" s="45" t="inlineStr">
        <is>
          <t>news_media</t>
        </is>
      </c>
      <c r="AA387" s="45" t="inlineStr">
        <is>
          <t>secondary_reported</t>
        </is>
      </c>
      <c r="AB387" s="45" t="inlineStr">
        <is>
          <t>Also reported by Andina English</t>
        </is>
      </c>
      <c r="AC387" s="45" t="inlineStr">
        <is>
          <t>PER</t>
        </is>
      </c>
    </row>
    <row r="388" ht="15" customHeight="1" s="24">
      <c r="A388" s="45" t="inlineStr">
        <is>
          <t>PS-0387</t>
        </is>
      </c>
      <c r="B388" s="45" t="inlineStr">
        <is>
          <t>2026-09-09</t>
        </is>
      </c>
      <c r="C388" s="45" t="inlineStr">
        <is>
          <t>2026</t>
        </is>
      </c>
      <c r="D388" s="45" t="inlineStr">
        <is>
          <t>PER</t>
        </is>
      </c>
      <c r="E388" s="45" t="inlineStr">
        <is>
          <t>Embassy of the People's Republic of China in Peru</t>
        </is>
      </c>
      <c r="F388" s="45" t="inlineStr">
        <is>
          <t>Chinese Embassy in Peru</t>
        </is>
      </c>
      <c r="G388" s="45" t="inlineStr">
        <is>
          <t>china_embassy</t>
        </is>
      </c>
      <c r="H388" s="45" t="inlineStr">
        <is>
          <t>China</t>
        </is>
      </c>
      <c r="I388" s="45" t="inlineStr">
        <is>
          <t>CHN</t>
        </is>
      </c>
      <c r="J388" s="45" t="inlineStr">
        <is>
          <t>CCP</t>
        </is>
      </c>
      <c r="K388" s="45" t="inlineStr">
        <is>
          <t>social_media_post</t>
        </is>
      </c>
      <c r="L388" s="45" t="inlineStr">
        <is>
          <t>Ahead of Rubio visit to Lima</t>
        </is>
      </c>
      <c r="M388" s="45" t="inlineStr">
        <is>
          <t>copper;mining_general</t>
        </is>
      </c>
      <c r="N388" s="45" t="inlineStr">
        <is>
          <t>260300;740200;740311</t>
        </is>
      </c>
      <c r="O388" s="45" t="inlineStr">
        <is>
          <t>sovereignty;foreign_investment;geopolitics_security;diplomatic_relations</t>
        </is>
      </c>
      <c r="P388" s="45" t="inlineStr">
        <is>
          <t>USA;CHN</t>
        </is>
      </c>
      <c r="Q388" s="45" t="inlineStr">
        <is>
          <t>positive</t>
        </is>
      </c>
      <c r="R388" s="45" t="inlineStr">
        <is>
          <t>negative</t>
        </is>
      </c>
      <c r="S388" s="45" t="inlineStr">
        <is>
          <t>Puerto de Chancay</t>
        </is>
      </c>
      <c r="T388" s="45" t="inlineStr">
        <is>
          <t>In an X post before Rubio's visit, the embassy said the Western Hemisphere is no one's backyard, defended Latin America's right to choose partners, and cited over US$30 billion in Chinese investment stock in Peru.</t>
        </is>
      </c>
      <c r="U388" s="45" t="inlineStr"/>
      <c r="V388" s="45" t="inlineStr"/>
      <c r="W388" s="45" t="inlineStr">
        <is>
          <t>es</t>
        </is>
      </c>
      <c r="X388" s="45" t="inlineStr">
        <is>
          <t>La República (Colombia), citing Reuters</t>
        </is>
      </c>
      <c r="Y388" s="45" t="inlineStr">
        <is>
          <t>https://www.larepublica.co/globoeconomia/la-embajada-de-china-defiende-comercio-bilateral-con-peru-previo-a-visita-de-marco-rubio-4477861</t>
        </is>
      </c>
      <c r="Z388" s="45" t="inlineStr">
        <is>
          <t>news_media</t>
        </is>
      </c>
      <c r="AA388" s="45" t="inlineStr">
        <is>
          <t>secondary_reported</t>
        </is>
      </c>
      <c r="AB388" s="45" t="inlineStr">
        <is>
          <t>Reported phrase: the Western Hemisphere is not anyone's backyard; original Spanish wording of X post not seen, quote left empty</t>
        </is>
      </c>
      <c r="AC388" s="45" t="inlineStr">
        <is>
          <t>PER</t>
        </is>
      </c>
    </row>
    <row r="389" ht="15" customHeight="1" s="24">
      <c r="A389" s="45" t="inlineStr">
        <is>
          <t>PS-0388</t>
        </is>
      </c>
      <c r="B389" s="45" t="inlineStr">
        <is>
          <t>2026-09-16</t>
        </is>
      </c>
      <c r="C389" s="45" t="inlineStr">
        <is>
          <t>2026</t>
        </is>
      </c>
      <c r="D389" s="45" t="inlineStr">
        <is>
          <t>BRA</t>
        </is>
      </c>
      <c r="E389" s="45" t="inlineStr">
        <is>
          <t>Luiz Inácio Lula da Silva</t>
        </is>
      </c>
      <c r="F389" s="45" t="inlineStr">
        <is>
          <t>President of Brazil</t>
        </is>
      </c>
      <c r="G389" s="45" t="inlineStr">
        <is>
          <t>head_of_state</t>
        </is>
      </c>
      <c r="H389" s="45" t="inlineStr">
        <is>
          <t>LatAm executive</t>
        </is>
      </c>
      <c r="I389" s="45" t="inlineStr">
        <is>
          <t>BRA</t>
        </is>
      </c>
      <c r="J389" s="45" t="inlineStr">
        <is>
          <t>PT</t>
        </is>
      </c>
      <c r="K389" s="45" t="inlineStr">
        <is>
          <t>speech</t>
        </is>
      </c>
      <c r="L389" s="45" t="inlineStr">
        <is>
          <t>Signing of the law creating the National Policy for Critical and Strategic Minerals, Palácio do Planalto</t>
        </is>
      </c>
      <c r="M389" s="45" t="inlineStr">
        <is>
          <t>critical_minerals_general;rare_earths;iron_ore</t>
        </is>
      </c>
      <c r="N389" s="45" t="inlineStr">
        <is>
          <t>284690</t>
        </is>
      </c>
      <c r="O389" s="45" t="inlineStr">
        <is>
          <t>sovereignty;value_added_industrialization;geopolitics_security</t>
        </is>
      </c>
      <c r="P389" s="45" t="inlineStr">
        <is>
          <t>USA</t>
        </is>
      </c>
      <c r="Q389" s="45" t="inlineStr">
        <is>
          <t>not_mentioned</t>
        </is>
      </c>
      <c r="R389" s="45" t="inlineStr">
        <is>
          <t>negative</t>
        </is>
      </c>
      <c r="S389" s="45" t="inlineStr"/>
      <c r="T389" s="45" t="inlineStr">
        <is>
          <t>At the signing ceremony of the critical minerals law, Lula said Brazil will never again be anyone's colony and accused domestic adversaries ('traitors to the homeland') of having promised to hand over raw critical minerals and rare earths to the US at 'banana prices'.</t>
        </is>
      </c>
      <c r="U389" s="45" t="inlineStr">
        <is>
          <t>Prometeram entregar os minerais críticos e as terras raras, em estado bruto, a preço de banana, como aconteceu no passado com o nosso minério de ferro</t>
        </is>
      </c>
      <c r="V389" s="45" t="inlineStr">
        <is>
          <t>They promised to hand over critical minerals and rare earths, in raw form, at banana prices, as happened in the past with our iron ore</t>
        </is>
      </c>
      <c r="W389" s="45" t="inlineStr">
        <is>
          <t>pt</t>
        </is>
      </c>
      <c r="X389" s="45" t="inlineStr">
        <is>
          <t>Itatiaia</t>
        </is>
      </c>
      <c r="Y389" s="45" t="inlineStr">
        <is>
          <t>https://www.itatiaia.com.br/politica/lula-defende-soberania-e-critica-adversarios-que-negociaram-terras-raras-a-preco-de-banana</t>
        </is>
      </c>
      <c r="Z389" s="45" t="inlineStr">
        <is>
          <t>news_media</t>
        </is>
      </c>
      <c r="AA389" s="45" t="inlineStr">
        <is>
          <t>secondary_reported</t>
        </is>
      </c>
      <c r="AB389" s="45" t="inlineStr">
        <is>
          <t>Election campaign period (Oct 2026 election); criticism aimed at opposition figures</t>
        </is>
      </c>
      <c r="AC389" s="45" t="inlineStr">
        <is>
          <t>BRA</t>
        </is>
      </c>
    </row>
    <row r="390" ht="15" customHeight="1" s="24">
      <c r="A390" s="45" t="inlineStr">
        <is>
          <t>PS-0389</t>
        </is>
      </c>
      <c r="B390" s="45" t="inlineStr">
        <is>
          <t>2026-09-25</t>
        </is>
      </c>
      <c r="C390" s="45" t="inlineStr">
        <is>
          <t>2026</t>
        </is>
      </c>
      <c r="D390" s="45" t="inlineStr">
        <is>
          <t>PER</t>
        </is>
      </c>
      <c r="E390" s="45" t="inlineStr">
        <is>
          <t>Guillermo Shinno</t>
        </is>
      </c>
      <c r="F390" s="45" t="inlineStr">
        <is>
          <t>Minister of Energy and Mines of Peru</t>
        </is>
      </c>
      <c r="G390" s="45" t="inlineStr">
        <is>
          <t>minister_cabinet</t>
        </is>
      </c>
      <c r="H390" s="45" t="inlineStr">
        <is>
          <t>LatAm executive</t>
        </is>
      </c>
      <c r="I390" s="45" t="inlineStr">
        <is>
          <t>PER</t>
        </is>
      </c>
      <c r="J390" s="45" t="inlineStr"/>
      <c r="K390" s="45" t="inlineStr">
        <is>
          <t>interview</t>
        </is>
      </c>
      <c r="L390" s="45" t="inlineStr">
        <is>
          <t>After Rubio visit; Chinese and US firms seeking copper projects</t>
        </is>
      </c>
      <c r="M390" s="45" t="inlineStr">
        <is>
          <t>copper</t>
        </is>
      </c>
      <c r="N390" s="45" t="inlineStr">
        <is>
          <t>260300;740200;740311</t>
        </is>
      </c>
      <c r="O390" s="45" t="inlineStr">
        <is>
          <t>foreign_investment;environment_water;corruption_governance</t>
        </is>
      </c>
      <c r="P390" s="45" t="inlineStr">
        <is>
          <t>USA;CHN</t>
        </is>
      </c>
      <c r="Q390" s="45" t="inlineStr">
        <is>
          <t>not_mentioned</t>
        </is>
      </c>
      <c r="R390" s="45" t="inlineStr">
        <is>
          <t>positive</t>
        </is>
      </c>
      <c r="S390" s="45" t="inlineStr"/>
      <c r="T390" s="45" t="inlineStr">
        <is>
          <t>Shinno said interest from investors is enormous, that new projects could add a million tonnes of annual copper output in five to six years, that 27 permits could be eliminated without lowering environmental standards, and that he hoped more US companies would come.</t>
        </is>
      </c>
      <c r="U390" s="45" t="inlineStr">
        <is>
          <t>We hope that more American companies will be encouraged to come.</t>
        </is>
      </c>
      <c r="V390" s="45" t="inlineStr">
        <is>
          <t>We hope that more American companies will be encouraged to come.</t>
        </is>
      </c>
      <c r="W390" s="45" t="inlineStr">
        <is>
          <t>en</t>
        </is>
      </c>
      <c r="X390" s="45" t="inlineStr">
        <is>
          <t>Reuters via KFGO</t>
        </is>
      </c>
      <c r="Y390" s="45" t="inlineStr">
        <is>
          <t>https://kfgo.com/?p=1356419</t>
        </is>
      </c>
      <c r="Z390" s="45" t="inlineStr">
        <is>
          <t>news_media</t>
        </is>
      </c>
      <c r="AA390" s="45" t="inlineStr">
        <is>
          <t>secondary_reported</t>
        </is>
      </c>
      <c r="AB390" s="45" t="inlineStr">
        <is>
          <t>English translation of Spanish interview</t>
        </is>
      </c>
      <c r="AC390" s="45" t="inlineStr">
        <is>
          <t>PER</t>
        </is>
      </c>
    </row>
    <row r="391" ht="15" customHeight="1" s="24">
      <c r="A391" s="45" t="inlineStr">
        <is>
          <t>PS-0390</t>
        </is>
      </c>
      <c r="B391" s="45" t="inlineStr">
        <is>
          <t>2026-09-30</t>
        </is>
      </c>
      <c r="C391" s="45" t="inlineStr">
        <is>
          <t>2026</t>
        </is>
      </c>
      <c r="D391" s="45" t="inlineStr">
        <is>
          <t>PAN</t>
        </is>
      </c>
      <c r="E391" s="45" t="inlineStr">
        <is>
          <t>Felipe Chapman</t>
        </is>
      </c>
      <c r="F391" s="45" t="inlineStr">
        <is>
          <t>Minister of Economy and Finance of Panama</t>
        </is>
      </c>
      <c r="G391" s="45" t="inlineStr">
        <is>
          <t>minister_cabinet</t>
        </is>
      </c>
      <c r="H391" s="45" t="inlineStr">
        <is>
          <t>LatAm executive</t>
        </is>
      </c>
      <c r="I391" s="45" t="inlineStr">
        <is>
          <t>PAN</t>
        </is>
      </c>
      <c r="J391" s="45" t="inlineStr">
        <is>
          <t>Mulino government</t>
        </is>
      </c>
      <c r="K391" s="45" t="inlineStr">
        <is>
          <t>official_statement</t>
        </is>
      </c>
      <c r="L391" s="45" t="inlineStr">
        <is>
          <t>Delivery of Interministerial Commission final report on Cobre Panamá site</t>
        </is>
      </c>
      <c r="M391" s="45" t="inlineStr">
        <is>
          <t>copper</t>
        </is>
      </c>
      <c r="N391" s="45" t="inlineStr">
        <is>
          <t>260300;740200;740311</t>
        </is>
      </c>
      <c r="O391" s="45" t="inlineStr">
        <is>
          <t>royalties_taxation;financing_credit</t>
        </is>
      </c>
      <c r="P391" s="45" t="inlineStr">
        <is>
          <t>none</t>
        </is>
      </c>
      <c r="Q391" s="45" t="inlineStr">
        <is>
          <t>not_mentioned</t>
        </is>
      </c>
      <c r="R391" s="45" t="inlineStr">
        <is>
          <t>not_mentioned</t>
        </is>
      </c>
      <c r="S391" s="45" t="inlineStr">
        <is>
          <t>Cobre Panamá</t>
        </is>
      </c>
      <c r="T391" s="45" t="inlineStr">
        <is>
          <t>Chapman said any solution for the Cobre Panamá site must cost the state budget nothing.</t>
        </is>
      </c>
      <c r="U391" s="45" t="inlineStr">
        <is>
          <t>Cero es lo que debe costar al Presupuesto General del Estado.</t>
        </is>
      </c>
      <c r="V391" s="45" t="inlineStr">
        <is>
          <t>Zero is what it must cost the General State Budget.</t>
        </is>
      </c>
      <c r="W391" s="45" t="inlineStr">
        <is>
          <t>es</t>
        </is>
      </c>
      <c r="X391" s="45" t="inlineStr">
        <is>
          <t>Presidencia de la República de Panamá</t>
        </is>
      </c>
      <c r="Y391" s="45" t="inlineStr">
        <is>
          <t>https://www.presidencia.gob.pa/publicacion/la-comision-interministerial-entrego-al-presidente-de-la-republica-el-informe-final-sobre-el-sitio-minero-cobre-panama-y-el-documento-se-publico-el-mismo-dia</t>
        </is>
      </c>
      <c r="Z391" s="45" t="inlineStr">
        <is>
          <t>primary_official</t>
        </is>
      </c>
      <c r="AA391" s="45" t="inlineStr">
        <is>
          <t>primary_verified</t>
        </is>
      </c>
      <c r="AB391" s="45" t="inlineStr"/>
      <c r="AC391" s="45" t="inlineStr">
        <is>
          <t>COL_ECU_PAN</t>
        </is>
      </c>
    </row>
    <row r="392" ht="15" customHeight="1" s="24">
      <c r="A392" s="45" t="inlineStr">
        <is>
          <t>PS-0391</t>
        </is>
      </c>
      <c r="B392" s="45" t="inlineStr">
        <is>
          <t>2026-09-30</t>
        </is>
      </c>
      <c r="C392" s="45" t="inlineStr">
        <is>
          <t>2026</t>
        </is>
      </c>
      <c r="D392" s="45" t="inlineStr">
        <is>
          <t>PAN</t>
        </is>
      </c>
      <c r="E392" s="45" t="inlineStr">
        <is>
          <t>José Raúl Mulino</t>
        </is>
      </c>
      <c r="F392" s="45" t="inlineStr">
        <is>
          <t>President of Panama</t>
        </is>
      </c>
      <c r="G392" s="45" t="inlineStr">
        <is>
          <t>head_of_state</t>
        </is>
      </c>
      <c r="H392" s="45" t="inlineStr">
        <is>
          <t>LatAm executive</t>
        </is>
      </c>
      <c r="I392" s="45" t="inlineStr">
        <is>
          <t>PAN</t>
        </is>
      </c>
      <c r="J392" s="45" t="inlineStr">
        <is>
          <t>Realizando Metas</t>
        </is>
      </c>
      <c r="K392" s="45" t="inlineStr">
        <is>
          <t>official_statement</t>
        </is>
      </c>
      <c r="L392" s="45" t="inlineStr">
        <is>
          <t>Delivery of Interministerial Commission final report on Cobre Panamá site</t>
        </is>
      </c>
      <c r="M392" s="45" t="inlineStr">
        <is>
          <t>copper</t>
        </is>
      </c>
      <c r="N392" s="45" t="inlineStr">
        <is>
          <t>260300;740200;740311</t>
        </is>
      </c>
      <c r="O392" s="45" t="inlineStr">
        <is>
          <t>sovereignty;environment_water;royalties_taxation;corruption_governance</t>
        </is>
      </c>
      <c r="P392" s="45" t="inlineStr">
        <is>
          <t>none</t>
        </is>
      </c>
      <c r="Q392" s="45" t="inlineStr">
        <is>
          <t>not_mentioned</t>
        </is>
      </c>
      <c r="R392" s="45" t="inlineStr">
        <is>
          <t>not_mentioned</t>
        </is>
      </c>
      <c r="S392" s="45" t="inlineStr">
        <is>
          <t>Cobre Panamá</t>
        </is>
      </c>
      <c r="T392" s="45" t="inlineStr">
        <is>
          <t>Mulino received the commission's final report, set six non-negotiable criteria (respect for the Court ruling, state sovereignty over minerals, zero fiscal cost, transparency, community priority, international supervision) and said he would not rush a decision.</t>
        </is>
      </c>
      <c r="U392" s="45" t="inlineStr">
        <is>
          <t>Esos seis no se negocian. Todo lo demás se estudia.</t>
        </is>
      </c>
      <c r="V392" s="45" t="inlineStr">
        <is>
          <t>Those six are not negotiable. Everything else will be studied.</t>
        </is>
      </c>
      <c r="W392" s="45" t="inlineStr">
        <is>
          <t>es</t>
        </is>
      </c>
      <c r="X392" s="45" t="inlineStr">
        <is>
          <t>Presidencia de la República de Panamá</t>
        </is>
      </c>
      <c r="Y392" s="45" t="inlineStr">
        <is>
          <t>https://www.presidencia.gob.pa/publicacion/la-comision-interministerial-entrego-al-presidente-de-la-republica-el-informe-final-sobre-el-sitio-minero-cobre-panama-y-el-documento-se-publico-el-mismo-dia</t>
        </is>
      </c>
      <c r="Z392" s="45" t="inlineStr">
        <is>
          <t>primary_official</t>
        </is>
      </c>
      <c r="AA392" s="45" t="inlineStr">
        <is>
          <t>primary_verified</t>
        </is>
      </c>
      <c r="AB392" s="45" t="inlineStr"/>
      <c r="AC392" s="45" t="inlineStr">
        <is>
          <t>COL_ECU_PAN</t>
        </is>
      </c>
    </row>
    <row r="393" ht="15" customHeight="1" s="24">
      <c r="A393" s="45" t="inlineStr">
        <is>
          <t>PS-0392</t>
        </is>
      </c>
      <c r="B393" s="45" t="inlineStr">
        <is>
          <t>2026-09-30</t>
        </is>
      </c>
      <c r="C393" s="45" t="inlineStr">
        <is>
          <t>2026</t>
        </is>
      </c>
      <c r="D393" s="45" t="inlineStr">
        <is>
          <t>PAN</t>
        </is>
      </c>
      <c r="E393" s="45" t="inlineStr">
        <is>
          <t>Juan Carlos Navarro</t>
        </is>
      </c>
      <c r="F393" s="45" t="inlineStr">
        <is>
          <t>Minister of Environment of Panama</t>
        </is>
      </c>
      <c r="G393" s="45" t="inlineStr">
        <is>
          <t>minister_cabinet</t>
        </is>
      </c>
      <c r="H393" s="45" t="inlineStr">
        <is>
          <t>LatAm executive</t>
        </is>
      </c>
      <c r="I393" s="45" t="inlineStr">
        <is>
          <t>PAN</t>
        </is>
      </c>
      <c r="J393" s="45" t="inlineStr">
        <is>
          <t>Mulino government</t>
        </is>
      </c>
      <c r="K393" s="45" t="inlineStr">
        <is>
          <t>official_statement</t>
        </is>
      </c>
      <c r="L393" s="45" t="inlineStr">
        <is>
          <t>Delivery of Interministerial Commission final report on Cobre Panamá site</t>
        </is>
      </c>
      <c r="M393" s="45" t="inlineStr">
        <is>
          <t>copper</t>
        </is>
      </c>
      <c r="N393" s="45" t="inlineStr">
        <is>
          <t>260300;740200;740311</t>
        </is>
      </c>
      <c r="O393" s="45" t="inlineStr">
        <is>
          <t>environment_water;corruption_governance</t>
        </is>
      </c>
      <c r="P393" s="45" t="inlineStr">
        <is>
          <t>none</t>
        </is>
      </c>
      <c r="Q393" s="45" t="inlineStr">
        <is>
          <t>not_mentioned</t>
        </is>
      </c>
      <c r="R393" s="45" t="inlineStr">
        <is>
          <t>not_mentioned</t>
        </is>
      </c>
      <c r="S393" s="45" t="inlineStr">
        <is>
          <t>Cobre Panamá</t>
        </is>
      </c>
      <c r="T393" s="45" t="inlineStr">
        <is>
          <t>Navarro said inaction at the mine site is not an option and that closure must be independently verified rather than declared by the company doing the closing.</t>
        </is>
      </c>
      <c r="U393" s="45" t="inlineStr">
        <is>
          <t>Lo que está prohibido es NO HACER NADA.</t>
        </is>
      </c>
      <c r="V393" s="45" t="inlineStr">
        <is>
          <t>What is forbidden is to DO NOTHING.</t>
        </is>
      </c>
      <c r="W393" s="45" t="inlineStr">
        <is>
          <t>es</t>
        </is>
      </c>
      <c r="X393" s="45" t="inlineStr">
        <is>
          <t>Presidencia de la República de Panamá</t>
        </is>
      </c>
      <c r="Y393" s="45" t="inlineStr">
        <is>
          <t>https://www.presidencia.gob.pa/publicacion/la-comision-interministerial-entrego-al-presidente-de-la-republica-el-informe-final-sobre-el-sitio-minero-cobre-panama-y-el-documento-se-publico-el-mismo-dia</t>
        </is>
      </c>
      <c r="Z393" s="45" t="inlineStr">
        <is>
          <t>primary_official</t>
        </is>
      </c>
      <c r="AA393" s="45" t="inlineStr">
        <is>
          <t>primary_verified</t>
        </is>
      </c>
      <c r="AB393" s="45" t="inlineStr"/>
      <c r="AC393" s="45" t="inlineStr">
        <is>
          <t>COL_ECU_PAN</t>
        </is>
      </c>
    </row>
    <row r="394" ht="15" customHeight="1" s="24">
      <c r="A394" s="45" t="inlineStr">
        <is>
          <t>PS-0393</t>
        </is>
      </c>
      <c r="B394" s="45" t="inlineStr">
        <is>
          <t>2026-09-30</t>
        </is>
      </c>
      <c r="C394" s="45" t="inlineStr">
        <is>
          <t>2026</t>
        </is>
      </c>
      <c r="D394" s="45" t="inlineStr">
        <is>
          <t>PAN</t>
        </is>
      </c>
      <c r="E394" s="45" t="inlineStr">
        <is>
          <t>Julio Moltó</t>
        </is>
      </c>
      <c r="F394" s="45" t="inlineStr">
        <is>
          <t>Minister of Commerce and Industries of Panama</t>
        </is>
      </c>
      <c r="G394" s="45" t="inlineStr">
        <is>
          <t>minister_cabinet</t>
        </is>
      </c>
      <c r="H394" s="45" t="inlineStr">
        <is>
          <t>LatAm executive</t>
        </is>
      </c>
      <c r="I394" s="45" t="inlineStr">
        <is>
          <t>PAN</t>
        </is>
      </c>
      <c r="J394" s="45" t="inlineStr">
        <is>
          <t>Mulino government</t>
        </is>
      </c>
      <c r="K394" s="45" t="inlineStr">
        <is>
          <t>official_statement</t>
        </is>
      </c>
      <c r="L394" s="45" t="inlineStr">
        <is>
          <t>Delivery of Interministerial Commission final report on Cobre Panamá site</t>
        </is>
      </c>
      <c r="M394" s="45" t="inlineStr">
        <is>
          <t>copper</t>
        </is>
      </c>
      <c r="N394" s="45" t="inlineStr">
        <is>
          <t>260300;740200;740311</t>
        </is>
      </c>
      <c r="O394" s="45" t="inlineStr">
        <is>
          <t>labor_social_conflict;foreign_investment</t>
        </is>
      </c>
      <c r="P394" s="45" t="inlineStr">
        <is>
          <t>none</t>
        </is>
      </c>
      <c r="Q394" s="45" t="inlineStr">
        <is>
          <t>not_mentioned</t>
        </is>
      </c>
      <c r="R394" s="45" t="inlineStr">
        <is>
          <t>not_mentioned</t>
        </is>
      </c>
      <c r="S394" s="45" t="inlineStr">
        <is>
          <t>Cobre Panamá</t>
        </is>
      </c>
      <c r="T394" s="45" t="inlineStr">
        <is>
          <t>Moltó argued that indefinite indecision on the mine is the costliest option and is paid by the most vulnerable citizens, citing lost foreign exchange and jobs.</t>
        </is>
      </c>
      <c r="U394" s="45" t="inlineStr">
        <is>
          <t>la más costosa de todas, y la pagan los ciudadanos más vulnerables</t>
        </is>
      </c>
      <c r="V394" s="45" t="inlineStr">
        <is>
          <t>the costliest of all, and it is paid by the most vulnerable citizens</t>
        </is>
      </c>
      <c r="W394" s="45" t="inlineStr">
        <is>
          <t>es</t>
        </is>
      </c>
      <c r="X394" s="45" t="inlineStr">
        <is>
          <t>Presidencia de la República de Panamá</t>
        </is>
      </c>
      <c r="Y394" s="45" t="inlineStr">
        <is>
          <t>https://www.presidencia.gob.pa/publicacion/la-comision-interministerial-entrego-al-presidente-de-la-republica-el-informe-final-sobre-el-sitio-minero-cobre-panama-y-el-documento-se-publico-el-mismo-dia</t>
        </is>
      </c>
      <c r="Z394" s="45" t="inlineStr">
        <is>
          <t>primary_official</t>
        </is>
      </c>
      <c r="AA394" s="45" t="inlineStr">
        <is>
          <t>primary_verified</t>
        </is>
      </c>
      <c r="AB394" s="45" t="inlineStr"/>
      <c r="AC394" s="45" t="inlineStr">
        <is>
          <t>COL_ECU_PAN</t>
        </is>
      </c>
    </row>
    <row r="395" ht="15" customHeight="1" s="24">
      <c r="A395" s="45" t="inlineStr">
        <is>
          <t>PS-0394</t>
        </is>
      </c>
      <c r="B395" s="45" t="inlineStr">
        <is>
          <t>2026-10-02</t>
        </is>
      </c>
      <c r="C395" s="45" t="inlineStr">
        <is>
          <t>2026</t>
        </is>
      </c>
      <c r="D395" s="45" t="inlineStr">
        <is>
          <t>BOL</t>
        </is>
      </c>
      <c r="E395" s="45" t="inlineStr">
        <is>
          <t>Rodrigo Paz</t>
        </is>
      </c>
      <c r="F395" s="45" t="inlineStr">
        <is>
          <t>President of Bolivia</t>
        </is>
      </c>
      <c r="G395" s="45" t="inlineStr">
        <is>
          <t>head_of_state</t>
        </is>
      </c>
      <c r="H395" s="45" t="inlineStr">
        <is>
          <t>LatAm executive</t>
        </is>
      </c>
      <c r="I395" s="45" t="inlineStr">
        <is>
          <t>BOL</t>
        </is>
      </c>
      <c r="J395" s="45" t="inlineStr">
        <is>
          <t>Partido Demócrata Cristiano (PDC)</t>
        </is>
      </c>
      <c r="K395" s="45" t="inlineStr">
        <is>
          <t>speech</t>
        </is>
      </c>
      <c r="L395" s="45" t="inlineStr">
        <is>
          <t>Push to open mining to foreign investment vs. cooperatives</t>
        </is>
      </c>
      <c r="M395" s="45" t="inlineStr">
        <is>
          <t>critical_minerals_general;silver;tin;zinc;antimony</t>
        </is>
      </c>
      <c r="N395" s="45" t="inlineStr">
        <is>
          <t>260800;261610;261710;710691;800110</t>
        </is>
      </c>
      <c r="O395" s="45" t="inlineStr">
        <is>
          <t>foreign_investment;labor_social_conflict</t>
        </is>
      </c>
      <c r="P395" s="45" t="inlineStr">
        <is>
          <t>none</t>
        </is>
      </c>
      <c r="Q395" s="45" t="inlineStr">
        <is>
          <t>not_mentioned</t>
        </is>
      </c>
      <c r="R395" s="45" t="inlineStr">
        <is>
          <t>not_mentioned</t>
        </is>
      </c>
      <c r="S395" s="45" t="inlineStr"/>
      <c r="T395" s="45" t="inlineStr">
        <is>
          <t>Paz asked why Bolivia should choose to be poor when it has everything needed to become highly developed, as his government courts foreign mining investment amid tensions with ~500,000 cooperative miners.</t>
        </is>
      </c>
      <c r="U395" s="45" t="inlineStr">
        <is>
          <t>¿Por qué queremos ser pobres si tenemos todo lo necesario para convertirnos en un país altamente desarrollado?</t>
        </is>
      </c>
      <c r="V395" s="45" t="inlineStr">
        <is>
          <t>Why do we want to be poor if we have everything necessary to become a highly developed country?</t>
        </is>
      </c>
      <c r="W395" s="45" t="inlineStr">
        <is>
          <t>es</t>
        </is>
      </c>
      <c r="X395" s="45" t="inlineStr">
        <is>
          <t>Gestión (Bloomberg)</t>
        </is>
      </c>
      <c r="Y395" s="45" t="inlineStr">
        <is>
          <t>https://gestion.pe/mundo/internacional/medio-millon-de-mineros-amenazan-el-auge-de-los-minerales-criticos-en-bolivia-noticia/</t>
        </is>
      </c>
      <c r="Z395" s="45" t="inlineStr">
        <is>
          <t>news_media</t>
        </is>
      </c>
      <c r="AA395" s="45" t="inlineStr">
        <is>
          <t>secondary_reported</t>
        </is>
      </c>
      <c r="AB395" s="45" t="inlineStr">
        <is>
          <t>Date is article date; original date of Paz's remark unknown.</t>
        </is>
      </c>
      <c r="AC395" s="45" t="inlineStr">
        <is>
          <t>BOL</t>
        </is>
      </c>
    </row>
    <row r="396" ht="15" customHeight="1" s="24">
      <c r="A396" s="45" t="inlineStr">
        <is>
          <t>PS-0395</t>
        </is>
      </c>
      <c r="B396" s="45" t="inlineStr">
        <is>
          <t>2026-10-02</t>
        </is>
      </c>
      <c r="C396" s="45" t="inlineStr">
        <is>
          <t>2026</t>
        </is>
      </c>
      <c r="D396" s="45" t="inlineStr">
        <is>
          <t>BOL</t>
        </is>
      </c>
      <c r="E396" s="45" t="inlineStr">
        <is>
          <t>Óscar Chavarría</t>
        </is>
      </c>
      <c r="F396" s="45" t="inlineStr">
        <is>
          <t>Leader, mining cooperative federation (Potosí)</t>
        </is>
      </c>
      <c r="G396" s="45" t="inlineStr">
        <is>
          <t>other</t>
        </is>
      </c>
      <c r="H396" s="45" t="inlineStr">
        <is>
          <t>Other (business, civil society, third countries)</t>
        </is>
      </c>
      <c r="I396" s="45" t="inlineStr">
        <is>
          <t>BOL</t>
        </is>
      </c>
      <c r="J396" s="45" t="inlineStr">
        <is>
          <t>Mining cooperatives</t>
        </is>
      </c>
      <c r="K396" s="45" t="inlineStr">
        <is>
          <t>interview</t>
        </is>
      </c>
      <c r="L396" s="45" t="inlineStr">
        <is>
          <t>Cooperatives vs. foreign mining investment</t>
        </is>
      </c>
      <c r="M396" s="45" t="inlineStr">
        <is>
          <t>silver;tin;zinc;mining_general</t>
        </is>
      </c>
      <c r="N396" s="45" t="inlineStr">
        <is>
          <t>260800;261610;710691;800110</t>
        </is>
      </c>
      <c r="O396" s="45" t="inlineStr">
        <is>
          <t>labor_social_conflict;royalties_taxation</t>
        </is>
      </c>
      <c r="P396" s="45" t="inlineStr">
        <is>
          <t>none</t>
        </is>
      </c>
      <c r="Q396" s="45" t="inlineStr">
        <is>
          <t>not_mentioned</t>
        </is>
      </c>
      <c r="R396" s="45" t="inlineStr">
        <is>
          <t>not_mentioned</t>
        </is>
      </c>
      <c r="S396" s="45" t="inlineStr">
        <is>
          <t>Cerro Rico</t>
        </is>
      </c>
      <c r="T396" s="45" t="inlineStr">
        <is>
          <t>A Potosí cooperative leader said Potosí should be like Dubai but the wealth extracted there is taken away.</t>
        </is>
      </c>
      <c r="U396" s="45" t="inlineStr">
        <is>
          <t>Potosí debería ser como Dubái</t>
        </is>
      </c>
      <c r="V396" s="45" t="inlineStr">
        <is>
          <t>Potosí should be like Dubai</t>
        </is>
      </c>
      <c r="W396" s="45" t="inlineStr">
        <is>
          <t>es</t>
        </is>
      </c>
      <c r="X396" s="45" t="inlineStr">
        <is>
          <t>Gestión (Bloomberg)</t>
        </is>
      </c>
      <c r="Y396" s="45" t="inlineStr">
        <is>
          <t>https://gestion.pe/mundo/internacional/medio-millon-de-mineros-amenazan-el-auge-de-los-minerales-criticos-en-bolivia-noticia/</t>
        </is>
      </c>
      <c r="Z396" s="45" t="inlineStr">
        <is>
          <t>news_media</t>
        </is>
      </c>
      <c r="AA396" s="45" t="inlineStr">
        <is>
          <t>secondary_reported</t>
        </is>
      </c>
      <c r="AB396" s="45" t="inlineStr">
        <is>
          <t>Article date.</t>
        </is>
      </c>
      <c r="AC396" s="45" t="inlineStr">
        <is>
          <t>BOL</t>
        </is>
      </c>
    </row>
    <row r="397" ht="15" customHeight="1" s="24">
      <c r="A397" s="45" t="inlineStr">
        <is>
          <t>PS-0396</t>
        </is>
      </c>
      <c r="B397" s="45" t="inlineStr">
        <is>
          <t>2024-11</t>
        </is>
      </c>
      <c r="C397" s="45" t="inlineStr">
        <is>
          <t>2024</t>
        </is>
      </c>
      <c r="D397" s="45" t="inlineStr">
        <is>
          <t>SUR</t>
        </is>
      </c>
      <c r="E397" s="45" t="inlineStr">
        <is>
          <t>Chandrikapersad Santokhi</t>
        </is>
      </c>
      <c r="F397" s="45" t="inlineStr">
        <is>
          <t>President of Suriname</t>
        </is>
      </c>
      <c r="G397" s="45" t="inlineStr">
        <is>
          <t>head_of_state</t>
        </is>
      </c>
      <c r="H397" s="45" t="inlineStr">
        <is>
          <t>LatAm executive</t>
        </is>
      </c>
      <c r="I397" s="45" t="inlineStr">
        <is>
          <t>SUR</t>
        </is>
      </c>
      <c r="J397" s="45" t="inlineStr">
        <is>
          <t>VHP</t>
        </is>
      </c>
      <c r="K397" s="45" t="inlineStr">
        <is>
          <t>official_statement</t>
        </is>
      </c>
      <c r="L397" s="45" t="inlineStr">
        <is>
          <t>Signing of the MoU with Chinalco for the Bakhuis bauxite project in West Suriname (US$426m, 13% state stake), 25 November 2024</t>
        </is>
      </c>
      <c r="M397" s="45" t="inlineStr">
        <is>
          <t>bauxite_aluminum</t>
        </is>
      </c>
      <c r="N397" s="45" t="inlineStr">
        <is>
          <t>260600</t>
        </is>
      </c>
      <c r="O397" s="45" t="inlineStr">
        <is>
          <t>foreign_investment;value_added_industrialization</t>
        </is>
      </c>
      <c r="P397" s="45" t="inlineStr">
        <is>
          <t>CHN</t>
        </is>
      </c>
      <c r="Q397" s="45" t="inlineStr">
        <is>
          <t>positive</t>
        </is>
      </c>
      <c r="R397" s="45" t="inlineStr">
        <is>
          <t>not_mentioned</t>
        </is>
      </c>
      <c r="S397" s="45" t="inlineStr">
        <is>
          <t>Chinalco (Aluminum Corporation of China); Bakhuis; Apoera</t>
        </is>
      </c>
      <c r="T397" s="45" t="inlineStr">
        <is>
          <t>Santokhi welcomed the MoU with Chinalco for a bauxite mine and infrastructure in West Suriname, said earlier attempts to revive the industry had failed and that he placed his trust in Chinalco; the government said the MoU would go to the National Assembly for approval.</t>
        </is>
      </c>
      <c r="U397" s="45" t="inlineStr">
        <is>
          <t>For years we have tried to revive the bauxite industry in West Suriname, but without success. I place my trust in Chinalco</t>
        </is>
      </c>
      <c r="V397" s="45" t="inlineStr">
        <is>
          <t>For years we have tried to revive the bauxite industry in West Suriname, but without success. I place my trust in Chinalco</t>
        </is>
      </c>
      <c r="W397" s="45" t="inlineStr">
        <is>
          <t>en</t>
        </is>
      </c>
      <c r="X397" s="45" t="inlineStr">
        <is>
          <t>Caribbean Today (CMC)</t>
        </is>
      </c>
      <c r="Y397" s="45" t="inlineStr">
        <is>
          <t>https://caribbeantoday.com/sections/business-blog/suriname-signs-multi-million-dollar-agreement-with-chinese-company-for-developing-bauxite-sector</t>
        </is>
      </c>
      <c r="Z397" s="45" t="inlineStr">
        <is>
          <t>news_media</t>
        </is>
      </c>
      <c r="AA397" s="45" t="inlineStr">
        <is>
          <t>secondary_reported</t>
        </is>
      </c>
      <c r="AB397" s="45" t="inlineStr">
        <is>
          <t>Coded by an AI session (2026-10-09) under the README vocabularies, from web-search results that cite the page; the page itself was not opened. Quote as relayed in English by CMC from a statement of the state information service (CDS); the Dutch original was not seen. Month precision: the statement followed the signing of 25 November 2024.</t>
        </is>
      </c>
      <c r="AC397" s="45" t="inlineStr">
        <is>
          <t>GUY_PRY_SUR_URY_VEN_ai</t>
        </is>
      </c>
    </row>
    <row r="398" ht="15" customHeight="1" s="24">
      <c r="A398" s="45" t="inlineStr">
        <is>
          <t>PS-0397</t>
        </is>
      </c>
      <c r="B398" s="45" t="inlineStr">
        <is>
          <t>2025-11</t>
        </is>
      </c>
      <c r="C398" s="45" t="inlineStr">
        <is>
          <t>2025</t>
        </is>
      </c>
      <c r="D398" s="45" t="inlineStr">
        <is>
          <t>SUR</t>
        </is>
      </c>
      <c r="E398" s="45" t="inlineStr">
        <is>
          <t>Gregory Rusland</t>
        </is>
      </c>
      <c r="F398" s="45" t="inlineStr">
        <is>
          <t>Vice President of Suriname (acting President at the time)</t>
        </is>
      </c>
      <c r="G398" s="45" t="inlineStr">
        <is>
          <t>other_executive</t>
        </is>
      </c>
      <c r="H398" s="45" t="inlineStr">
        <is>
          <t>LatAm executive</t>
        </is>
      </c>
      <c r="I398" s="45" t="inlineStr">
        <is>
          <t>SUR</t>
        </is>
      </c>
      <c r="J398" s="45" t="inlineStr">
        <is>
          <t>NPS</t>
        </is>
      </c>
      <c r="K398" s="45" t="inlineStr">
        <is>
          <t>official_statement</t>
        </is>
      </c>
      <c r="L398" s="45" t="inlineStr">
        <is>
          <t>Government statement after a meeting with a Chinalco delegation: the 2024 MoU to be re-evaluated</t>
        </is>
      </c>
      <c r="M398" s="45" t="inlineStr">
        <is>
          <t>bauxite_aluminum</t>
        </is>
      </c>
      <c r="N398" s="45" t="inlineStr">
        <is>
          <t>260600</t>
        </is>
      </c>
      <c r="O398" s="45" t="inlineStr">
        <is>
          <t>foreign_investment;sovereignty</t>
        </is>
      </c>
      <c r="P398" s="45" t="inlineStr">
        <is>
          <t>CHN</t>
        </is>
      </c>
      <c r="Q398" s="45" t="inlineStr">
        <is>
          <t>mixed</t>
        </is>
      </c>
      <c r="R398" s="45" t="inlineStr">
        <is>
          <t>not_mentioned</t>
        </is>
      </c>
      <c r="S398" s="45" t="inlineStr">
        <is>
          <t>Chinalco; Bakhuis</t>
        </is>
      </c>
      <c r="T398" s="45" t="inlineStr">
        <is>
          <t>Rusland said the memorandum signed with Chinalco by the previous government would be re-evaluated and renegotiated so that the terms better serve Suriname's national interests.</t>
        </is>
      </c>
      <c r="U398" s="45" t="inlineStr"/>
      <c r="V398" s="45" t="inlineStr"/>
      <c r="W398" s="45" t="inlineStr">
        <is>
          <t>en</t>
        </is>
      </c>
      <c r="X398" s="45" t="inlineStr">
        <is>
          <t>Times of Suriname</t>
        </is>
      </c>
      <c r="Y398" s="45" t="inlineStr">
        <is>
          <t>https://www.surinametimes.com/artikel/suriname-to-renegotiate-with-chinalco</t>
        </is>
      </c>
      <c r="Z398" s="45" t="inlineStr">
        <is>
          <t>news_media</t>
        </is>
      </c>
      <c r="AA398" s="45" t="inlineStr">
        <is>
          <t>secondary_reported</t>
        </is>
      </c>
      <c r="AB398" s="45" t="inlineStr">
        <is>
          <t>Coded by an AI session (2026-10-09) under the README vocabularies, from web-search results that cite the page; the page itself was not opened. No verbatim quote retrieved; summary only. Month precision.</t>
        </is>
      </c>
      <c r="AC398" s="45" t="inlineStr">
        <is>
          <t>GUY_PRY_SUR_URY_VEN_ai</t>
        </is>
      </c>
    </row>
    <row r="399" ht="15" customHeight="1" s="24">
      <c r="A399" s="45" t="inlineStr">
        <is>
          <t>PS-0398</t>
        </is>
      </c>
      <c r="B399" s="45" t="inlineStr">
        <is>
          <t>2025-11</t>
        </is>
      </c>
      <c r="C399" s="45" t="inlineStr">
        <is>
          <t>2025</t>
        </is>
      </c>
      <c r="D399" s="45" t="inlineStr">
        <is>
          <t>SUR</t>
        </is>
      </c>
      <c r="E399" s="45" t="inlineStr">
        <is>
          <t>Jennifer Geerlings-Simons</t>
        </is>
      </c>
      <c r="F399" s="45" t="inlineStr">
        <is>
          <t>President of Suriname</t>
        </is>
      </c>
      <c r="G399" s="45" t="inlineStr">
        <is>
          <t>head_of_state</t>
        </is>
      </c>
      <c r="H399" s="45" t="inlineStr">
        <is>
          <t>LatAm executive</t>
        </is>
      </c>
      <c r="I399" s="45" t="inlineStr">
        <is>
          <t>SUR</t>
        </is>
      </c>
      <c r="J399" s="45" t="inlineStr">
        <is>
          <t>NDP</t>
        </is>
      </c>
      <c r="K399" s="45" t="inlineStr">
        <is>
          <t>press_conference</t>
        </is>
      </c>
      <c r="L399" s="45" t="inlineStr">
        <is>
          <t>Asked about talks with Chinalco after the vice president met a Chinese delegation</t>
        </is>
      </c>
      <c r="M399" s="45" t="inlineStr">
        <is>
          <t>bauxite_aluminum</t>
        </is>
      </c>
      <c r="N399" s="45" t="inlineStr">
        <is>
          <t>260600</t>
        </is>
      </c>
      <c r="O399" s="45" t="inlineStr">
        <is>
          <t>value_added_industrialization;sovereignty;foreign_investment</t>
        </is>
      </c>
      <c r="P399" s="45" t="inlineStr">
        <is>
          <t>CHN</t>
        </is>
      </c>
      <c r="Q399" s="45" t="inlineStr">
        <is>
          <t>neutral</t>
        </is>
      </c>
      <c r="R399" s="45" t="inlineStr">
        <is>
          <t>not_mentioned</t>
        </is>
      </c>
      <c r="S399" s="45" t="inlineStr">
        <is>
          <t>Chinalco</t>
        </is>
      </c>
      <c r="T399" s="45" t="inlineStr">
        <is>
          <t>Geerlings-Simons said her government was not holding talks with Chinalco (the vice president had received the company as a courtesy) and that Suriname would not export raw bauxite under any circumstances: ore must be processed into a product such as aluminium before export.</t>
        </is>
      </c>
      <c r="U399" s="45" t="inlineStr">
        <is>
          <t>under any circumstances</t>
        </is>
      </c>
      <c r="V399" s="45" t="inlineStr">
        <is>
          <t>under any circumstances</t>
        </is>
      </c>
      <c r="W399" s="45" t="inlineStr">
        <is>
          <t>en</t>
        </is>
      </c>
      <c r="X399" s="45" t="inlineStr">
        <is>
          <t>Caribbean Today (CMC)</t>
        </is>
      </c>
      <c r="Y399" s="45" t="inlineStr">
        <is>
          <t>https://caribbeantoday.com/sections/business-blog/president-greelings-simons-says-suriname-will-not-export-bauxite-under-any-circumstances</t>
        </is>
      </c>
      <c r="Z399" s="45" t="inlineStr">
        <is>
          <t>news_media</t>
        </is>
      </c>
      <c r="AA399" s="45" t="inlineStr">
        <is>
          <t>secondary_reported</t>
        </is>
      </c>
      <c r="AB399" s="45" t="inlineStr">
        <is>
          <t>Coded by an AI session (2026-10-09) under the README vocabularies, from web-search results that cite the page; the page itself was not opened. Reported by CMC on 10 November 2025 (also Jamaica Observer); the remarks were made in Dutch, the fragment is CMC's English. Month precision.</t>
        </is>
      </c>
      <c r="AC399" s="45" t="inlineStr">
        <is>
          <t>GUY_PRY_SUR_URY_VEN_ai</t>
        </is>
      </c>
    </row>
    <row r="400" ht="15" customHeight="1" s="24">
      <c r="A400" s="45" t="inlineStr">
        <is>
          <t>PS-0399</t>
        </is>
      </c>
      <c r="B400" s="45" t="inlineStr">
        <is>
          <t>2023-06-08</t>
        </is>
      </c>
      <c r="C400" s="45" t="inlineStr">
        <is>
          <t>2023</t>
        </is>
      </c>
      <c r="D400" s="45" t="inlineStr">
        <is>
          <t>GUY</t>
        </is>
      </c>
      <c r="E400" s="45" t="inlineStr">
        <is>
          <t>Bharrat Jagdeo</t>
        </is>
      </c>
      <c r="F400" s="45" t="inlineStr">
        <is>
          <t>Vice President of Guyana</t>
        </is>
      </c>
      <c r="G400" s="45" t="inlineStr">
        <is>
          <t>other_executive</t>
        </is>
      </c>
      <c r="H400" s="45" t="inlineStr">
        <is>
          <t>LatAm executive</t>
        </is>
      </c>
      <c r="I400" s="45" t="inlineStr">
        <is>
          <t>GUY</t>
        </is>
      </c>
      <c r="J400" s="45" t="inlineStr">
        <is>
          <t>PPP/C</t>
        </is>
      </c>
      <c r="K400" s="45" t="inlineStr">
        <is>
          <t>press_conference</t>
        </is>
      </c>
      <c r="L400" s="45" t="inlineStr">
        <is>
          <t>Press conference at Freedom House after a Matthews Ridge outreach; Guyana Manganese Inc. (Bosai) disputes commitments made by the previous Canadian owner</t>
        </is>
      </c>
      <c r="M400" s="45" t="inlineStr">
        <is>
          <t>manganese</t>
        </is>
      </c>
      <c r="N400" s="45" t="inlineStr">
        <is>
          <t>260200</t>
        </is>
      </c>
      <c r="O400" s="45" t="inlineStr">
        <is>
          <t>labor_social_conflict;foreign_investment;corruption_governance</t>
        </is>
      </c>
      <c r="P400" s="45" t="inlineStr">
        <is>
          <t>CHN</t>
        </is>
      </c>
      <c r="Q400" s="45" t="inlineStr">
        <is>
          <t>mixed</t>
        </is>
      </c>
      <c r="R400" s="45" t="inlineStr">
        <is>
          <t>not_mentioned</t>
        </is>
      </c>
      <c r="S400" s="45" t="inlineStr">
        <is>
          <t>Guyana Manganese Inc.; Bosai Minerals Group; Reunion Manganese; Matthews Ridge</t>
        </is>
      </c>
      <c r="T400" s="45" t="inlineStr">
        <is>
          <t>Jagdeo said the government would make the Chinese-owned Guyana Manganese Inc. honour the community commitments made when its licences were granted, rejecting the company's view that the previous owner's promises no longer apply, because the company had received substantial concessions.</t>
        </is>
      </c>
      <c r="U400" s="45" t="inlineStr">
        <is>
          <t>the commitments have to be met because they had quite a bit of concessions granted to them</t>
        </is>
      </c>
      <c r="V400" s="45" t="inlineStr">
        <is>
          <t>the commitments have to be met because they had quite a bit of concessions granted to them</t>
        </is>
      </c>
      <c r="W400" s="45" t="inlineStr">
        <is>
          <t>en</t>
        </is>
      </c>
      <c r="X400" s="45" t="inlineStr">
        <is>
          <t>Kaieteur News</t>
        </is>
      </c>
      <c r="Y400" s="45" t="inlineStr">
        <is>
          <t>https://kaieteurnewsonline.com/2023/06/11/manganese-company-must-adhere-to-commitments-at-matthews-ridge-jagdeo/</t>
        </is>
      </c>
      <c r="Z400" s="45" t="inlineStr">
        <is>
          <t>news_media</t>
        </is>
      </c>
      <c r="AA400" s="45" t="inlineStr">
        <is>
          <t>secondary_reported</t>
        </is>
      </c>
      <c r="AB400" s="45" t="inlineStr">
        <is>
          <t>Coded by an AI session (2026-10-09) under the README vocabularies, from web-search results that cite the page; the page itself was not opened. Article of 11 June 2023 reporting a press conference held 'on Thursday' (8 June 2023).</t>
        </is>
      </c>
      <c r="AC400" s="45" t="inlineStr">
        <is>
          <t>GUY_PRY_SUR_URY_VEN_ai</t>
        </is>
      </c>
    </row>
    <row r="401" ht="15" customHeight="1" s="24">
      <c r="A401" s="45" t="inlineStr">
        <is>
          <t>PS-0400</t>
        </is>
      </c>
      <c r="B401" s="45" t="inlineStr">
        <is>
          <t>2025-01</t>
        </is>
      </c>
      <c r="C401" s="45" t="inlineStr">
        <is>
          <t>2025</t>
        </is>
      </c>
      <c r="D401" s="45" t="inlineStr">
        <is>
          <t>GUY</t>
        </is>
      </c>
      <c r="E401" s="45" t="inlineStr">
        <is>
          <t>Vickram Bharrat</t>
        </is>
      </c>
      <c r="F401" s="45" t="inlineStr">
        <is>
          <t>Minister of Natural Resources</t>
        </is>
      </c>
      <c r="G401" s="45" t="inlineStr">
        <is>
          <t>minister_cabinet</t>
        </is>
      </c>
      <c r="H401" s="45" t="inlineStr">
        <is>
          <t>LatAm executive</t>
        </is>
      </c>
      <c r="I401" s="45" t="inlineStr">
        <is>
          <t>GUY</t>
        </is>
      </c>
      <c r="J401" s="45" t="inlineStr">
        <is>
          <t>PPP/C</t>
        </is>
      </c>
      <c r="K401" s="45" t="inlineStr">
        <is>
          <t>press_conference</t>
        </is>
      </c>
      <c r="L401" s="45" t="inlineStr">
        <is>
          <t>Ministry of Natural Resources year-in-review press conference, January 2025</t>
        </is>
      </c>
      <c r="M401" s="45" t="inlineStr">
        <is>
          <t>bauxite_aluminum</t>
        </is>
      </c>
      <c r="N401" s="45" t="inlineStr">
        <is>
          <t>260600</t>
        </is>
      </c>
      <c r="O401" s="45" t="inlineStr">
        <is>
          <t>foreign_investment;value_added_industrialization</t>
        </is>
      </c>
      <c r="P401" s="45" t="inlineStr">
        <is>
          <t>CHN</t>
        </is>
      </c>
      <c r="Q401" s="45" t="inlineStr">
        <is>
          <t>positive</t>
        </is>
      </c>
      <c r="R401" s="45" t="inlineStr">
        <is>
          <t>not_mentioned</t>
        </is>
      </c>
      <c r="S401" s="45" t="inlineStr">
        <is>
          <t>Bosai Minerals Group; Linden; Region Ten; Rusal</t>
        </is>
      </c>
      <c r="T401" s="45" t="inlineStr">
        <is>
          <t>Bharrat reported that bauxite output rose from 523,732 tonnes in 2023 to about 1.7 million tonnes in 2024, credited the rebound mainly to investment by the Chinese-owned Bosai Minerals Group after Rusal's withdrawal, and said more than 1,000 Guyanese now work in the sector.</t>
        </is>
      </c>
      <c r="U401" s="45" t="inlineStr">
        <is>
          <t>In 2023, the production in bauxite was 523,732 tonnes, but in 2024, production jumped to 1.7 million tonnes</t>
        </is>
      </c>
      <c r="V401" s="45" t="inlineStr">
        <is>
          <t>In 2023, the production in bauxite was 523,732 tonnes, but in 2024, production jumped to 1.7 million tonnes</t>
        </is>
      </c>
      <c r="W401" s="45" t="inlineStr">
        <is>
          <t>en</t>
        </is>
      </c>
      <c r="X401" s="45" t="inlineStr">
        <is>
          <t>Guyana Chronicle</t>
        </is>
      </c>
      <c r="Y401" s="45" t="inlineStr">
        <is>
          <t>https://guyanachronicle.com/2025/01/15/bauxite-success-story-continues/</t>
        </is>
      </c>
      <c r="Z401" s="45" t="inlineStr">
        <is>
          <t>news_media</t>
        </is>
      </c>
      <c r="AA401" s="45" t="inlineStr">
        <is>
          <t>secondary_reported</t>
        </is>
      </c>
      <c r="AB401" s="45" t="inlineStr">
        <is>
          <t>Coded by an AI session (2026-10-09) under the README vocabularies, from web-search results that cite the page; the page itself was not opened. State-owned newspaper reporting a government briefing; the figures are the ministry's own. Month precision.</t>
        </is>
      </c>
      <c r="AC401" s="45" t="inlineStr">
        <is>
          <t>GUY_PRY_SUR_URY_VEN_ai</t>
        </is>
      </c>
    </row>
    <row r="402" ht="15" customHeight="1" s="24">
      <c r="A402" s="45" t="inlineStr">
        <is>
          <t>PS-0401</t>
        </is>
      </c>
      <c r="B402" s="45" t="inlineStr">
        <is>
          <t>2026-05-04</t>
        </is>
      </c>
      <c r="C402" s="45" t="inlineStr">
        <is>
          <t>2026</t>
        </is>
      </c>
      <c r="D402" s="45" t="inlineStr">
        <is>
          <t>GUY</t>
        </is>
      </c>
      <c r="E402" s="45" t="inlineStr">
        <is>
          <t>Mohamed Irfaan Ali</t>
        </is>
      </c>
      <c r="F402" s="45" t="inlineStr">
        <is>
          <t>President of Guyana</t>
        </is>
      </c>
      <c r="G402" s="45" t="inlineStr">
        <is>
          <t>head_of_state</t>
        </is>
      </c>
      <c r="H402" s="45" t="inlineStr">
        <is>
          <t>LatAm executive</t>
        </is>
      </c>
      <c r="I402" s="45" t="inlineStr">
        <is>
          <t>GUY</t>
        </is>
      </c>
      <c r="J402" s="45" t="inlineStr">
        <is>
          <t>PPP/C</t>
        </is>
      </c>
      <c r="K402" s="45" t="inlineStr">
        <is>
          <t>speech</t>
        </is>
      </c>
      <c r="L402" s="45" t="inlineStr">
        <is>
          <t>Opening address of the Offshore Technology Conference (OTC) 2026, Houston</t>
        </is>
      </c>
      <c r="M402" s="45" t="inlineStr">
        <is>
          <t>critical_minerals_general</t>
        </is>
      </c>
      <c r="N402" s="45" t="inlineStr"/>
      <c r="O402" s="45" t="inlineStr">
        <is>
          <t>energy_transition;geopolitics_security</t>
        </is>
      </c>
      <c r="P402" s="45" t="inlineStr">
        <is>
          <t>none</t>
        </is>
      </c>
      <c r="Q402" s="45" t="inlineStr">
        <is>
          <t>not_mentioned</t>
        </is>
      </c>
      <c r="R402" s="45" t="inlineStr">
        <is>
          <t>not_mentioned</t>
        </is>
      </c>
      <c r="S402" s="45" t="inlineStr">
        <is>
          <t>OTC 2026</t>
        </is>
      </c>
      <c r="T402" s="45" t="inlineStr">
        <is>
          <t>In a speech on a balanced energy system, Ali was reported to have warned that critical minerals are concentrated in few geographies and that a transition built on them risks trading one energy dependence for another.</t>
        </is>
      </c>
      <c r="U402" s="45" t="inlineStr"/>
      <c r="V402" s="45" t="inlineStr"/>
      <c r="W402" s="45" t="inlineStr">
        <is>
          <t>en</t>
        </is>
      </c>
      <c r="X402" s="45" t="inlineStr">
        <is>
          <t>Turbomachinery International</t>
        </is>
      </c>
      <c r="Y402" s="45" t="inlineStr">
        <is>
          <t>https://www.turbomachinerymag.com/view/global-supply-geopolitics-and-technology-set-tone-at-otc-2026-opening</t>
        </is>
      </c>
      <c r="Z402" s="45" t="inlineStr">
        <is>
          <t>news_media</t>
        </is>
      </c>
      <c r="AA402" s="45" t="inlineStr">
        <is>
          <t>unverified</t>
        </is>
      </c>
      <c r="AB402" s="45" t="inlineStr">
        <is>
          <t>Coded by an AI session (2026-10-09) under the README vocabularies, from web-search results that cite the page; the page itself was not opened. The critical-minerals passage appeared in one search summary of the trade-press report; a second search of the OTC coverage did not reproduce it, so the owner should check the article or the OTC recording before relying on this record.</t>
        </is>
      </c>
      <c r="AC402" s="45" t="inlineStr">
        <is>
          <t>GUY_PRY_SUR_URY_VEN_ai</t>
        </is>
      </c>
    </row>
    <row r="403" ht="15" customHeight="1" s="24">
      <c r="A403" s="45" t="inlineStr">
        <is>
          <t>PS-0402</t>
        </is>
      </c>
      <c r="B403" s="45" t="inlineStr">
        <is>
          <t>2025-01-12</t>
        </is>
      </c>
      <c r="C403" s="45" t="inlineStr">
        <is>
          <t>2025</t>
        </is>
      </c>
      <c r="D403" s="45" t="inlineStr">
        <is>
          <t>PRY</t>
        </is>
      </c>
      <c r="E403" s="45" t="inlineStr">
        <is>
          <t>Mauricio Bejarano</t>
        </is>
      </c>
      <c r="F403" s="45" t="inlineStr">
        <is>
          <t>Vice Minister of Mines and Energy</t>
        </is>
      </c>
      <c r="G403" s="45" t="inlineStr">
        <is>
          <t>other_executive</t>
        </is>
      </c>
      <c r="H403" s="45" t="inlineStr">
        <is>
          <t>LatAm executive</t>
        </is>
      </c>
      <c r="I403" s="45" t="inlineStr">
        <is>
          <t>PRY</t>
        </is>
      </c>
      <c r="J403" s="45" t="inlineStr">
        <is>
          <t>Viceministerio de Minas y Energía (MOPC)</t>
        </is>
      </c>
      <c r="K403" s="45" t="inlineStr">
        <is>
          <t>interview</t>
        </is>
      </c>
      <c r="L403" s="45" t="inlineStr">
        <is>
          <t>Interview on Paraguay's geological potential (uranium in Caazapá/Yuty, lithium prospects in the Chaco)</t>
        </is>
      </c>
      <c r="M403" s="45" t="inlineStr">
        <is>
          <t>uranium;lithium</t>
        </is>
      </c>
      <c r="N403" s="45" t="inlineStr">
        <is>
          <t>261210;283691</t>
        </is>
      </c>
      <c r="O403" s="45" t="inlineStr">
        <is>
          <t>foreign_investment</t>
        </is>
      </c>
      <c r="P403" s="45" t="inlineStr">
        <is>
          <t>none</t>
        </is>
      </c>
      <c r="Q403" s="45" t="inlineStr">
        <is>
          <t>not_mentioned</t>
        </is>
      </c>
      <c r="R403" s="45" t="inlineStr">
        <is>
          <t>not_mentioned</t>
        </is>
      </c>
      <c r="S403" s="45" t="inlineStr">
        <is>
          <t>Caazapá; Yuty; Chaco</t>
        </is>
      </c>
      <c r="T403" s="45" t="inlineStr">
        <is>
          <t>Bejarano described Paraguay's geology as attractive for mining, pointed to the uranium resources of Caazapá (Yuty) and said it would be a dream to extract lithium in the Chaco.</t>
        </is>
      </c>
      <c r="U403" s="45" t="inlineStr">
        <is>
          <t>sería un sueño que se pueda extraer litio en el Chaco</t>
        </is>
      </c>
      <c r="V403" s="45" t="inlineStr">
        <is>
          <t>it would be a dream to be able to extract lithium in the Chaco</t>
        </is>
      </c>
      <c r="W403" s="45" t="inlineStr">
        <is>
          <t>es</t>
        </is>
      </c>
      <c r="X403" s="45" t="inlineStr">
        <is>
          <t>La Nación (Paraguay)</t>
        </is>
      </c>
      <c r="Y403" s="45" t="inlineStr">
        <is>
          <t>https://www.lanacion.com.py/negocios/2025/01/12/paraguay-tiene-atractivos-geologicos-interesantes-para-la-explotacion-minera/</t>
        </is>
      </c>
      <c r="Z403" s="45" t="inlineStr">
        <is>
          <t>news_media</t>
        </is>
      </c>
      <c r="AA403" s="45" t="inlineStr">
        <is>
          <t>secondary_reported</t>
        </is>
      </c>
      <c r="AB403" s="45" t="inlineStr">
        <is>
          <t>Coded by an AI session (2026-10-09) under the README vocabularies, from web-search results that cite the page; the page itself was not opened. The same article gives '8 millones de toneladas' of uranium 'según los recursos probados'; the snippet does not make clear whether that sentence is the vice minister's, so it is not quoted here.</t>
        </is>
      </c>
      <c r="AC403" s="45" t="inlineStr">
        <is>
          <t>GUY_PRY_SUR_URY_VEN_ai</t>
        </is>
      </c>
    </row>
    <row r="404" ht="15" customHeight="1" s="24">
      <c r="A404" s="45" t="inlineStr">
        <is>
          <t>PS-0403</t>
        </is>
      </c>
      <c r="B404" s="45" t="inlineStr">
        <is>
          <t>2025-02-04</t>
        </is>
      </c>
      <c r="C404" s="45" t="inlineStr">
        <is>
          <t>2025</t>
        </is>
      </c>
      <c r="D404" s="45" t="inlineStr">
        <is>
          <t>PRY</t>
        </is>
      </c>
      <c r="E404" s="45" t="inlineStr">
        <is>
          <t>Mauricio Bejarano</t>
        </is>
      </c>
      <c r="F404" s="45" t="inlineStr">
        <is>
          <t>Vice Minister of Mines and Energy</t>
        </is>
      </c>
      <c r="G404" s="45" t="inlineStr">
        <is>
          <t>other_executive</t>
        </is>
      </c>
      <c r="H404" s="45" t="inlineStr">
        <is>
          <t>LatAm executive</t>
        </is>
      </c>
      <c r="I404" s="45" t="inlineStr">
        <is>
          <t>PRY</t>
        </is>
      </c>
      <c r="J404" s="45" t="inlineStr">
        <is>
          <t>Viceministerio de Minas y Energía (MOPC)</t>
        </is>
      </c>
      <c r="K404" s="45" t="inlineStr">
        <is>
          <t>interview</t>
        </is>
      </c>
      <c r="L404" s="45" t="inlineStr">
        <is>
          <t>On uranium resources and companies analysing their extraction</t>
        </is>
      </c>
      <c r="M404" s="45" t="inlineStr">
        <is>
          <t>uranium</t>
        </is>
      </c>
      <c r="N404" s="45" t="inlineStr">
        <is>
          <t>261210</t>
        </is>
      </c>
      <c r="O404" s="45" t="inlineStr">
        <is>
          <t>foreign_investment;trade_deals_offtake</t>
        </is>
      </c>
      <c r="P404" s="45" t="inlineStr">
        <is>
          <t>none</t>
        </is>
      </c>
      <c r="Q404" s="45" t="inlineStr">
        <is>
          <t>not_mentioned</t>
        </is>
      </c>
      <c r="R404" s="45" t="inlineStr">
        <is>
          <t>not_mentioned</t>
        </is>
      </c>
      <c r="S404" s="45" t="inlineStr">
        <is>
          <t>Yuty; Caazapá</t>
        </is>
      </c>
      <c r="T404" s="45" t="inlineStr">
        <is>
          <t>Bejarano said Paraguay has approximately 8 million tonnes of confirmed uranium and expects extraction in the short term, with companies already analysing it.</t>
        </is>
      </c>
      <c r="U404" s="45" t="inlineStr">
        <is>
          <t>en Paraguay hay aproximadamente 8 millones de toneladas de uranio confirmadas</t>
        </is>
      </c>
      <c r="V404" s="45" t="inlineStr">
        <is>
          <t>in Paraguay there are approximately 8 million tonnes of confirmed uranium</t>
        </is>
      </c>
      <c r="W404" s="45" t="inlineStr">
        <is>
          <t>es</t>
        </is>
      </c>
      <c r="X404" s="45" t="inlineStr">
        <is>
          <t>InfoNegocios (Paraguay)</t>
        </is>
      </c>
      <c r="Y404" s="45" t="inlineStr">
        <is>
          <t>https://infonegocios.com.py/default/exportacion-de-minerales-paraguay-cuenta-con-8-millones-de-toneladas-de-uranio-empresas-ya-analizan-su-extraccion</t>
        </is>
      </c>
      <c r="Z404" s="45" t="inlineStr">
        <is>
          <t>news_media</t>
        </is>
      </c>
      <c r="AA404" s="45" t="inlineStr">
        <is>
          <t>secondary_reported</t>
        </is>
      </c>
      <c r="AB404" s="45" t="inlineStr">
        <is>
          <t>Coded by an AI session (2026-10-09) under the README vocabularies, from web-search results that cite the page; the page itself was not opened. The unit is inconsistent across reports (tonnes here, pounds in December 2025); the Yuty project's preliminary certification is about 11 million pounds. The figure is the speaker's claim, not a certified reserve.</t>
        </is>
      </c>
      <c r="AC404" s="45" t="inlineStr">
        <is>
          <t>GUY_PRY_SUR_URY_VEN_ai</t>
        </is>
      </c>
    </row>
    <row r="405" ht="15" customHeight="1" s="24">
      <c r="A405" s="45" t="inlineStr">
        <is>
          <t>PS-0404</t>
        </is>
      </c>
      <c r="B405" s="45" t="inlineStr">
        <is>
          <t>2025-12-17</t>
        </is>
      </c>
      <c r="C405" s="45" t="inlineStr">
        <is>
          <t>2025</t>
        </is>
      </c>
      <c r="D405" s="45" t="inlineStr">
        <is>
          <t>PRY</t>
        </is>
      </c>
      <c r="E405" s="45" t="inlineStr">
        <is>
          <t>Mauricio Bejarano</t>
        </is>
      </c>
      <c r="F405" s="45" t="inlineStr">
        <is>
          <t>Vice Minister of Mines and Energy</t>
        </is>
      </c>
      <c r="G405" s="45" t="inlineStr">
        <is>
          <t>other_executive</t>
        </is>
      </c>
      <c r="H405" s="45" t="inlineStr">
        <is>
          <t>LatAm executive</t>
        </is>
      </c>
      <c r="I405" s="45" t="inlineStr">
        <is>
          <t>PRY</t>
        </is>
      </c>
      <c r="J405" s="45" t="inlineStr">
        <is>
          <t>Viceministerio de Minas y Energía (MOPC)</t>
        </is>
      </c>
      <c r="K405" s="45" t="inlineStr">
        <is>
          <t>interview</t>
        </is>
      </c>
      <c r="L405" s="45" t="inlineStr">
        <is>
          <t>On international interest in Paraguay's titanium and uranium</t>
        </is>
      </c>
      <c r="M405" s="45" t="inlineStr">
        <is>
          <t>uranium</t>
        </is>
      </c>
      <c r="N405" s="45" t="inlineStr">
        <is>
          <t>261210</t>
        </is>
      </c>
      <c r="O405" s="45" t="inlineStr">
        <is>
          <t>foreign_investment</t>
        </is>
      </c>
      <c r="P405" s="45" t="inlineStr">
        <is>
          <t>none</t>
        </is>
      </c>
      <c r="Q405" s="45" t="inlineStr">
        <is>
          <t>not_mentioned</t>
        </is>
      </c>
      <c r="R405" s="45" t="inlineStr">
        <is>
          <t>not_mentioned</t>
        </is>
      </c>
      <c r="S405" s="45" t="inlineStr">
        <is>
          <t>Yuty; Caazapá</t>
        </is>
      </c>
      <c r="T405" s="45" t="inlineStr">
        <is>
          <t>Bejarano said Paraguay has about eight million pounds of uranium but that the main limitation is that the reserve is not yet certified.</t>
        </is>
      </c>
      <c r="U405" s="45" t="inlineStr"/>
      <c r="V405" s="45" t="inlineStr"/>
      <c r="W405" s="45" t="inlineStr">
        <is>
          <t>es</t>
        </is>
      </c>
      <c r="X405" s="45" t="inlineStr">
        <is>
          <t>La Nación (Paraguay)</t>
        </is>
      </c>
      <c r="Y405" s="45" t="inlineStr">
        <is>
          <t>https://www.lanacion.com.py/negocios/2025/12/17/el-subsuelo-paraguayo-despierta-interes-mundial-por-titanio-y-uranio/</t>
        </is>
      </c>
      <c r="Z405" s="45" t="inlineStr">
        <is>
          <t>news_media</t>
        </is>
      </c>
      <c r="AA405" s="45" t="inlineStr">
        <is>
          <t>secondary_reported</t>
        </is>
      </c>
      <c r="AB405" s="45" t="inlineStr">
        <is>
          <t>Coded by an AI session (2026-10-09) under the README vocabularies, from web-search results that cite the page; the page itself was not opened. Paraphrase only; no verbatim quote retrieved.</t>
        </is>
      </c>
      <c r="AC405" s="45" t="inlineStr">
        <is>
          <t>GUY_PRY_SUR_URY_VEN_ai</t>
        </is>
      </c>
    </row>
    <row r="406" ht="15" customHeight="1" s="24">
      <c r="A406" s="45" t="inlineStr">
        <is>
          <t>PS-0405</t>
        </is>
      </c>
      <c r="B406" s="45" t="inlineStr">
        <is>
          <t>2026-08-01</t>
        </is>
      </c>
      <c r="C406" s="45" t="inlineStr">
        <is>
          <t>2026</t>
        </is>
      </c>
      <c r="D406" s="45" t="inlineStr">
        <is>
          <t>PRY</t>
        </is>
      </c>
      <c r="E406" s="45" t="inlineStr">
        <is>
          <t>Mauricio Bejarano</t>
        </is>
      </c>
      <c r="F406" s="45" t="inlineStr">
        <is>
          <t>Vice Minister of Mines and Energy</t>
        </is>
      </c>
      <c r="G406" s="45" t="inlineStr">
        <is>
          <t>other_executive</t>
        </is>
      </c>
      <c r="H406" s="45" t="inlineStr">
        <is>
          <t>LatAm executive</t>
        </is>
      </c>
      <c r="I406" s="45" t="inlineStr">
        <is>
          <t>PRY</t>
        </is>
      </c>
      <c r="J406" s="45" t="inlineStr">
        <is>
          <t>Viceministerio de Minas y Energía (MOPC)</t>
        </is>
      </c>
      <c r="K406" s="45" t="inlineStr">
        <is>
          <t>interview</t>
        </is>
      </c>
      <c r="L406" s="45" t="inlineStr">
        <is>
          <t>Radio Monumental 1080 AM interview on rare-earth prospects</t>
        </is>
      </c>
      <c r="M406" s="45" t="inlineStr">
        <is>
          <t>rare_earths</t>
        </is>
      </c>
      <c r="N406" s="45" t="inlineStr">
        <is>
          <t>280530</t>
        </is>
      </c>
      <c r="O406" s="45" t="inlineStr">
        <is>
          <t>foreign_investment</t>
        </is>
      </c>
      <c r="P406" s="45" t="inlineStr">
        <is>
          <t>none</t>
        </is>
      </c>
      <c r="Q406" s="45" t="inlineStr">
        <is>
          <t>not_mentioned</t>
        </is>
      </c>
      <c r="R406" s="45" t="inlineStr">
        <is>
          <t>not_mentioned</t>
        </is>
      </c>
      <c r="S406" s="45" t="inlineStr">
        <is>
          <t>Amambay</t>
        </is>
      </c>
      <c r="T406" s="45" t="inlineStr">
        <is>
          <t>Bejarano said there are indications of rare earths in Paraguay, based on a laboratory study from the 1980s, but that the country is still far from an exploration that would show whether the volume is profitable.</t>
        </is>
      </c>
      <c r="U406" s="45" t="inlineStr">
        <is>
          <t>todavía estamos distantes de que se lleve adelante una exploración que determine si tenemos realmente un volumen rentable</t>
        </is>
      </c>
      <c r="V406" s="45" t="inlineStr">
        <is>
          <t>we are still far from carrying out an exploration that determines whether we really have a profitable volume</t>
        </is>
      </c>
      <c r="W406" s="45" t="inlineStr">
        <is>
          <t>es</t>
        </is>
      </c>
      <c r="X406" s="45" t="inlineStr">
        <is>
          <t>Última Hora</t>
        </is>
      </c>
      <c r="Y406" s="45" t="inlineStr">
        <is>
          <t>https://www.ultimahora.com/hay-indicios-de-tierras-raras-en-paraguay</t>
        </is>
      </c>
      <c r="Z406" s="45" t="inlineStr">
        <is>
          <t>news_media</t>
        </is>
      </c>
      <c r="AA406" s="45" t="inlineStr">
        <is>
          <t>secondary_reported</t>
        </is>
      </c>
      <c r="AB406" s="45" t="inlineStr">
        <is>
          <t>Coded by an AI session (2026-10-09) under the README vocabularies, from web-search results that cite the page; the page itself was not opened. Date of the article; the radio interview may be a day earlier.</t>
        </is>
      </c>
      <c r="AC406" s="45" t="inlineStr">
        <is>
          <t>GUY_PRY_SUR_URY_VEN_ai</t>
        </is>
      </c>
    </row>
    <row r="407" ht="15" customHeight="1" s="24">
      <c r="A407" s="45" t="inlineStr">
        <is>
          <t>PS-0406</t>
        </is>
      </c>
      <c r="B407" s="45" t="inlineStr">
        <is>
          <t>2026-03-04</t>
        </is>
      </c>
      <c r="C407" s="45" t="inlineStr">
        <is>
          <t>2026</t>
        </is>
      </c>
      <c r="D407" s="45" t="inlineStr">
        <is>
          <t>VEN</t>
        </is>
      </c>
      <c r="E407" s="45" t="inlineStr">
        <is>
          <t>Delcy Rodríguez</t>
        </is>
      </c>
      <c r="F407" s="45" t="inlineStr">
        <is>
          <t>Acting President of Venezuela</t>
        </is>
      </c>
      <c r="G407" s="45" t="inlineStr">
        <is>
          <t>head_of_state</t>
        </is>
      </c>
      <c r="H407" s="45" t="inlineStr">
        <is>
          <t>LatAm executive</t>
        </is>
      </c>
      <c r="I407" s="45" t="inlineStr">
        <is>
          <t>VEN</t>
        </is>
      </c>
      <c r="J407" s="45" t="inlineStr">
        <is>
          <t>PSUV</t>
        </is>
      </c>
      <c r="K407" s="45" t="inlineStr">
        <is>
          <t>official_statement</t>
        </is>
      </c>
      <c r="L407" s="45" t="inlineStr">
        <is>
          <t>Joint appearance at Miraflores with US Interior Secretary Doug Burgum and a delegation of US mining companies</t>
        </is>
      </c>
      <c r="M407" s="45" t="inlineStr">
        <is>
          <t>critical_minerals_general;mining_general</t>
        </is>
      </c>
      <c r="N407" s="45" t="inlineStr"/>
      <c r="O407" s="45" t="inlineStr">
        <is>
          <t>foreign_investment;diplomatic_relations</t>
        </is>
      </c>
      <c r="P407" s="45" t="inlineStr">
        <is>
          <t>USA</t>
        </is>
      </c>
      <c r="Q407" s="45" t="inlineStr">
        <is>
          <t>not_mentioned</t>
        </is>
      </c>
      <c r="R407" s="45" t="inlineStr">
        <is>
          <t>positive</t>
        </is>
      </c>
      <c r="S407" s="45" t="inlineStr">
        <is>
          <t>Asamblea Nacional; Ley de Minas (1999); Ley de Hidrocarburos</t>
        </is>
      </c>
      <c r="T407" s="45" t="inlineStr">
        <is>
          <t>Rodríguez announced that her economic team would send the National Assembly an expansion of the Mining Law in the coming days, modelled on the recent hydrocarbons reform, to ease private investment, and asked the deputies for speed.</t>
        </is>
      </c>
      <c r="U407" s="45" t="inlineStr">
        <is>
          <t>ampliación de la Ley de Minas</t>
        </is>
      </c>
      <c r="V407" s="45" t="inlineStr">
        <is>
          <t>expansion of the Mining Law</t>
        </is>
      </c>
      <c r="W407" s="45" t="inlineStr">
        <is>
          <t>es</t>
        </is>
      </c>
      <c r="X407" s="45" t="inlineStr">
        <is>
          <t>La Estrella de Panamá</t>
        </is>
      </c>
      <c r="Y407" s="45" t="inlineStr">
        <is>
          <t>https://www.laestrella.com.pa/mundo/venezuela-y-estados-unidos-impulsan-la-inversion-minera-tras-reunion-entre-delcy-rodriguez-y-doug-burgum-BA20467723</t>
        </is>
      </c>
      <c r="Z407" s="45" t="inlineStr">
        <is>
          <t>news_media</t>
        </is>
      </c>
      <c r="AA407" s="45" t="inlineStr">
        <is>
          <t>secondary_reported</t>
        </is>
      </c>
      <c r="AB407" s="45" t="inlineStr">
        <is>
          <t>Coded by an AI session (2026-10-09) under the README vocabularies, from web-search results that cite the page; the page itself was not opened. Also reported by Reuters (mining.com) and RT. The call for the deputies' collaboration was reported in Spanish press on 4 and 5 March 2026.</t>
        </is>
      </c>
      <c r="AC407" s="45" t="inlineStr">
        <is>
          <t>GUY_PRY_SUR_URY_VEN_ai</t>
        </is>
      </c>
    </row>
    <row r="408" ht="15" customHeight="1" s="24">
      <c r="A408" s="45" t="inlineStr">
        <is>
          <t>PS-0407</t>
        </is>
      </c>
      <c r="B408" s="45" t="inlineStr">
        <is>
          <t>2026-03-04</t>
        </is>
      </c>
      <c r="C408" s="45" t="inlineStr">
        <is>
          <t>2026</t>
        </is>
      </c>
      <c r="D408" s="45" t="inlineStr">
        <is>
          <t>VEN</t>
        </is>
      </c>
      <c r="E408" s="45" t="inlineStr">
        <is>
          <t>Doug Burgum</t>
        </is>
      </c>
      <c r="F408" s="45" t="inlineStr">
        <is>
          <t>US Secretary of the Interior</t>
        </is>
      </c>
      <c r="G408" s="45" t="inlineStr">
        <is>
          <t>us_central_gov</t>
        </is>
      </c>
      <c r="H408" s="45" t="inlineStr">
        <is>
          <t>United States</t>
        </is>
      </c>
      <c r="I408" s="45" t="inlineStr">
        <is>
          <t>USA</t>
        </is>
      </c>
      <c r="J408" s="45" t="inlineStr">
        <is>
          <t>US Department of the Interior</t>
        </is>
      </c>
      <c r="K408" s="45" t="inlineStr">
        <is>
          <t>official_statement</t>
        </is>
      </c>
      <c r="L408" s="45" t="inlineStr">
        <is>
          <t>Visit to Caracas with more than two dozen US mining and minerals companies</t>
        </is>
      </c>
      <c r="M408" s="45" t="inlineStr">
        <is>
          <t>critical_minerals_general</t>
        </is>
      </c>
      <c r="N408" s="45" t="inlineStr"/>
      <c r="O408" s="45" t="inlineStr">
        <is>
          <t>foreign_investment;geopolitics_security</t>
        </is>
      </c>
      <c r="P408" s="45" t="inlineStr">
        <is>
          <t>VEN</t>
        </is>
      </c>
      <c r="Q408" s="45" t="inlineStr">
        <is>
          <t>not_mentioned</t>
        </is>
      </c>
      <c r="R408" s="45" t="inlineStr">
        <is>
          <t>positive</t>
        </is>
      </c>
      <c r="S408" s="45" t="inlineStr">
        <is>
          <t>National Energy Dominance Council</t>
        </is>
      </c>
      <c r="T408" s="45" t="inlineStr">
        <is>
          <t>Burgum praised Rodríguez's efforts to cut red tape and let capital flow, and said US companies that had operated in Venezuela before could return to its mining sector.</t>
        </is>
      </c>
      <c r="U408" s="45" t="inlineStr">
        <is>
          <t>to cut the red tape and allow capital investment to flow</t>
        </is>
      </c>
      <c r="V408" s="45" t="inlineStr">
        <is>
          <t>to cut the red tape and allow capital investment to flow</t>
        </is>
      </c>
      <c r="W408" s="45" t="inlineStr">
        <is>
          <t>en</t>
        </is>
      </c>
      <c r="X408" s="45" t="inlineStr">
        <is>
          <t>Mining.com (Reuters)</t>
        </is>
      </c>
      <c r="Y408" s="45" t="inlineStr">
        <is>
          <t>https://www.mining.com/web/venezuela-mining-reform-coming-soon-acting-president-says/</t>
        </is>
      </c>
      <c r="Z408" s="45" t="inlineStr">
        <is>
          <t>news_media</t>
        </is>
      </c>
      <c r="AA408" s="45" t="inlineStr">
        <is>
          <t>secondary_reported</t>
        </is>
      </c>
      <c r="AB408" s="45" t="inlineStr">
        <is>
          <t xml:space="preserve">Coded by an AI session (2026-10-09) under the README vocabularies, from web-search results that cite the page; the page itself was not opened. </t>
        </is>
      </c>
      <c r="AC408" s="45" t="inlineStr">
        <is>
          <t>GUY_PRY_SUR_URY_VEN_ai</t>
        </is>
      </c>
    </row>
    <row r="409" ht="15" customHeight="1" s="24">
      <c r="A409" s="45" t="inlineStr">
        <is>
          <t>PS-0408</t>
        </is>
      </c>
      <c r="B409" s="45" t="inlineStr">
        <is>
          <t>2026-03-05</t>
        </is>
      </c>
      <c r="C409" s="45" t="inlineStr">
        <is>
          <t>2026</t>
        </is>
      </c>
      <c r="D409" s="45" t="inlineStr">
        <is>
          <t>VEN</t>
        </is>
      </c>
      <c r="E409" s="45" t="inlineStr">
        <is>
          <t>Jorge Rodríguez</t>
        </is>
      </c>
      <c r="F409" s="45" t="inlineStr">
        <is>
          <t>President of the National Assembly</t>
        </is>
      </c>
      <c r="G409" s="45" t="inlineStr">
        <is>
          <t>legislator</t>
        </is>
      </c>
      <c r="H409" s="45" t="inlineStr">
        <is>
          <t>LatAm legislature</t>
        </is>
      </c>
      <c r="I409" s="45" t="inlineStr">
        <is>
          <t>VEN</t>
        </is>
      </c>
      <c r="J409" s="45" t="inlineStr">
        <is>
          <t>PSUV</t>
        </is>
      </c>
      <c r="K409" s="45" t="inlineStr">
        <is>
          <t>press_conference</t>
        </is>
      </c>
      <c r="L409" s="45" t="inlineStr">
        <is>
          <t>Day after the acting president's announcement of a mining-law reform</t>
        </is>
      </c>
      <c r="M409" s="45" t="inlineStr">
        <is>
          <t>mining_general</t>
        </is>
      </c>
      <c r="N409" s="45" t="inlineStr"/>
      <c r="O409" s="45" t="inlineStr">
        <is>
          <t>foreign_investment</t>
        </is>
      </c>
      <c r="P409" s="45" t="inlineStr">
        <is>
          <t>none</t>
        </is>
      </c>
      <c r="Q409" s="45" t="inlineStr">
        <is>
          <t>not_mentioned</t>
        </is>
      </c>
      <c r="R409" s="45" t="inlineStr">
        <is>
          <t>not_mentioned</t>
        </is>
      </c>
      <c r="S409" s="45" t="inlineStr">
        <is>
          <t>Asamblea Nacional; Ley de Minas</t>
        </is>
      </c>
      <c r="T409" s="45" t="inlineStr">
        <is>
          <t>Rodríguez said the Assembly was reviewing the Mining Law hard and was close to an agreement, that the reform was urgent and would come as soon as possible, though not in that day's session.</t>
        </is>
      </c>
      <c r="U409" s="45" t="inlineStr">
        <is>
          <t>Estamos revisando arduamente la Ley de Minas, estamos ya llegando a un acuerdo</t>
        </is>
      </c>
      <c r="V409" s="45" t="inlineStr">
        <is>
          <t>We are reviewing the Mining Law hard, we are already reaching an agreement</t>
        </is>
      </c>
      <c r="W409" s="45" t="inlineStr">
        <is>
          <t>es</t>
        </is>
      </c>
      <c r="X409" s="45" t="inlineStr">
        <is>
          <t>LaPatilla</t>
        </is>
      </c>
      <c r="Y409" s="45" t="inlineStr">
        <is>
          <t>https://lapatilla.com/2026/03/05/jorge-rodriguez-afirmo-que-la-ley-de-minas-sera-reformada-lo-mas-pronto-posible/</t>
        </is>
      </c>
      <c r="Z409" s="45" t="inlineStr">
        <is>
          <t>news_media</t>
        </is>
      </c>
      <c r="AA409" s="45" t="inlineStr">
        <is>
          <t>secondary_reported</t>
        </is>
      </c>
      <c r="AB409" s="45" t="inlineStr">
        <is>
          <t xml:space="preserve">Coded by an AI session (2026-10-09) under the README vocabularies, from web-search results that cite the page; the page itself was not opened. </t>
        </is>
      </c>
      <c r="AC409" s="45" t="inlineStr">
        <is>
          <t>GUY_PRY_SUR_URY_VEN_ai</t>
        </is>
      </c>
    </row>
    <row r="410" ht="15" customHeight="1" s="24">
      <c r="A410" s="45" t="inlineStr">
        <is>
          <t>PS-0409</t>
        </is>
      </c>
      <c r="B410" s="45" t="inlineStr">
        <is>
          <t>2026-03-09</t>
        </is>
      </c>
      <c r="C410" s="45" t="inlineStr">
        <is>
          <t>2026</t>
        </is>
      </c>
      <c r="D410" s="45" t="inlineStr">
        <is>
          <t>VEN</t>
        </is>
      </c>
      <c r="E410" s="45" t="inlineStr">
        <is>
          <t>Orlando Camacho</t>
        </is>
      </c>
      <c r="F410" s="45" t="inlineStr">
        <is>
          <t>Deputy, National Assembly (presented the bill)</t>
        </is>
      </c>
      <c r="G410" s="45" t="inlineStr">
        <is>
          <t>legislator</t>
        </is>
      </c>
      <c r="H410" s="45" t="inlineStr">
        <is>
          <t>LatAm legislature</t>
        </is>
      </c>
      <c r="I410" s="45" t="inlineStr">
        <is>
          <t>VEN</t>
        </is>
      </c>
      <c r="J410" s="45" t="inlineStr">
        <is>
          <t>PSUV</t>
        </is>
      </c>
      <c r="K410" s="45" t="inlineStr">
        <is>
          <t>legislative_debate</t>
        </is>
      </c>
      <c r="L410" s="45" t="inlineStr">
        <is>
          <t>First discussion of the Ley Orgánica de Minas (19 chapters, 126 articles), approved by qualified majority</t>
        </is>
      </c>
      <c r="M410" s="45" t="inlineStr">
        <is>
          <t>mining_general;rare_earths</t>
        </is>
      </c>
      <c r="N410" s="45" t="inlineStr">
        <is>
          <t>280530</t>
        </is>
      </c>
      <c r="O410" s="45" t="inlineStr">
        <is>
          <t>foreign_investment;state_control_nationalization</t>
        </is>
      </c>
      <c r="P410" s="45" t="inlineStr">
        <is>
          <t>none</t>
        </is>
      </c>
      <c r="Q410" s="45" t="inlineStr">
        <is>
          <t>not_mentioned</t>
        </is>
      </c>
      <c r="R410" s="45" t="inlineStr">
        <is>
          <t>not_mentioned</t>
        </is>
      </c>
      <c r="S410" s="45" t="inlineStr">
        <is>
          <t>Comisión de Energía y Petróleo; Superintendencia (new)</t>
        </is>
      </c>
      <c r="T410" s="45" t="inlineStr">
        <is>
          <t>Presenting the bill, Camacho said it sought to increase legal guarantees to build confidence and attract investment, created a superintendency to oversee the sector, and declared strategic minerals, state reserves and security zones; opposition deputies abstained.</t>
        </is>
      </c>
      <c r="U410" s="45" t="inlineStr">
        <is>
          <t>Se busca que con esta ley se pueda ayudar a aumentar todas las garantías jurídicas que permitan generar confianza para atraer inversión</t>
        </is>
      </c>
      <c r="V410" s="45" t="inlineStr">
        <is>
          <t>The aim is for this law to help increase all the legal guarantees that build confidence to attract investment</t>
        </is>
      </c>
      <c r="W410" s="45" t="inlineStr">
        <is>
          <t>es</t>
        </is>
      </c>
      <c r="X410" s="45" t="inlineStr">
        <is>
          <t>LaPatilla</t>
        </is>
      </c>
      <c r="Y410" s="45" t="inlineStr">
        <is>
          <t>https://lapatilla.com/2026/03/09/an-chavista-aprobo-en-primera-discusion-el-proyecto-de-la-ley-de-minas/</t>
        </is>
      </c>
      <c r="Z410" s="45" t="inlineStr">
        <is>
          <t>news_media</t>
        </is>
      </c>
      <c r="AA410" s="45" t="inlineStr">
        <is>
          <t>secondary_reported</t>
        </is>
      </c>
      <c r="AB410" s="45" t="inlineStr">
        <is>
          <t>Coded by an AI session (2026-10-09) under the README vocabularies, from web-search results that cite the page; the page itself was not opened. Also reported by Prensa Latina and Telesur; Reuters noted the draft lets foreign and domestic companies exploit gold, diamonds and rare earths.</t>
        </is>
      </c>
      <c r="AC410" s="45" t="inlineStr">
        <is>
          <t>GUY_PRY_SUR_URY_VEN_ai</t>
        </is>
      </c>
    </row>
    <row r="411" ht="15" customHeight="1" s="24">
      <c r="A411" s="45" t="inlineStr">
        <is>
          <t>PS-0410</t>
        </is>
      </c>
      <c r="B411" s="45" t="inlineStr">
        <is>
          <t>2023-07-07</t>
        </is>
      </c>
      <c r="C411" s="45" t="inlineStr">
        <is>
          <t>2023</t>
        </is>
      </c>
      <c r="D411" s="45" t="inlineStr">
        <is>
          <t>GUY</t>
        </is>
      </c>
      <c r="E411" s="45" t="inlineStr">
        <is>
          <t>Guo Haiyan</t>
        </is>
      </c>
      <c r="F411" s="45" t="inlineStr">
        <is>
          <t>Ambassador of China to Guyana</t>
        </is>
      </c>
      <c r="G411" s="45" t="inlineStr">
        <is>
          <t>china_embassy</t>
        </is>
      </c>
      <c r="H411" s="45" t="inlineStr">
        <is>
          <t>China</t>
        </is>
      </c>
      <c r="I411" s="45" t="inlineStr">
        <is>
          <t>CHN</t>
        </is>
      </c>
      <c r="J411" s="45" t="inlineStr">
        <is>
          <t>Embassy of China in Guyana</t>
        </is>
      </c>
      <c r="K411" s="45" t="inlineStr">
        <is>
          <t>speech</t>
        </is>
      </c>
      <c r="L411" s="45" t="inlineStr">
        <is>
          <t>Commissioning ceremony of Kiln #15 and the Maz project of Bosai Mineral Group (Guyana), Linden, with President Ali</t>
        </is>
      </c>
      <c r="M411" s="45" t="inlineStr">
        <is>
          <t>bauxite_aluminum</t>
        </is>
      </c>
      <c r="N411" s="45" t="inlineStr">
        <is>
          <t>260600</t>
        </is>
      </c>
      <c r="O411" s="45" t="inlineStr">
        <is>
          <t>foreign_investment;environment_water;labor_social_conflict</t>
        </is>
      </c>
      <c r="P411" s="45" t="inlineStr">
        <is>
          <t>GUY</t>
        </is>
      </c>
      <c r="Q411" s="45" t="inlineStr">
        <is>
          <t>positive</t>
        </is>
      </c>
      <c r="R411" s="45" t="inlineStr">
        <is>
          <t>not_mentioned</t>
        </is>
      </c>
      <c r="S411" s="45" t="inlineStr">
        <is>
          <t>Bosai Mineral Group (Guyana) Inc.; Linden</t>
        </is>
      </c>
      <c r="T411" s="45" t="inlineStr">
        <is>
          <t>Guo said China-Guyana mining cooperation was significant, that Chinese mining firms had invested heavily and created more than 2,500 local jobs, and that Beijing guides its companies to abide by Guyana's laws, operate in good faith and meet their social and environmental responsibilities.</t>
        </is>
      </c>
      <c r="U411" s="45" t="inlineStr">
        <is>
          <t>Chinese Government is guiding Chinese companies to fully abide by Guyana's laws, operate in good faith, fulfill social responsibilities</t>
        </is>
      </c>
      <c r="V411" s="45" t="inlineStr">
        <is>
          <t>Chinese Government is guiding Chinese companies to fully abide by Guyana's laws, operate in good faith, fulfill social responsibilities</t>
        </is>
      </c>
      <c r="W411" s="45" t="inlineStr">
        <is>
          <t>en</t>
        </is>
      </c>
      <c r="X411" s="45" t="inlineStr">
        <is>
          <t>Ministry of Foreign Affairs of China (embassy readout)</t>
        </is>
      </c>
      <c r="Y411" s="45" t="inlineStr">
        <is>
          <t>https://www.fmprc.gov.cn/mfa_eng/xw/zwbd/202405/t20240530_11365695.html</t>
        </is>
      </c>
      <c r="Z411" s="45" t="inlineStr">
        <is>
          <t>primary_official</t>
        </is>
      </c>
      <c r="AA411" s="45" t="inlineStr">
        <is>
          <t>secondary_reported</t>
        </is>
      </c>
      <c r="AB411" s="45" t="inlineStr">
        <is>
          <t>Coded by an AI session (2026-10-09) under the README vocabularies, from web-search results that cite the page; the page itself was not opened. The embassy's own readout of the ceremony; no independent account found. verification kept at secondary_reported because the official page was not opened.</t>
        </is>
      </c>
      <c r="AC411" s="45" t="inlineStr">
        <is>
          <t>CHN_embassy_ai</t>
        </is>
      </c>
    </row>
    <row r="412" ht="15" customHeight="1" s="24">
      <c r="A412" s="45" t="inlineStr">
        <is>
          <t>PS-0411</t>
        </is>
      </c>
      <c r="B412" s="45" t="inlineStr">
        <is>
          <t>2026-05-18</t>
        </is>
      </c>
      <c r="C412" s="45" t="inlineStr">
        <is>
          <t>2026</t>
        </is>
      </c>
      <c r="D412" s="45" t="inlineStr">
        <is>
          <t>GUY</t>
        </is>
      </c>
      <c r="E412" s="45" t="inlineStr">
        <is>
          <t>Yang Yang</t>
        </is>
      </c>
      <c r="F412" s="45" t="inlineStr">
        <is>
          <t>Ambassador of China to Guyana</t>
        </is>
      </c>
      <c r="G412" s="45" t="inlineStr">
        <is>
          <t>china_embassy</t>
        </is>
      </c>
      <c r="H412" s="45" t="inlineStr">
        <is>
          <t>China</t>
        </is>
      </c>
      <c r="I412" s="45" t="inlineStr">
        <is>
          <t>CHN</t>
        </is>
      </c>
      <c r="J412" s="45" t="inlineStr">
        <is>
          <t>Embassy of China in Guyana</t>
        </is>
      </c>
      <c r="K412" s="45" t="inlineStr">
        <is>
          <t>op_ed</t>
        </is>
      </c>
      <c r="L412" s="45" t="inlineStr">
        <is>
          <t>Reply to US Congressman Gabe Evans's claims of Chinese interference in Guyana</t>
        </is>
      </c>
      <c r="M412" s="45" t="inlineStr">
        <is>
          <t>mining_general</t>
        </is>
      </c>
      <c r="N412" s="45" t="inlineStr"/>
      <c r="O412" s="45" t="inlineStr">
        <is>
          <t>geopolitics_security;foreign_investment;diplomatic_relations</t>
        </is>
      </c>
      <c r="P412" s="45" t="inlineStr">
        <is>
          <t>USA;GUY</t>
        </is>
      </c>
      <c r="Q412" s="45" t="inlineStr">
        <is>
          <t>positive</t>
        </is>
      </c>
      <c r="R412" s="45" t="inlineStr">
        <is>
          <t>negative</t>
        </is>
      </c>
      <c r="S412" s="45" t="inlineStr">
        <is>
          <t>Gabe Evans (US House)</t>
        </is>
      </c>
      <c r="T412" s="45" t="inlineStr">
        <is>
          <t>Yang called the congressman's claims entirely unfounded and the product of prejudice and misinformation, and listed Chinese projects in Guyana as evidence of cooperation.</t>
        </is>
      </c>
      <c r="U412" s="45" t="inlineStr">
        <is>
          <t>entirely unfounded</t>
        </is>
      </c>
      <c r="V412" s="45" t="inlineStr">
        <is>
          <t>entirely unfounded</t>
        </is>
      </c>
      <c r="W412" s="45" t="inlineStr">
        <is>
          <t>en</t>
        </is>
      </c>
      <c r="X412" s="45" t="inlineStr">
        <is>
          <t>Kaieteur News</t>
        </is>
      </c>
      <c r="Y412" s="45" t="inlineStr">
        <is>
          <t>https://kaieteurnewsonline.com/2026/05/18/china-rejects-u-s-congressmans-claims-of-interference-in-guyana/</t>
        </is>
      </c>
      <c r="Z412" s="45" t="inlineStr">
        <is>
          <t>news_media</t>
        </is>
      </c>
      <c r="AA412" s="45" t="inlineStr">
        <is>
          <t>secondary_reported</t>
        </is>
      </c>
      <c r="AB412" s="45" t="inlineStr">
        <is>
          <t xml:space="preserve">Coded by an AI session (2026-10-09) under the README vocabularies, from web-search results that cite the page; the page itself was not opened. </t>
        </is>
      </c>
      <c r="AC412" s="45" t="inlineStr">
        <is>
          <t>CHN_embassy_ai</t>
        </is>
      </c>
    </row>
    <row r="413" ht="15" customHeight="1" s="24">
      <c r="A413" s="45" t="inlineStr">
        <is>
          <t>PS-0412</t>
        </is>
      </c>
      <c r="B413" s="45" t="inlineStr">
        <is>
          <t>2024-02-01</t>
        </is>
      </c>
      <c r="C413" s="45" t="inlineStr">
        <is>
          <t>2024</t>
        </is>
      </c>
      <c r="D413" s="45" t="inlineStr">
        <is>
          <t>BOL</t>
        </is>
      </c>
      <c r="E413" s="45" t="inlineStr">
        <is>
          <t>Wang Liang</t>
        </is>
      </c>
      <c r="F413" s="45" t="inlineStr">
        <is>
          <t>Ambassador of China to Bolivia</t>
        </is>
      </c>
      <c r="G413" s="45" t="inlineStr">
        <is>
          <t>china_embassy</t>
        </is>
      </c>
      <c r="H413" s="45" t="inlineStr">
        <is>
          <t>China</t>
        </is>
      </c>
      <c r="I413" s="45" t="inlineStr">
        <is>
          <t>CHN</t>
        </is>
      </c>
      <c r="J413" s="45" t="inlineStr">
        <is>
          <t>Embassy of China in Bolivia</t>
        </is>
      </c>
      <c r="K413" s="45" t="inlineStr">
        <is>
          <t>speech</t>
        </is>
      </c>
      <c r="L413" s="45" t="inlineStr">
        <is>
          <t>Spring Festival reception at the embassy in La Paz, with Foreign Minister Celinda Sosa</t>
        </is>
      </c>
      <c r="M413" s="45" t="inlineStr">
        <is>
          <t>lithium;zinc</t>
        </is>
      </c>
      <c r="N413" s="45" t="inlineStr">
        <is>
          <t>283691;260800</t>
        </is>
      </c>
      <c r="O413" s="45" t="inlineStr">
        <is>
          <t>foreign_investment;value_added_industrialization</t>
        </is>
      </c>
      <c r="P413" s="45" t="inlineStr">
        <is>
          <t>BOL</t>
        </is>
      </c>
      <c r="Q413" s="45" t="inlineStr">
        <is>
          <t>positive</t>
        </is>
      </c>
      <c r="R413" s="45" t="inlineStr">
        <is>
          <t>not_mentioned</t>
        </is>
      </c>
      <c r="S413" s="45" t="inlineStr">
        <is>
          <t>YLB; CBC (CATL-led consortium); Vinto</t>
        </is>
      </c>
      <c r="T413" s="45" t="inlineStr">
        <is>
          <t>Wang said China was consolidating itself as a significant partner in Bolivia's lithium industrialisation: the lithium carbonate plant built by a Chinese company was operating and two other Chinese consortia had signed cooperation agreements with the Bolivian side.</t>
        </is>
      </c>
      <c r="U413" s="45" t="inlineStr">
        <is>
          <t>otros dos consorcios chinos han firmado acuerdo de cooperación con la parte boliviana para la industrialización de litio</t>
        </is>
      </c>
      <c r="V413" s="45" t="inlineStr">
        <is>
          <t>two other Chinese consortia have signed a cooperation agreement with the Bolivian side for the industrialisation of lithium</t>
        </is>
      </c>
      <c r="W413" s="45" t="inlineStr">
        <is>
          <t>es</t>
        </is>
      </c>
      <c r="X413" s="45" t="inlineStr">
        <is>
          <t>Fundación Andrés Bello</t>
        </is>
      </c>
      <c r="Y413" s="45" t="inlineStr">
        <is>
          <t>https://fundacionandresbello.org/noticias/bolivia-🇧🇴/china-y-bolivia-exploran-posibilidades-de-explotacion-de-litio</t>
        </is>
      </c>
      <c r="Z413" s="45" t="inlineStr">
        <is>
          <t>think_tank_or_ngo</t>
        </is>
      </c>
      <c r="AA413" s="45" t="inlineStr">
        <is>
          <t>secondary_reported</t>
        </is>
      </c>
      <c r="AB413" s="45" t="inlineStr">
        <is>
          <t>Coded by an AI session (2026-10-09) under the README vocabularies, from web-search results that cite the page; the page itself was not opened. Also reported by Prensa Latina on 2 February 2024.</t>
        </is>
      </c>
      <c r="AC413" s="45" t="inlineStr">
        <is>
          <t>CHN_embassy_ai</t>
        </is>
      </c>
    </row>
    <row r="414" ht="15" customHeight="1" s="24">
      <c r="A414" s="45" t="inlineStr">
        <is>
          <t>PS-0413</t>
        </is>
      </c>
      <c r="B414" s="45" t="inlineStr">
        <is>
          <t>2025-07</t>
        </is>
      </c>
      <c r="C414" s="45" t="inlineStr">
        <is>
          <t>2025</t>
        </is>
      </c>
      <c r="D414" s="45" t="inlineStr">
        <is>
          <t>BOL</t>
        </is>
      </c>
      <c r="E414" s="45" t="inlineStr">
        <is>
          <t>Wang Liang</t>
        </is>
      </c>
      <c r="F414" s="45" t="inlineStr">
        <is>
          <t>Ambassador of China to Bolivia</t>
        </is>
      </c>
      <c r="G414" s="45" t="inlineStr">
        <is>
          <t>china_embassy</t>
        </is>
      </c>
      <c r="H414" s="45" t="inlineStr">
        <is>
          <t>China</t>
        </is>
      </c>
      <c r="I414" s="45" t="inlineStr">
        <is>
          <t>CHN</t>
        </is>
      </c>
      <c r="J414" s="45" t="inlineStr">
        <is>
          <t>Embassy of China in Bolivia</t>
        </is>
      </c>
      <c r="K414" s="45" t="inlineStr">
        <is>
          <t>interview</t>
        </is>
      </c>
      <c r="L414" s="45" t="inlineStr">
        <is>
          <t>Interview while the YLB contracts with CBC (China) and Uranium One (Russia) were stalled in the Legislative Assembly</t>
        </is>
      </c>
      <c r="M414" s="45" t="inlineStr">
        <is>
          <t>lithium</t>
        </is>
      </c>
      <c r="N414" s="45" t="inlineStr">
        <is>
          <t>283691</t>
        </is>
      </c>
      <c r="O414" s="45" t="inlineStr">
        <is>
          <t>sovereignty;foreign_investment;state_control_nationalization</t>
        </is>
      </c>
      <c r="P414" s="45" t="inlineStr">
        <is>
          <t>BOL</t>
        </is>
      </c>
      <c r="Q414" s="45" t="inlineStr">
        <is>
          <t>positive</t>
        </is>
      </c>
      <c r="R414" s="45" t="inlineStr">
        <is>
          <t>not_mentioned</t>
        </is>
      </c>
      <c r="S414" s="45" t="inlineStr">
        <is>
          <t>YLB; CBC; Asamblea Legislativa Plurinacional</t>
        </is>
      </c>
      <c r="T414" s="45" t="inlineStr">
        <is>
          <t>Wang said China would not intervene in Bolivia's legislative affairs over the lithium contracts, that a company that signed with YLB bears its own responsibility, and reaffirmed support for Chinese private investment while respecting Bolivia's sovereignty.</t>
        </is>
      </c>
      <c r="U414" s="45" t="inlineStr">
        <is>
          <t>si firmó contratos con YLB, es su responsabilidad</t>
        </is>
      </c>
      <c r="V414" s="45" t="inlineStr">
        <is>
          <t>if it signed contracts with YLB, that is its responsibility</t>
        </is>
      </c>
      <c r="W414" s="45" t="inlineStr">
        <is>
          <t>es</t>
        </is>
      </c>
      <c r="X414" s="45" t="inlineStr">
        <is>
          <t>Fundación Andrés Bello</t>
        </is>
      </c>
      <c r="Y414" s="45" t="inlineStr">
        <is>
          <t>https://www.fundacionandresbello.org/en/news/bolivia-🇧🇴-news/china-reaffirms-support-for-private-lithium-investments-in-bolivia-and-respects-countrys-sovereignty/</t>
        </is>
      </c>
      <c r="Z414" s="45" t="inlineStr">
        <is>
          <t>think_tank_or_ngo</t>
        </is>
      </c>
      <c r="AA414" s="45" t="inlineStr">
        <is>
          <t>secondary_reported</t>
        </is>
      </c>
      <c r="AB414" s="45" t="inlineStr">
        <is>
          <t>Coded by an AI session (2026-10-09) under the README vocabularies, from web-search results that cite the page; the page itself was not opened. Article of 17 July 2025 relaying a Radio Fides interview; month precision.</t>
        </is>
      </c>
      <c r="AC414" s="45" t="inlineStr">
        <is>
          <t>CHN_embassy_ai</t>
        </is>
      </c>
    </row>
    <row r="415" ht="15" customHeight="1" s="24">
      <c r="A415" s="45" t="inlineStr">
        <is>
          <t>PS-0414</t>
        </is>
      </c>
      <c r="B415" s="45" t="inlineStr">
        <is>
          <t>2025-05-08</t>
        </is>
      </c>
      <c r="C415" s="45" t="inlineStr">
        <is>
          <t>2025</t>
        </is>
      </c>
      <c r="D415" s="45" t="inlineStr">
        <is>
          <t>CHL</t>
        </is>
      </c>
      <c r="E415" s="45" t="inlineStr">
        <is>
          <t>Embajada de China en Chile</t>
        </is>
      </c>
      <c r="F415" s="45" t="inlineStr">
        <is>
          <t>Embassy statement</t>
        </is>
      </c>
      <c r="G415" s="45" t="inlineStr">
        <is>
          <t>china_embassy</t>
        </is>
      </c>
      <c r="H415" s="45" t="inlineStr">
        <is>
          <t>China</t>
        </is>
      </c>
      <c r="I415" s="45" t="inlineStr">
        <is>
          <t>CHN</t>
        </is>
      </c>
      <c r="J415" s="45" t="inlineStr">
        <is>
          <t>Embassy of China in Chile</t>
        </is>
      </c>
      <c r="K415" s="45" t="inlineStr">
        <is>
          <t>official_statement</t>
        </is>
      </c>
      <c r="L415" s="45" t="inlineStr">
        <is>
          <t>Reply to reports that BYD and Tsingshan had abandoned their lithium projects under the National Lithium Strategy</t>
        </is>
      </c>
      <c r="M415" s="45" t="inlineStr">
        <is>
          <t>lithium</t>
        </is>
      </c>
      <c r="N415" s="45" t="inlineStr">
        <is>
          <t>283691</t>
        </is>
      </c>
      <c r="O415" s="45" t="inlineStr">
        <is>
          <t>foreign_investment;value_added_industrialization</t>
        </is>
      </c>
      <c r="P415" s="45" t="inlineStr">
        <is>
          <t>CHL</t>
        </is>
      </c>
      <c r="Q415" s="45" t="inlineStr">
        <is>
          <t>positive</t>
        </is>
      </c>
      <c r="R415" s="45" t="inlineStr">
        <is>
          <t>not_mentioned</t>
        </is>
      </c>
      <c r="S415" s="45" t="inlineStr">
        <is>
          <t>BYD; Tsingshan; Corfo; Estrategia Nacional del Litio</t>
        </is>
      </c>
      <c r="T415" s="45" t="inlineStr">
        <is>
          <t>The embassy said neither BYD nor Tsingshan had declared an end to their investments in Chile, that many Chinese companies wanted to join the lithium strategy through different forms of cooperation, praised Chile's stable market and legal framework, and pledged to keep encouraging Chinese investment.</t>
        </is>
      </c>
      <c r="U415" s="45" t="inlineStr">
        <is>
          <t>un mercado maduro y estable, con un sólido marco jurídico y una política de apertura e inclusión</t>
        </is>
      </c>
      <c r="V415" s="45" t="inlineStr">
        <is>
          <t>a mature and stable market, with a solid legal framework and a policy of openness and inclusion</t>
        </is>
      </c>
      <c r="W415" s="45" t="inlineStr">
        <is>
          <t>es</t>
        </is>
      </c>
      <c r="X415" s="45" t="inlineStr">
        <is>
          <t>CNN Chile</t>
        </is>
      </c>
      <c r="Y415" s="45" t="inlineStr">
        <is>
          <t>https://www.cnnchile.com/negocios/china-descarta-que-byd-y-tsingshan-dejen-atras-proyectos-de-explotacion-del-litio-en-chile_20250508/</t>
        </is>
      </c>
      <c r="Z415" s="45" t="inlineStr">
        <is>
          <t>news_media</t>
        </is>
      </c>
      <c r="AA415" s="45" t="inlineStr">
        <is>
          <t>secondary_reported</t>
        </is>
      </c>
      <c r="AB415" s="45" t="inlineStr">
        <is>
          <t>Coded by an AI session (2026-10-09) under the README vocabularies, from web-search results that cite the page; the page itself was not opened. Economy Minister Grau replied the same day that the firms might not take part in the specific Corfo contract.</t>
        </is>
      </c>
      <c r="AC415" s="45" t="inlineStr">
        <is>
          <t>CHN_embassy_ai</t>
        </is>
      </c>
    </row>
    <row r="416" ht="15" customHeight="1" s="24">
      <c r="A416" s="45" t="inlineStr">
        <is>
          <t>PS-0415</t>
        </is>
      </c>
      <c r="B416" s="45" t="inlineStr">
        <is>
          <t>2025-04</t>
        </is>
      </c>
      <c r="C416" s="45" t="inlineStr">
        <is>
          <t>2025</t>
        </is>
      </c>
      <c r="D416" s="45" t="inlineStr">
        <is>
          <t>CHL</t>
        </is>
      </c>
      <c r="E416" s="45" t="inlineStr">
        <is>
          <t>Niu Qingbao</t>
        </is>
      </c>
      <c r="F416" s="45" t="inlineStr">
        <is>
          <t>Ambassador of China to Chile</t>
        </is>
      </c>
      <c r="G416" s="45" t="inlineStr">
        <is>
          <t>china_embassy</t>
        </is>
      </c>
      <c r="H416" s="45" t="inlineStr">
        <is>
          <t>China</t>
        </is>
      </c>
      <c r="I416" s="45" t="inlineStr">
        <is>
          <t>CHN</t>
        </is>
      </c>
      <c r="J416" s="45" t="inlineStr">
        <is>
          <t>Embassy of China in Chile</t>
        </is>
      </c>
      <c r="K416" s="45" t="inlineStr">
        <is>
          <t>interview</t>
        </is>
      </c>
      <c r="L416" s="45" t="inlineStr">
        <is>
          <t>Written interview with La Tercera on US tariff threats and the Codelco-SQM lithium agreement</t>
        </is>
      </c>
      <c r="M416" s="45" t="inlineStr">
        <is>
          <t>lithium</t>
        </is>
      </c>
      <c r="N416" s="45" t="inlineStr">
        <is>
          <t>283691</t>
        </is>
      </c>
      <c r="O416" s="45" t="inlineStr">
        <is>
          <t>foreign_investment;geopolitics_security;tariffs_trade_policy</t>
        </is>
      </c>
      <c r="P416" s="45" t="inlineStr">
        <is>
          <t>USA;CHL</t>
        </is>
      </c>
      <c r="Q416" s="45" t="inlineStr">
        <is>
          <t>positive</t>
        </is>
      </c>
      <c r="R416" s="45" t="inlineStr">
        <is>
          <t>negative</t>
        </is>
      </c>
      <c r="S416" s="45" t="inlineStr">
        <is>
          <t>Tianqi; Codelco; SQM</t>
        </is>
      </c>
      <c r="T416" s="45" t="inlineStr">
        <is>
          <t>Niu said US threats would not change the basis of China-Chile cooperation, that China was injecting certainty into an uncertain world, and hoped the Chilean authorities would protect the legitimate rights and interests of Tianqi in the Codelco-SQM deal.</t>
        </is>
      </c>
      <c r="U416" s="45" t="inlineStr"/>
      <c r="V416" s="45" t="inlineStr"/>
      <c r="W416" s="45" t="inlineStr">
        <is>
          <t>es</t>
        </is>
      </c>
      <c r="X416" s="45" t="inlineStr">
        <is>
          <t>La Tercera</t>
        </is>
      </c>
      <c r="Y416" s="45" t="inlineStr">
        <is>
          <t>https://www.latercera.com/la-tercera-domingo/noticia/entrevista-a-niu-qingbao-embajador-de-china-las-amenazas-de-eeuu-no-cambiaran-la-base-de-la-cooperacion-entre-china-y-chile/</t>
        </is>
      </c>
      <c r="Z416" s="45" t="inlineStr">
        <is>
          <t>news_media</t>
        </is>
      </c>
      <c r="AA416" s="45" t="inlineStr">
        <is>
          <t>secondary_reported</t>
        </is>
      </c>
      <c r="AB416" s="45" t="inlineStr">
        <is>
          <t>Coded by an AI session (2026-10-09) under the README vocabularies, from web-search results that cite the page; the page itself was not opened. Month precision (April 2025); the Spanish wording of the Tianqi sentence was not seen, so no quote is given.</t>
        </is>
      </c>
      <c r="AC416" s="45" t="inlineStr">
        <is>
          <t>CHN_embassy_ai</t>
        </is>
      </c>
    </row>
    <row r="417" ht="15" customHeight="1" s="24">
      <c r="A417" s="45" t="inlineStr">
        <is>
          <t>PS-0416</t>
        </is>
      </c>
      <c r="B417" s="45" t="inlineStr">
        <is>
          <t>2025-04-25</t>
        </is>
      </c>
      <c r="C417" s="45" t="inlineStr">
        <is>
          <t>2025</t>
        </is>
      </c>
      <c r="D417" s="45" t="inlineStr">
        <is>
          <t>PER</t>
        </is>
      </c>
      <c r="E417" s="45" t="inlineStr">
        <is>
          <t>Song Yang</t>
        </is>
      </c>
      <c r="F417" s="45" t="inlineStr">
        <is>
          <t>Ambassador of China to Peru</t>
        </is>
      </c>
      <c r="G417" s="45" t="inlineStr">
        <is>
          <t>china_embassy</t>
        </is>
      </c>
      <c r="H417" s="45" t="inlineStr">
        <is>
          <t>China</t>
        </is>
      </c>
      <c r="I417" s="45" t="inlineStr">
        <is>
          <t>CHN</t>
        </is>
      </c>
      <c r="J417" s="45" t="inlineStr">
        <is>
          <t>Embassy of China in Peru</t>
        </is>
      </c>
      <c r="K417" s="45" t="inlineStr">
        <is>
          <t>interview</t>
        </is>
      </c>
      <c r="L417" s="45" t="inlineStr">
        <is>
          <t>After Indecopi found no competition between Chancay and Callao and Ositrán moved to regulate Chancay's tariffs</t>
        </is>
      </c>
      <c r="M417" s="45" t="inlineStr">
        <is>
          <t>mining_general</t>
        </is>
      </c>
      <c r="N417" s="45" t="inlineStr"/>
      <c r="O417" s="45" t="inlineStr">
        <is>
          <t>infrastructure_ports;foreign_investment</t>
        </is>
      </c>
      <c r="P417" s="45" t="inlineStr">
        <is>
          <t>PER</t>
        </is>
      </c>
      <c r="Q417" s="45" t="inlineStr">
        <is>
          <t>positive</t>
        </is>
      </c>
      <c r="R417" s="45" t="inlineStr">
        <is>
          <t>not_mentioned</t>
        </is>
      </c>
      <c r="S417" s="45" t="inlineStr">
        <is>
          <t>Cosco Shipping Ports; Chancay; Indecopi; Ositrán</t>
        </is>
      </c>
      <c r="T417" s="45" t="inlineStr">
        <is>
          <t>Song said regulating the Chancay port would be irrational, asked that the competition question not lead to rules out of step with international port practice, acknowledged competitive pressure and noise complaints, and asked for institutional guarantees rather than restrictions.</t>
        </is>
      </c>
      <c r="U417" s="45" t="inlineStr">
        <is>
          <t>regulaciones o exigencias que no sean acordes a la dinámica portuaria internacional</t>
        </is>
      </c>
      <c r="V417" s="45" t="inlineStr">
        <is>
          <t>regulations or requirements that are not in line with international port dynamics</t>
        </is>
      </c>
      <c r="W417" s="45" t="inlineStr">
        <is>
          <t>es</t>
        </is>
      </c>
      <c r="X417" s="45" t="inlineStr">
        <is>
          <t>Gestión</t>
        </is>
      </c>
      <c r="Y417" s="45" t="inlineStr">
        <is>
          <t>https://gestion.pe/economia/embajador-chino-en-peru-song-yang-cree-que-regular-el-puerto-de-chancay-seria-irracional-noticia/</t>
        </is>
      </c>
      <c r="Z417" s="45" t="inlineStr">
        <is>
          <t>news_media</t>
        </is>
      </c>
      <c r="AA417" s="45" t="inlineStr">
        <is>
          <t>secondary_reported</t>
        </is>
      </c>
      <c r="AB417" s="45" t="inlineStr">
        <is>
          <t>Coded by an AI session (2026-10-09) under the README vocabularies, from web-search results that cite the page; the page itself was not opened. Chancay is the export gateway the dataset's Peru records already discuss; the statement is about port regulation, not a mineral.</t>
        </is>
      </c>
      <c r="AC417" s="45" t="inlineStr">
        <is>
          <t>CHN_embassy_ai</t>
        </is>
      </c>
    </row>
    <row r="418" ht="15" customHeight="1" s="24">
      <c r="A418" s="45" t="inlineStr">
        <is>
          <t>PS-0417</t>
        </is>
      </c>
      <c r="B418" s="45" t="inlineStr">
        <is>
          <t>2026-04-01</t>
        </is>
      </c>
      <c r="C418" s="45" t="inlineStr">
        <is>
          <t>2026</t>
        </is>
      </c>
      <c r="D418" s="45" t="inlineStr">
        <is>
          <t>VEN</t>
        </is>
      </c>
      <c r="E418" s="45" t="inlineStr">
        <is>
          <t>Mao Ning</t>
        </is>
      </c>
      <c r="F418" s="45" t="inlineStr">
        <is>
          <t>Spokesperson, Ministry of Foreign Affairs of China</t>
        </is>
      </c>
      <c r="G418" s="45" t="inlineStr">
        <is>
          <t>china_central_gov</t>
        </is>
      </c>
      <c r="H418" s="45" t="inlineStr">
        <is>
          <t>China</t>
        </is>
      </c>
      <c r="I418" s="45" t="inlineStr">
        <is>
          <t>CHN</t>
        </is>
      </c>
      <c r="J418" s="45" t="inlineStr">
        <is>
          <t>Ministry of Foreign Affairs of China</t>
        </is>
      </c>
      <c r="K418" s="45" t="inlineStr">
        <is>
          <t>press_conference</t>
        </is>
      </c>
      <c r="L418" s="45" t="inlineStr">
        <is>
          <t>US Treasury general licences allowing US companies to invest in Venezuela's mining sector (including gold) while Chinese companies stay excluded</t>
        </is>
      </c>
      <c r="M418" s="45" t="inlineStr">
        <is>
          <t>mining_general</t>
        </is>
      </c>
      <c r="N418" s="45" t="inlineStr"/>
      <c r="O418" s="45" t="inlineStr">
        <is>
          <t>geopolitics_security;foreign_investment</t>
        </is>
      </c>
      <c r="P418" s="45" t="inlineStr">
        <is>
          <t>USA;VEN</t>
        </is>
      </c>
      <c r="Q418" s="45" t="inlineStr">
        <is>
          <t>positive</t>
        </is>
      </c>
      <c r="R418" s="45" t="inlineStr">
        <is>
          <t>negative</t>
        </is>
      </c>
      <c r="S418" s="45" t="inlineStr">
        <is>
          <t>US Treasury (OFAC) general licences</t>
        </is>
      </c>
      <c r="T418" s="45" t="inlineStr">
        <is>
          <t>Mao said China firmly opposes the United States using so-called general licences to interfere in China-Venezuela cooperation, that the legitimate rights of Chinese companies must be protected, and that Washington should lift its unilateral sanctions on Venezuela instead.</t>
        </is>
      </c>
      <c r="U418" s="45" t="inlineStr">
        <is>
          <t>se opone firmemente</t>
        </is>
      </c>
      <c r="V418" s="45" t="inlineStr">
        <is>
          <t>firmly opposes</t>
        </is>
      </c>
      <c r="W418" s="45" t="inlineStr">
        <is>
          <t>es</t>
        </is>
      </c>
      <c r="X418" s="45" t="inlineStr">
        <is>
          <t>swissinfo (EFE)</t>
        </is>
      </c>
      <c r="Y418" s="45" t="inlineStr">
        <is>
          <t>https://www.swissinfo.ch/spa/china-critica-las-licencias-mineras-de-ee.-uu.-en-venezuela-por-excluir-a-sus-empresas/91192964</t>
        </is>
      </c>
      <c r="Z418" s="45" t="inlineStr">
        <is>
          <t>news_media</t>
        </is>
      </c>
      <c r="AA418" s="45" t="inlineStr">
        <is>
          <t>secondary_reported</t>
        </is>
      </c>
      <c r="AB418" s="45" t="inlineStr">
        <is>
          <t>Coded by an AI session (2026-10-09) under the README vocabularies, from web-search results that cite the page; the page itself was not opened. Spanish-language wire report of the Beijing press conference; the Chinese or English transcript was not seen.</t>
        </is>
      </c>
      <c r="AC418" s="45" t="inlineStr">
        <is>
          <t>CHN_embassy_ai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2026-10-09T15:54:34Z</dcterms:created>
  <dcterms:modified xmlns:dcterms="http://purl.org/dc/terms/" xmlns:xsi="http://www.w3.org/2001/XMLSchema-instance" xsi:type="dcterms:W3CDTF">2026-10-09T16:58:04Z</dcterms:modified>
  <cp:revision>0</cp:revision>
</cp:coreProperties>
</file>